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elentpartners-my.sharepoint.com/personal/hemant_punamiya_accelentpartners_com/Documents/Desktop/ESG vault/"/>
    </mc:Choice>
  </mc:AlternateContent>
  <xr:revisionPtr revIDLastSave="0" documentId="8_{3A1F1F71-8DE7-491F-817E-ABE7D8D6D12D}" xr6:coauthVersionLast="47" xr6:coauthVersionMax="47" xr10:uidLastSave="{00000000-0000-0000-0000-000000000000}"/>
  <bookViews>
    <workbookView xWindow="-110" yWindow="-110" windowWidth="19420" windowHeight="10300" xr2:uid="{4027423A-F980-4340-8D1C-3DF15176D7F1}"/>
  </bookViews>
  <sheets>
    <sheet name="Fuels" sheetId="1" r:id="rId1"/>
    <sheet name="Bioenergy" sheetId="2" r:id="rId2"/>
    <sheet name="Refrigerants" sheetId="3" r:id="rId3"/>
  </sheets>
  <externalReferences>
    <externalReference r:id="rId4"/>
    <externalReference r:id="rId5"/>
  </externalReferences>
  <definedNames>
    <definedName name="_xlnm._FilterDatabase" localSheetId="1" hidden="1">Bioenergy!$C$5:$D$15</definedName>
    <definedName name="_xlnm._FilterDatabase" localSheetId="0" hidden="1">Fuels!$C$5:$D$33</definedName>
    <definedName name="Impact_flag" localSheetId="1">#REF!</definedName>
    <definedName name="Impact_flag" localSheetId="2">#REF!</definedName>
    <definedName name="Impact_flag">#REF!</definedName>
    <definedName name="Index" localSheetId="1">#REF!</definedName>
    <definedName name="Index" localSheetId="2">#REF!</definedName>
    <definedName name="Index">#REF!</definedName>
    <definedName name="IndexArray" localSheetId="1">#REF!</definedName>
    <definedName name="IndexArray" localSheetId="2">#REF!</definedName>
    <definedName name="IndexArray">#REF!</definedName>
    <definedName name="ja" localSheetId="1">#REF!</definedName>
    <definedName name="ja" localSheetId="2">#REF!</definedName>
    <definedName name="ja">#REF!</definedName>
    <definedName name="LatestChange" localSheetId="1">#REF!</definedName>
    <definedName name="LatestChange" localSheetId="2">#REF!</definedName>
    <definedName name="LatestChange">#REF!</definedName>
    <definedName name="LatestPerson" localSheetId="1">#REF!</definedName>
    <definedName name="LatestPerson" localSheetId="2">#REF!</definedName>
    <definedName name="LatestPerson">#REF!</definedName>
    <definedName name="LatestVersion" localSheetId="1">#REF!</definedName>
    <definedName name="LatestVersion" localSheetId="2">#REF!</definedName>
    <definedName name="LatestVersion">#REF!</definedName>
    <definedName name="materail1" localSheetId="1">#REF!</definedName>
    <definedName name="materail1" localSheetId="2">#REF!</definedName>
    <definedName name="materail1">#REF!</definedName>
    <definedName name="Material" localSheetId="1">#REF!</definedName>
    <definedName name="Material" localSheetId="2">#REF!</definedName>
    <definedName name="Material">#REF!</definedName>
    <definedName name="ModelName" localSheetId="1">#REF!</definedName>
    <definedName name="ModelName" localSheetId="2">#REF!</definedName>
    <definedName name="ModelName">#REF!</definedName>
    <definedName name="Quality_flag" localSheetId="1">#REF!</definedName>
    <definedName name="Quality_flag" localSheetId="2">#REF!</definedName>
    <definedName name="Quality_flag">#REF!</definedName>
    <definedName name="Risk_flag" localSheetId="1">#REF!</definedName>
    <definedName name="Risk_flag" localSheetId="2">#REF!</definedName>
    <definedName name="Risk_flag">#REF!</definedName>
    <definedName name="Status_Checking" localSheetId="1">#REF!</definedName>
    <definedName name="Status_Checking" localSheetId="2">#REF!</definedName>
    <definedName name="Status_Checking">#REF!</definedName>
    <definedName name="Status_Overall" localSheetId="1">#REF!</definedName>
    <definedName name="Status_Overall" localSheetId="2">#REF!</definedName>
    <definedName name="Status_Overall">#REF!</definedName>
    <definedName name="Status_Update" localSheetId="1">#REF!</definedName>
    <definedName name="Status_Update" localSheetId="2">#REF!</definedName>
    <definedName name="Status_Update">#REF!</definedName>
    <definedName name="t_Water_supply" localSheetId="1">#REF!</definedName>
    <definedName name="t_Water_supply" localSheetId="2">#REF!</definedName>
    <definedName name="t_Water_supply">#REF!</definedName>
    <definedName name="t_Water_treatment" localSheetId="1">#REF!</definedName>
    <definedName name="t_Water_treatment" localSheetId="2">#REF!</definedName>
    <definedName name="t_Water_treatment">#REF!</definedName>
    <definedName name="Team" localSheetId="1">#REF!</definedName>
    <definedName name="Team" localSheetId="2">#REF!</definedName>
    <definedName name="Team">#REF!</definedName>
    <definedName name="Total_WTT_EF_Gen" localSheetId="1">[2]Calc2_UK_WTT_Elec!#REF!</definedName>
    <definedName name="Total_WTT_EF_Gen" localSheetId="2">[2]Calc2_UK_WTT_Elec!#REF!</definedName>
    <definedName name="Total_WTT_EF_Gen">[2]Calc2_UK_WTT_Elec!#REF!</definedName>
    <definedName name="Year_Reporting_WTT" localSheetId="1">[2]Calc2_UK_WTT_Elec!#REF!</definedName>
    <definedName name="Year_Reporting_WTT" localSheetId="2">[2]Calc2_UK_WTT_Elec!#REF!</definedName>
    <definedName name="Year_Reporting_WTT">[2]Calc2_UK_WTT_Elec!#REF!</definedName>
    <definedName name="YesNo" localSheetId="1">#REF!</definedName>
    <definedName name="YesNo" localSheetId="2">#REF!</definedName>
    <definedName name="Yes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2" i="3" l="1"/>
  <c r="F92" i="3" s="1"/>
  <c r="H92" i="3" s="1"/>
  <c r="I91" i="3"/>
  <c r="F91" i="3" s="1"/>
  <c r="H91" i="3" s="1"/>
  <c r="I90" i="3"/>
  <c r="F90" i="3"/>
  <c r="H90" i="3" s="1"/>
  <c r="I89" i="3"/>
  <c r="F89" i="3" s="1"/>
  <c r="H89" i="3" s="1"/>
  <c r="I88" i="3"/>
  <c r="F88" i="3" s="1"/>
  <c r="H88" i="3" s="1"/>
  <c r="I87" i="3"/>
  <c r="F87" i="3" s="1"/>
  <c r="H87" i="3" s="1"/>
  <c r="I86" i="3"/>
  <c r="F86" i="3"/>
  <c r="H86" i="3" s="1"/>
  <c r="I85" i="3"/>
  <c r="F85" i="3" s="1"/>
  <c r="H85" i="3" s="1"/>
  <c r="I84" i="3"/>
  <c r="F84" i="3" s="1"/>
  <c r="H84" i="3" s="1"/>
  <c r="I83" i="3"/>
  <c r="H83" i="3"/>
  <c r="F83" i="3"/>
  <c r="I82" i="3"/>
  <c r="F82" i="3"/>
  <c r="H82" i="3" s="1"/>
  <c r="I81" i="3"/>
  <c r="F81" i="3" s="1"/>
  <c r="H81" i="3" s="1"/>
  <c r="I80" i="3"/>
  <c r="F80" i="3" s="1"/>
  <c r="H80" i="3" s="1"/>
  <c r="I79" i="3"/>
  <c r="F79" i="3" s="1"/>
  <c r="H79" i="3" s="1"/>
  <c r="I78" i="3"/>
  <c r="F78" i="3"/>
  <c r="H78" i="3" s="1"/>
  <c r="I77" i="3"/>
  <c r="F77" i="3" s="1"/>
  <c r="H77" i="3" s="1"/>
  <c r="I76" i="3"/>
  <c r="F76" i="3" s="1"/>
  <c r="H76" i="3" s="1"/>
  <c r="I75" i="3"/>
  <c r="F75" i="3"/>
  <c r="H75" i="3" s="1"/>
  <c r="I74" i="3"/>
  <c r="F74" i="3"/>
  <c r="H74" i="3" s="1"/>
  <c r="I73" i="3"/>
  <c r="F73" i="3" s="1"/>
  <c r="H73" i="3" s="1"/>
  <c r="I72" i="3"/>
  <c r="F72" i="3" s="1"/>
  <c r="H72" i="3" s="1"/>
  <c r="I71" i="3"/>
  <c r="F71" i="3" s="1"/>
  <c r="H71" i="3" s="1"/>
  <c r="I70" i="3"/>
  <c r="F70" i="3"/>
  <c r="H70" i="3" s="1"/>
  <c r="I69" i="3"/>
  <c r="F69" i="3" s="1"/>
  <c r="H69" i="3" s="1"/>
  <c r="I68" i="3"/>
  <c r="F68" i="3" s="1"/>
  <c r="H68" i="3" s="1"/>
  <c r="I67" i="3"/>
  <c r="F67" i="3"/>
  <c r="H67" i="3" s="1"/>
  <c r="I66" i="3"/>
  <c r="F66" i="3"/>
  <c r="H66" i="3" s="1"/>
  <c r="I65" i="3"/>
  <c r="F65" i="3" s="1"/>
  <c r="H65" i="3" s="1"/>
  <c r="I64" i="3"/>
  <c r="F64" i="3" s="1"/>
  <c r="H64" i="3" s="1"/>
  <c r="I63" i="3"/>
  <c r="F63" i="3" s="1"/>
  <c r="H63" i="3" s="1"/>
  <c r="I62" i="3"/>
  <c r="F62" i="3"/>
  <c r="H62" i="3" s="1"/>
  <c r="I61" i="3"/>
  <c r="F61" i="3" s="1"/>
  <c r="H61" i="3" s="1"/>
  <c r="I60" i="3"/>
  <c r="F60" i="3" s="1"/>
  <c r="H60" i="3" s="1"/>
  <c r="I59" i="3"/>
  <c r="F59" i="3"/>
  <c r="H59" i="3" s="1"/>
  <c r="I58" i="3"/>
  <c r="F58" i="3"/>
  <c r="H58" i="3" s="1"/>
  <c r="I57" i="3"/>
  <c r="F57" i="3" s="1"/>
  <c r="H57" i="3" s="1"/>
  <c r="I56" i="3"/>
  <c r="F56" i="3" s="1"/>
  <c r="H56" i="3" s="1"/>
  <c r="I55" i="3"/>
  <c r="F55" i="3" s="1"/>
  <c r="H55" i="3" s="1"/>
  <c r="I54" i="3"/>
  <c r="F54" i="3"/>
  <c r="H54" i="3" s="1"/>
  <c r="I53" i="3"/>
  <c r="F53" i="3" s="1"/>
  <c r="H53" i="3" s="1"/>
  <c r="I52" i="3"/>
  <c r="F52" i="3" s="1"/>
  <c r="H52" i="3" s="1"/>
  <c r="I51" i="3"/>
  <c r="F51" i="3"/>
  <c r="H51" i="3" s="1"/>
  <c r="I50" i="3"/>
  <c r="F50" i="3"/>
  <c r="H50" i="3" s="1"/>
  <c r="I49" i="3"/>
  <c r="F49" i="3" s="1"/>
  <c r="H49" i="3" s="1"/>
  <c r="I48" i="3"/>
  <c r="F48" i="3" s="1"/>
  <c r="H48" i="3" s="1"/>
  <c r="I47" i="3"/>
  <c r="F47" i="3" s="1"/>
  <c r="H47" i="3" s="1"/>
  <c r="I46" i="3"/>
  <c r="F46" i="3"/>
  <c r="H46" i="3" s="1"/>
  <c r="I45" i="3"/>
  <c r="F45" i="3" s="1"/>
  <c r="H45" i="3" s="1"/>
  <c r="I44" i="3"/>
  <c r="F44" i="3" s="1"/>
  <c r="H44" i="3" s="1"/>
  <c r="I43" i="3"/>
  <c r="F43" i="3"/>
  <c r="H43" i="3" s="1"/>
  <c r="I42" i="3"/>
  <c r="F42" i="3"/>
  <c r="H42" i="3" s="1"/>
  <c r="I41" i="3"/>
  <c r="F41" i="3" s="1"/>
  <c r="H41" i="3" s="1"/>
  <c r="I40" i="3"/>
  <c r="F40" i="3" s="1"/>
  <c r="H40" i="3" s="1"/>
  <c r="I39" i="3"/>
  <c r="F39" i="3" s="1"/>
  <c r="H39" i="3" s="1"/>
  <c r="I38" i="3"/>
  <c r="F38" i="3"/>
  <c r="H38" i="3" s="1"/>
  <c r="I37" i="3"/>
  <c r="F37" i="3" s="1"/>
  <c r="H37" i="3" s="1"/>
  <c r="I36" i="3"/>
  <c r="F36" i="3" s="1"/>
  <c r="H36" i="3" s="1"/>
  <c r="I35" i="3"/>
  <c r="F35" i="3"/>
  <c r="H35" i="3" s="1"/>
  <c r="I34" i="3"/>
  <c r="F34" i="3"/>
  <c r="H34" i="3" s="1"/>
  <c r="I33" i="3"/>
  <c r="F33" i="3" s="1"/>
  <c r="H33" i="3" s="1"/>
  <c r="I32" i="3"/>
  <c r="F32" i="3" s="1"/>
  <c r="H32" i="3" s="1"/>
  <c r="I31" i="3"/>
  <c r="F31" i="3" s="1"/>
  <c r="H31" i="3" s="1"/>
  <c r="I30" i="3"/>
  <c r="F30" i="3"/>
  <c r="H30" i="3" s="1"/>
  <c r="I29" i="3"/>
  <c r="F29" i="3" s="1"/>
  <c r="H29" i="3" s="1"/>
  <c r="I28" i="3"/>
  <c r="F28" i="3" s="1"/>
  <c r="H28" i="3" s="1"/>
  <c r="I27" i="3"/>
  <c r="F27" i="3"/>
  <c r="H27" i="3" s="1"/>
  <c r="I26" i="3"/>
  <c r="F26" i="3"/>
  <c r="H26" i="3" s="1"/>
  <c r="I25" i="3"/>
  <c r="F25" i="3" s="1"/>
  <c r="H25" i="3" s="1"/>
  <c r="I24" i="3"/>
  <c r="F24" i="3" s="1"/>
  <c r="H24" i="3" s="1"/>
  <c r="I23" i="3"/>
  <c r="F23" i="3" s="1"/>
  <c r="H23" i="3" s="1"/>
  <c r="I22" i="3"/>
  <c r="F22" i="3"/>
  <c r="H22" i="3" s="1"/>
  <c r="I21" i="3"/>
  <c r="F21" i="3" s="1"/>
  <c r="H21" i="3" s="1"/>
  <c r="I20" i="3"/>
  <c r="F20" i="3" s="1"/>
  <c r="H20" i="3" s="1"/>
  <c r="I19" i="3"/>
  <c r="F19" i="3"/>
  <c r="H19" i="3" s="1"/>
  <c r="I18" i="3"/>
  <c r="F18" i="3"/>
  <c r="H18" i="3" s="1"/>
  <c r="I17" i="3"/>
  <c r="F17" i="3" s="1"/>
  <c r="H17" i="3" s="1"/>
  <c r="I16" i="3"/>
  <c r="F16" i="3" s="1"/>
  <c r="H16" i="3" s="1"/>
  <c r="I15" i="3"/>
  <c r="F15" i="3" s="1"/>
  <c r="H15" i="3" s="1"/>
  <c r="I14" i="3"/>
  <c r="F14" i="3"/>
  <c r="H14" i="3" s="1"/>
  <c r="I13" i="3"/>
  <c r="F13" i="3" s="1"/>
  <c r="H13" i="3" s="1"/>
  <c r="I12" i="3"/>
  <c r="F12" i="3" s="1"/>
  <c r="H12" i="3" s="1"/>
  <c r="I11" i="3"/>
  <c r="F11" i="3"/>
  <c r="H11" i="3" s="1"/>
  <c r="I10" i="3"/>
  <c r="F10" i="3"/>
  <c r="H10" i="3" s="1"/>
  <c r="I9" i="3"/>
  <c r="F9" i="3" s="1"/>
  <c r="H9" i="3" s="1"/>
  <c r="I8" i="3"/>
  <c r="F8" i="3" s="1"/>
  <c r="H8" i="3" s="1"/>
  <c r="I7" i="3"/>
  <c r="F7" i="3" s="1"/>
  <c r="H7" i="3" s="1"/>
  <c r="I6" i="3"/>
  <c r="F6" i="3"/>
  <c r="H6" i="3" s="1"/>
  <c r="I15" i="2"/>
  <c r="F15" i="2" s="1"/>
  <c r="H15" i="2" s="1"/>
  <c r="I14" i="2"/>
  <c r="F14" i="2" s="1"/>
  <c r="H14" i="2" s="1"/>
  <c r="I13" i="2"/>
  <c r="F13" i="2"/>
  <c r="H13" i="2" s="1"/>
  <c r="I12" i="2"/>
  <c r="F12" i="2"/>
  <c r="H12" i="2" s="1"/>
  <c r="I11" i="2"/>
  <c r="F11" i="2" s="1"/>
  <c r="H11" i="2" s="1"/>
  <c r="I10" i="2"/>
  <c r="F10" i="2" s="1"/>
  <c r="H10" i="2" s="1"/>
  <c r="I9" i="2"/>
  <c r="F9" i="2" s="1"/>
  <c r="H9" i="2" s="1"/>
  <c r="I8" i="2"/>
  <c r="F8" i="2"/>
  <c r="H8" i="2" s="1"/>
  <c r="I7" i="2"/>
  <c r="F7" i="2" s="1"/>
  <c r="H7" i="2" s="1"/>
  <c r="I6" i="2"/>
  <c r="F6" i="2" s="1"/>
  <c r="H6" i="2" s="1"/>
  <c r="I33" i="1"/>
  <c r="F33" i="1"/>
  <c r="H33" i="1" s="1"/>
  <c r="I32" i="1"/>
  <c r="F32" i="1"/>
  <c r="H32" i="1" s="1"/>
  <c r="I31" i="1"/>
  <c r="F31" i="1"/>
  <c r="H31" i="1" s="1"/>
  <c r="I30" i="1"/>
  <c r="F30" i="1" s="1"/>
  <c r="H30" i="1" s="1"/>
  <c r="I29" i="1"/>
  <c r="F29" i="1" s="1"/>
  <c r="H29" i="1" s="1"/>
  <c r="I28" i="1"/>
  <c r="F28" i="1"/>
  <c r="H28" i="1" s="1"/>
  <c r="I27" i="1"/>
  <c r="F27" i="1" s="1"/>
  <c r="H27" i="1" s="1"/>
  <c r="I26" i="1"/>
  <c r="F26" i="1" s="1"/>
  <c r="H26" i="1" s="1"/>
  <c r="I25" i="1"/>
  <c r="F25" i="1"/>
  <c r="H25" i="1" s="1"/>
  <c r="I24" i="1"/>
  <c r="F24" i="1"/>
  <c r="H24" i="1" s="1"/>
  <c r="I23" i="1"/>
  <c r="F23" i="1"/>
  <c r="H23" i="1" s="1"/>
  <c r="I22" i="1"/>
  <c r="F22" i="1" s="1"/>
  <c r="H22" i="1" s="1"/>
  <c r="I21" i="1"/>
  <c r="F21" i="1" s="1"/>
  <c r="H21" i="1" s="1"/>
  <c r="I20" i="1"/>
  <c r="F20" i="1"/>
  <c r="H20" i="1" s="1"/>
  <c r="I19" i="1"/>
  <c r="F19" i="1" s="1"/>
  <c r="H19" i="1" s="1"/>
  <c r="I18" i="1"/>
  <c r="F18" i="1" s="1"/>
  <c r="H18" i="1" s="1"/>
  <c r="I17" i="1"/>
  <c r="F17" i="1"/>
  <c r="H17" i="1" s="1"/>
  <c r="I16" i="1"/>
  <c r="F16" i="1"/>
  <c r="H16" i="1" s="1"/>
  <c r="I15" i="1"/>
  <c r="F15" i="1"/>
  <c r="H15" i="1" s="1"/>
  <c r="I14" i="1"/>
  <c r="F14" i="1" s="1"/>
  <c r="H14" i="1" s="1"/>
  <c r="I13" i="1"/>
  <c r="F13" i="1" s="1"/>
  <c r="H13" i="1" s="1"/>
  <c r="I12" i="1"/>
  <c r="F12" i="1"/>
  <c r="H12" i="1" s="1"/>
  <c r="I11" i="1"/>
  <c r="F11" i="1" s="1"/>
  <c r="H11" i="1" s="1"/>
  <c r="I10" i="1"/>
  <c r="F10" i="1" s="1"/>
  <c r="H10" i="1" s="1"/>
  <c r="I9" i="1"/>
  <c r="F9" i="1"/>
  <c r="H9" i="1" s="1"/>
  <c r="I8" i="1"/>
  <c r="F8" i="1"/>
  <c r="H8" i="1" s="1"/>
  <c r="I7" i="1"/>
  <c r="F7" i="1"/>
  <c r="H7" i="1" s="1"/>
  <c r="I6" i="1"/>
  <c r="F6" i="1" s="1"/>
  <c r="H6" i="1" s="1"/>
</calcChain>
</file>

<file path=xl/sharedStrings.xml><?xml version="1.0" encoding="utf-8"?>
<sst xmlns="http://schemas.openxmlformats.org/spreadsheetml/2006/main" count="651" uniqueCount="161">
  <si>
    <t>Fuels</t>
  </si>
  <si>
    <r>
      <t xml:space="preserve">Combustion of fuels in owned or controlled stationary equipment such as boilers, furnaces, burners, turbines, heaters, incinerators, engines, flares, etc.
</t>
    </r>
    <r>
      <rPr>
        <b/>
        <sz val="12"/>
        <color theme="1"/>
        <rFont val="Calibri"/>
        <family val="2"/>
        <scheme val="minor"/>
      </rPr>
      <t>Do NOT include here the combustion of fuels in transportation devices such as automobiles, trucks, buses,
trains, airplanes, boats, ships, barges, vessels, etc.</t>
    </r>
  </si>
  <si>
    <t>Please enter the amount for each applicable fuels</t>
  </si>
  <si>
    <t>Type</t>
  </si>
  <si>
    <t>Fuel</t>
  </si>
  <si>
    <t>Unit</t>
  </si>
  <si>
    <t>Factor</t>
  </si>
  <si>
    <t>Amount</t>
  </si>
  <si>
    <t>kg CO2e</t>
  </si>
  <si>
    <t>Scope 1</t>
  </si>
  <si>
    <t>Gaseous fuels</t>
  </si>
  <si>
    <t>CNG</t>
  </si>
  <si>
    <t>litres</t>
  </si>
  <si>
    <t>LNG</t>
  </si>
  <si>
    <t>LPG</t>
  </si>
  <si>
    <t>Natural gas</t>
  </si>
  <si>
    <t>cubic metres</t>
  </si>
  <si>
    <t>Natural gas (100% mineral blend)</t>
  </si>
  <si>
    <t>Other petroleum gas</t>
  </si>
  <si>
    <t>Liquid fuels</t>
  </si>
  <si>
    <t>Aviation spirit</t>
  </si>
  <si>
    <t>Aviation turbine fuel</t>
  </si>
  <si>
    <t>Burning oil</t>
  </si>
  <si>
    <t>Diesel (average biofuel blend)</t>
  </si>
  <si>
    <t>Diesel (100% mineral diesel)</t>
  </si>
  <si>
    <t>Fuel oil</t>
  </si>
  <si>
    <t>Gas oil</t>
  </si>
  <si>
    <t>Lubricants</t>
  </si>
  <si>
    <t>Naphtha</t>
  </si>
  <si>
    <t>Petrol (average biofuel blend)</t>
  </si>
  <si>
    <t>Petrol (100% mineral petrol)</t>
  </si>
  <si>
    <t>Processed fuel oils - residual oil</t>
  </si>
  <si>
    <t>Processed fuel oils - distillate oil</t>
  </si>
  <si>
    <t>Waste oils</t>
  </si>
  <si>
    <t>Marine gas oil</t>
  </si>
  <si>
    <t>Marine fuel oil</t>
  </si>
  <si>
    <t>Solid fuels</t>
  </si>
  <si>
    <t>Coal (industrial)</t>
  </si>
  <si>
    <t>tonnes</t>
  </si>
  <si>
    <t>Coal (electricity generation)</t>
  </si>
  <si>
    <t>Coal (domestic)</t>
  </si>
  <si>
    <t>Coking coal</t>
  </si>
  <si>
    <t>Petroleum coke</t>
  </si>
  <si>
    <t>Coal (electricity generation - home produced coal only)</t>
  </si>
  <si>
    <t>Bioenergy</t>
  </si>
  <si>
    <t xml:space="preserve">Combustion of fuels produced from recently living sources (such as trees) at a site or in an asset under the direct control of the reporting organisation. All factors are on a net calorific value basis.
</t>
  </si>
  <si>
    <t>Please enter the amount for each applicable bioenergy source</t>
  </si>
  <si>
    <t>Biofuel</t>
  </si>
  <si>
    <t>Bioethanol</t>
  </si>
  <si>
    <t>Biodiesel ME</t>
  </si>
  <si>
    <t>Biodiesel ME (from used cooking oil)</t>
  </si>
  <si>
    <t>Biodiesel ME (from tallow)</t>
  </si>
  <si>
    <t>Biomass</t>
  </si>
  <si>
    <t>Wood logs</t>
  </si>
  <si>
    <t>Wood chips</t>
  </si>
  <si>
    <t>Wood pellets</t>
  </si>
  <si>
    <t>Grass/straw</t>
  </si>
  <si>
    <t>Biogas</t>
  </si>
  <si>
    <t>Landfill gas</t>
  </si>
  <si>
    <t>Refrigerant and others</t>
  </si>
  <si>
    <t>From leakage from air-conditioning and refrigeration units or the release to the atmosphere of other gases that have a global warming potential.</t>
  </si>
  <si>
    <t>Please enter the amount for each applicable refrigerant</t>
  </si>
  <si>
    <t>Emission</t>
  </si>
  <si>
    <t>Factors</t>
  </si>
  <si>
    <t>Amount (Kg)</t>
  </si>
  <si>
    <t>Refrigerant &amp; other</t>
  </si>
  <si>
    <t>Kyoto protocol - standard</t>
  </si>
  <si>
    <t>Carbon dioxide</t>
  </si>
  <si>
    <t>kg</t>
  </si>
  <si>
    <t>Methane</t>
  </si>
  <si>
    <t>Nitrous oxide</t>
  </si>
  <si>
    <t>HFC-23</t>
  </si>
  <si>
    <t>HFC-32</t>
  </si>
  <si>
    <t>HFC-41</t>
  </si>
  <si>
    <t>HFC-125</t>
  </si>
  <si>
    <t>HFC-134</t>
  </si>
  <si>
    <t>HFC-134a</t>
  </si>
  <si>
    <t>HFC-143</t>
  </si>
  <si>
    <t>HFC-143a</t>
  </si>
  <si>
    <t>HFC-152a</t>
  </si>
  <si>
    <t>HFC-227ea</t>
  </si>
  <si>
    <t>HFC-236fa</t>
  </si>
  <si>
    <t>HFC-245fa</t>
  </si>
  <si>
    <t>HFC-43-I0mee</t>
  </si>
  <si>
    <t>Perfluoromethane (PFC-14)</t>
  </si>
  <si>
    <t>Perfluoroethane (PFC-116)</t>
  </si>
  <si>
    <t>Perfluoropropane (PFC-218)</t>
  </si>
  <si>
    <t>Perfluorocyclobutane (PFC-318)</t>
  </si>
  <si>
    <t>Perfluorobutane (PFC-3-1-10)</t>
  </si>
  <si>
    <t>Perfluoropentane (PFC-4-1-12)</t>
  </si>
  <si>
    <t>Perfluorohexane (PFC-5-1-14)</t>
  </si>
  <si>
    <t>Sulphur hexafluoride (SF6)</t>
  </si>
  <si>
    <t>HFC-152</t>
  </si>
  <si>
    <t>HFC-161</t>
  </si>
  <si>
    <t>HFC-236cb</t>
  </si>
  <si>
    <t>HFC-236ea</t>
  </si>
  <si>
    <t>HFC-245ca</t>
  </si>
  <si>
    <t>HFC-365mfc</t>
  </si>
  <si>
    <t>Kyoto protocol- blends</t>
  </si>
  <si>
    <t>R404A</t>
  </si>
  <si>
    <t>R407A</t>
  </si>
  <si>
    <t>R407C</t>
  </si>
  <si>
    <t>R407F</t>
  </si>
  <si>
    <t>R408A</t>
  </si>
  <si>
    <t>R410A</t>
  </si>
  <si>
    <t>R507A</t>
  </si>
  <si>
    <t>R508B</t>
  </si>
  <si>
    <t>R403A</t>
  </si>
  <si>
    <t>Montreal protocol - standard</t>
  </si>
  <si>
    <t>CFC-11/R11 = trichlorofluoromethane</t>
  </si>
  <si>
    <t>CFC-12/R12 = dichlorodifluoromethane</t>
  </si>
  <si>
    <t>CFC-13</t>
  </si>
  <si>
    <t>CFC-113</t>
  </si>
  <si>
    <t>CFC-114</t>
  </si>
  <si>
    <t>CFC-115</t>
  </si>
  <si>
    <t>Halon-1211</t>
  </si>
  <si>
    <t>Halon-1301</t>
  </si>
  <si>
    <t>Halon-2402</t>
  </si>
  <si>
    <t>Carbon tetrachloride</t>
  </si>
  <si>
    <t>Methyl bromide</t>
  </si>
  <si>
    <t>Methyl chloroform</t>
  </si>
  <si>
    <t>HCFC-22/R22 = chlorodifluoromethane</t>
  </si>
  <si>
    <t>HCFC-123</t>
  </si>
  <si>
    <t>HCFC-124</t>
  </si>
  <si>
    <t>HCFC-141b</t>
  </si>
  <si>
    <t>HCFC-142b</t>
  </si>
  <si>
    <t>HCFC-225ca</t>
  </si>
  <si>
    <t>HCFC-225cb</t>
  </si>
  <si>
    <t>HCFC-21</t>
  </si>
  <si>
    <t>Other perfluorinated gases</t>
  </si>
  <si>
    <t>Nitrogen trifluoride</t>
  </si>
  <si>
    <t>PFC-9-1-18</t>
  </si>
  <si>
    <t>Trifluoromethyl sulphur pentafluoride</t>
  </si>
  <si>
    <t>Perfluorocyclopropane</t>
  </si>
  <si>
    <t>Fluorinated ethers</t>
  </si>
  <si>
    <t>HFE-125</t>
  </si>
  <si>
    <t>HFE-134</t>
  </si>
  <si>
    <t>HFE-143a</t>
  </si>
  <si>
    <t>HCFE-235da2</t>
  </si>
  <si>
    <t>HFE-245cb2</t>
  </si>
  <si>
    <t>HFE-245fa2</t>
  </si>
  <si>
    <t>HFE-254cb2</t>
  </si>
  <si>
    <t>HFE-347mcc3</t>
  </si>
  <si>
    <t>HFE-347pcf2</t>
  </si>
  <si>
    <t>HFE-356pcc3</t>
  </si>
  <si>
    <t>HFE-449sl (HFE-7100)</t>
  </si>
  <si>
    <t>HFE-569sf2 (HFE-7200)</t>
  </si>
  <si>
    <t>HFE-43-10pccc124 (H-Galden1040x)</t>
  </si>
  <si>
    <t>HFE-236ca12 (HG-10)</t>
  </si>
  <si>
    <t>HFE-338pcc13 (HG-01)</t>
  </si>
  <si>
    <t>Other refrigerants</t>
  </si>
  <si>
    <t>PFPMIE</t>
  </si>
  <si>
    <t>Dimethylether</t>
  </si>
  <si>
    <t>Methylene chloride</t>
  </si>
  <si>
    <t>Methyl chloride</t>
  </si>
  <si>
    <t>R290 = propane</t>
  </si>
  <si>
    <t>R600A = isobutane</t>
  </si>
  <si>
    <t>Montreal protocol - blends</t>
  </si>
  <si>
    <t>R406A</t>
  </si>
  <si>
    <t>R409A</t>
  </si>
  <si>
    <t>R502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</si>
</sst>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??\ _€_-;_-@_-"/>
    <numFmt numFmtId="165" formatCode="_-* #,##0.00\ _€_-;\-* #,##0.00\ _€_-;_-* &quot;-&quot;??\ _€_-;_-@_-"/>
  </numFmts>
  <fonts count="1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</font>
    <font>
      <sz val="12"/>
      <color theme="0" tint="-0.1499984740745262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 tint="-0.14999847407452621"/>
      <name val="Calibri (Body)_x0000_"/>
    </font>
    <font>
      <sz val="11"/>
      <color theme="0" tint="-0.14999847407452621"/>
      <name val="Calibri (Body)_x0000_"/>
    </font>
    <font>
      <sz val="10"/>
      <color theme="0" tint="-0.14999847407452621"/>
      <name val="Calibri (Body)_x0000_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164" fontId="6" fillId="2" borderId="0" xfId="2" applyNumberFormat="1" applyFont="1" applyFill="1" applyAlignment="1" applyProtection="1">
      <alignment horizontal="right"/>
      <protection locked="0"/>
    </xf>
    <xf numFmtId="0" fontId="7" fillId="2" borderId="0" xfId="0" applyFont="1" applyFill="1" applyAlignment="1">
      <alignment wrapText="1"/>
    </xf>
    <xf numFmtId="0" fontId="8" fillId="3" borderId="0" xfId="0" applyFont="1" applyFill="1" applyAlignment="1">
      <alignment horizontal="left" vertical="top" wrapText="1"/>
    </xf>
    <xf numFmtId="165" fontId="0" fillId="2" borderId="0" xfId="1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vertical="center" wrapText="1"/>
    </xf>
    <xf numFmtId="0" fontId="9" fillId="2" borderId="1" xfId="0" applyFont="1" applyFill="1" applyBorder="1" applyAlignment="1">
      <alignment horizontal="left" wrapText="1"/>
    </xf>
    <xf numFmtId="0" fontId="9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5" fontId="2" fillId="4" borderId="2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1" fillId="5" borderId="2" xfId="0" applyFont="1" applyFill="1" applyBorder="1" applyAlignment="1">
      <alignment vertical="center"/>
    </xf>
    <xf numFmtId="165" fontId="11" fillId="6" borderId="2" xfId="1" applyFont="1" applyFill="1" applyBorder="1" applyAlignment="1" applyProtection="1">
      <alignment vertical="center"/>
      <protection locked="0"/>
    </xf>
    <xf numFmtId="165" fontId="11" fillId="5" borderId="2" xfId="1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165" fontId="11" fillId="2" borderId="0" xfId="1" applyFont="1" applyFill="1" applyAlignment="1">
      <alignment vertical="center"/>
    </xf>
    <xf numFmtId="0" fontId="10" fillId="2" borderId="0" xfId="0" applyFont="1" applyFill="1"/>
    <xf numFmtId="0" fontId="11" fillId="2" borderId="0" xfId="0" applyFont="1" applyFill="1" applyAlignment="1">
      <alignment horizontal="left"/>
    </xf>
    <xf numFmtId="0" fontId="11" fillId="2" borderId="0" xfId="0" applyFont="1" applyFill="1"/>
    <xf numFmtId="165" fontId="11" fillId="2" borderId="0" xfId="1" applyFont="1" applyFill="1"/>
    <xf numFmtId="165" fontId="1" fillId="2" borderId="0" xfId="1" applyFont="1" applyFill="1"/>
    <xf numFmtId="164" fontId="6" fillId="2" borderId="0" xfId="2" applyNumberFormat="1" applyFont="1" applyFill="1" applyAlignment="1">
      <alignment horizontal="right"/>
    </xf>
    <xf numFmtId="164" fontId="12" fillId="2" borderId="0" xfId="2" applyNumberFormat="1" applyFont="1" applyFill="1" applyAlignment="1">
      <alignment horizontal="right"/>
    </xf>
    <xf numFmtId="0" fontId="0" fillId="2" borderId="0" xfId="0" applyFill="1" applyAlignment="1">
      <alignment horizontal="left" wrapText="1"/>
    </xf>
    <xf numFmtId="165" fontId="12" fillId="2" borderId="0" xfId="1" applyFont="1" applyFill="1" applyAlignment="1">
      <alignment wrapText="1"/>
    </xf>
    <xf numFmtId="0" fontId="13" fillId="2" borderId="0" xfId="0" applyFont="1" applyFill="1" applyAlignment="1">
      <alignment horizontal="center" vertical="center"/>
    </xf>
    <xf numFmtId="164" fontId="11" fillId="5" borderId="2" xfId="1" applyNumberFormat="1" applyFont="1" applyFill="1" applyBorder="1" applyAlignment="1">
      <alignment vertical="center"/>
    </xf>
    <xf numFmtId="164" fontId="11" fillId="6" borderId="2" xfId="1" applyNumberFormat="1" applyFont="1" applyFill="1" applyBorder="1" applyAlignment="1" applyProtection="1">
      <alignment vertical="center"/>
      <protection locked="0"/>
    </xf>
    <xf numFmtId="0" fontId="14" fillId="2" borderId="0" xfId="0" applyFont="1" applyFill="1" applyAlignment="1">
      <alignment vertical="center"/>
    </xf>
    <xf numFmtId="164" fontId="11" fillId="2" borderId="0" xfId="1" applyNumberFormat="1" applyFont="1" applyFill="1"/>
    <xf numFmtId="165" fontId="14" fillId="2" borderId="0" xfId="1" applyFont="1" applyFill="1" applyBorder="1"/>
    <xf numFmtId="165" fontId="14" fillId="2" borderId="0" xfId="1" applyFont="1" applyFill="1"/>
    <xf numFmtId="164" fontId="1" fillId="2" borderId="0" xfId="1" applyNumberFormat="1" applyFont="1" applyFill="1"/>
    <xf numFmtId="165" fontId="13" fillId="2" borderId="0" xfId="1" applyFont="1" applyFill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GHG_emissions_calculator_ver02.6.xlsx" TargetMode="External"/><Relationship Id="rId1" Type="http://schemas.openxmlformats.org/officeDocument/2006/relationships/externalLinkPath" Target="file:///C:\Users\Dell\Downloads\GHG_emissions_calculator_ver02.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Defra%20GHG%20Conversion%20Factors\2018%20Update\Electricity\UK%20Elec\GHG%20CF_UK%20Electricity_2018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"/>
      <sheetName val="Disclaimer"/>
      <sheetName val="Info and sources"/>
      <sheetName val="Report"/>
      <sheetName val="Your organisation"/>
      <sheetName val="Fuels"/>
      <sheetName val="Bioenergy"/>
      <sheetName val="Refrigerants"/>
      <sheetName val="Electricity, heat, cooling, T&amp;D"/>
      <sheetName val="Owned vehicles"/>
      <sheetName val="WTT- fuels"/>
      <sheetName val="Material use"/>
      <sheetName val="Waste disposal"/>
      <sheetName val="Flight and Accommodation"/>
      <sheetName val="Business travel - land and sea"/>
      <sheetName val="Freighting goods"/>
      <sheetName val="Employees commuting"/>
      <sheetName val="Food"/>
      <sheetName val="Home Office"/>
      <sheetName val="Water"/>
    </sheetNames>
    <sheetDataSet>
      <sheetData sheetId="0">
        <row r="1">
          <cell r="J1" t="str">
            <v>Lookup VALID</v>
          </cell>
          <cell r="K1" t="str">
            <v>Lookup (DON'T USE)</v>
          </cell>
          <cell r="L1" t="str">
            <v>GHG Conversion Factor 2021</v>
          </cell>
        </row>
        <row r="2">
          <cell r="J2" t="str">
            <v>Scope 1FuelsGaseous fuelsButanekWh</v>
          </cell>
          <cell r="K2" t="str">
            <v>Butane kWh (Gross CV)</v>
          </cell>
          <cell r="L2">
            <v>0.22239999999999999</v>
          </cell>
        </row>
        <row r="3">
          <cell r="J3" t="str">
            <v>Scope 1FuelsGaseous fuelsButanekWh</v>
          </cell>
          <cell r="K3" t="str">
            <v>Butane kWh (Net CV)</v>
          </cell>
          <cell r="L3">
            <v>0.24106</v>
          </cell>
        </row>
        <row r="4">
          <cell r="J4" t="str">
            <v>Scope 1FuelsGaseous fuelsButanelitres</v>
          </cell>
          <cell r="K4" t="str">
            <v>Butane litres</v>
          </cell>
          <cell r="L4">
            <v>1.74529</v>
          </cell>
        </row>
        <row r="5">
          <cell r="J5" t="str">
            <v>Scope 1FuelsGaseous fuelsButanetonnes</v>
          </cell>
          <cell r="K5" t="str">
            <v>Butane tonnes</v>
          </cell>
          <cell r="L5">
            <v>3033.32</v>
          </cell>
        </row>
        <row r="6">
          <cell r="J6" t="str">
            <v>Scope 1FuelsGaseous fuelsCNGkWh</v>
          </cell>
          <cell r="K6" t="str">
            <v>CNG kWh (Gross CV)</v>
          </cell>
          <cell r="L6">
            <v>0.18315999999999999</v>
          </cell>
        </row>
        <row r="7">
          <cell r="J7" t="str">
            <v>Scope 1FuelsGaseous fuelsCNGkWh</v>
          </cell>
          <cell r="K7" t="str">
            <v>CNG kWh (Net CV)</v>
          </cell>
          <cell r="L7">
            <v>0.20297000000000001</v>
          </cell>
        </row>
        <row r="8">
          <cell r="J8" t="str">
            <v>Scope 1FuelsGaseous fuelsCNGlitres</v>
          </cell>
          <cell r="K8" t="str">
            <v>CNG litres</v>
          </cell>
          <cell r="L8">
            <v>0.44423000000000001</v>
          </cell>
        </row>
        <row r="9">
          <cell r="J9" t="str">
            <v>Scope 1FuelsGaseous fuelsCNGtonnes</v>
          </cell>
          <cell r="K9" t="str">
            <v>CNG tonnes</v>
          </cell>
          <cell r="L9">
            <v>2538.48</v>
          </cell>
        </row>
        <row r="10">
          <cell r="J10" t="str">
            <v>Scope 1FuelsGaseous fuelsLNGkWh</v>
          </cell>
          <cell r="K10" t="str">
            <v>LNG kWh (Gross CV)</v>
          </cell>
          <cell r="L10">
            <v>0.18437999999999999</v>
          </cell>
        </row>
        <row r="11">
          <cell r="J11" t="str">
            <v>Scope 1FuelsGaseous fuelsLNGkWh</v>
          </cell>
          <cell r="K11" t="str">
            <v>LNG kWh (Net CV)</v>
          </cell>
          <cell r="L11">
            <v>0.20430999999999999</v>
          </cell>
        </row>
        <row r="12">
          <cell r="J12" t="str">
            <v>Scope 1FuelsGaseous fuelsLNGlitres</v>
          </cell>
          <cell r="K12" t="str">
            <v>LNG litres</v>
          </cell>
          <cell r="L12">
            <v>1.1562300000000001</v>
          </cell>
        </row>
        <row r="13">
          <cell r="J13" t="str">
            <v>Scope 1FuelsGaseous fuelsLNGtonnes</v>
          </cell>
          <cell r="K13" t="str">
            <v>LNG tonnes</v>
          </cell>
          <cell r="L13">
            <v>2555.2800000000002</v>
          </cell>
        </row>
        <row r="14">
          <cell r="J14" t="str">
            <v>Scope 1FuelsGaseous fuelsLPGkWh</v>
          </cell>
          <cell r="K14" t="str">
            <v>LPG kWh (Gross CV)</v>
          </cell>
          <cell r="L14">
            <v>0.21448999999999999</v>
          </cell>
        </row>
        <row r="15">
          <cell r="J15" t="str">
            <v>Scope 1FuelsGaseous fuelsLPGkWh</v>
          </cell>
          <cell r="K15" t="str">
            <v>LPG kWh (Net CV)</v>
          </cell>
          <cell r="L15">
            <v>0.23030999999999999</v>
          </cell>
        </row>
        <row r="16">
          <cell r="J16" t="str">
            <v>Scope 1FuelsGaseous fuelsLPGlitres</v>
          </cell>
          <cell r="K16" t="str">
            <v>LPG litres</v>
          </cell>
          <cell r="L16">
            <v>1.5570900000000001</v>
          </cell>
        </row>
        <row r="17">
          <cell r="J17" t="str">
            <v>Scope 1FuelsGaseous fuelsLPGtonnes</v>
          </cell>
          <cell r="K17" t="str">
            <v>LPG tonnes</v>
          </cell>
          <cell r="L17">
            <v>2939.29</v>
          </cell>
        </row>
        <row r="18">
          <cell r="J18" t="str">
            <v>Scope 1FuelsGaseous fuelsNatural gaskWh</v>
          </cell>
          <cell r="K18" t="str">
            <v>Natural gas kWh (Gross CV)</v>
          </cell>
          <cell r="L18">
            <v>0.18315999999999999</v>
          </cell>
        </row>
        <row r="19">
          <cell r="J19" t="str">
            <v>Scope 1FuelsGaseous fuelsNatural gaskWh</v>
          </cell>
          <cell r="K19" t="str">
            <v>Natural gas kWh (Net CV)</v>
          </cell>
          <cell r="L19">
            <v>0.20297000000000001</v>
          </cell>
        </row>
        <row r="20">
          <cell r="J20" t="str">
            <v>Scope 1FuelsGaseous fuelsNatural gascubic metres</v>
          </cell>
          <cell r="K20" t="str">
            <v>Natural gas cubic metres</v>
          </cell>
          <cell r="L20">
            <v>2.02135</v>
          </cell>
        </row>
        <row r="21">
          <cell r="J21" t="str">
            <v>Scope 1FuelsGaseous fuelsNatural gastonnes</v>
          </cell>
          <cell r="K21" t="str">
            <v>Natural gas tonnes</v>
          </cell>
          <cell r="L21">
            <v>2538.48</v>
          </cell>
        </row>
        <row r="22">
          <cell r="J22" t="str">
            <v>Scope 1FuelsGaseous fuelsOther petroleum gaskWh</v>
          </cell>
          <cell r="K22" t="str">
            <v>Other petroleum gas kWh (Gross CV)</v>
          </cell>
          <cell r="L22">
            <v>0.18323999999999999</v>
          </cell>
        </row>
        <row r="23">
          <cell r="J23" t="str">
            <v>Scope 1FuelsGaseous fuelsOther petroleum gaskWh</v>
          </cell>
          <cell r="K23" t="str">
            <v>Other petroleum gas kWh (Net CV)</v>
          </cell>
          <cell r="L23">
            <v>0.19917000000000001</v>
          </cell>
        </row>
        <row r="24">
          <cell r="J24" t="str">
            <v>Scope 1FuelsGaseous fuelsOther petroleum gaslitres</v>
          </cell>
          <cell r="K24" t="str">
            <v>Other petroleum gas litres</v>
          </cell>
          <cell r="L24">
            <v>0.94440999999999997</v>
          </cell>
        </row>
        <row r="25">
          <cell r="J25" t="str">
            <v>Scope 1FuelsGaseous fuelsOther petroleum gastonnes</v>
          </cell>
          <cell r="K25" t="str">
            <v>Other petroleum gas tonnes</v>
          </cell>
          <cell r="L25">
            <v>2578.25</v>
          </cell>
        </row>
        <row r="26">
          <cell r="J26" t="str">
            <v>Scope 1FuelsGaseous fuelsPropanekWh</v>
          </cell>
          <cell r="K26" t="str">
            <v>Propane kWh (Gross CV)</v>
          </cell>
          <cell r="L26">
            <v>0.21410999999999999</v>
          </cell>
        </row>
        <row r="27">
          <cell r="J27" t="str">
            <v>Scope 1FuelsGaseous fuelsPropanekWh</v>
          </cell>
          <cell r="K27" t="str">
            <v>Propane kWh (Net CV)</v>
          </cell>
          <cell r="L27">
            <v>0.23257</v>
          </cell>
        </row>
        <row r="28">
          <cell r="J28" t="str">
            <v>Scope 1FuelsGaseous fuelsPropanelitres</v>
          </cell>
          <cell r="K28" t="str">
            <v>Propane litres</v>
          </cell>
          <cell r="L28">
            <v>1.5435399999999999</v>
          </cell>
        </row>
        <row r="29">
          <cell r="J29" t="str">
            <v>Scope 1FuelsGaseous fuelsPropanetonnes</v>
          </cell>
          <cell r="K29" t="str">
            <v>Propane tonnes</v>
          </cell>
          <cell r="L29">
            <v>2997.55</v>
          </cell>
        </row>
        <row r="30">
          <cell r="J30" t="str">
            <v>Scope 1FuelsLiquid fuelsAviation spiritkWh</v>
          </cell>
          <cell r="K30" t="str">
            <v>Aviation spirit kWh (Gross CV)</v>
          </cell>
          <cell r="L30">
            <v>0.24374999999999999</v>
          </cell>
        </row>
        <row r="31">
          <cell r="J31" t="str">
            <v>Scope 1FuelsLiquid fuelsAviation spiritkWh</v>
          </cell>
          <cell r="K31" t="str">
            <v>Aviation spirit kWh (Net CV)</v>
          </cell>
          <cell r="L31">
            <v>0.25657999999999997</v>
          </cell>
        </row>
        <row r="32">
          <cell r="J32" t="str">
            <v>Scope 1FuelsLiquid fuelsAviation spiritlitres</v>
          </cell>
          <cell r="K32" t="str">
            <v>Aviation spirit litres</v>
          </cell>
          <cell r="L32">
            <v>2.3304800000000001</v>
          </cell>
        </row>
        <row r="33">
          <cell r="J33" t="str">
            <v>Scope 1FuelsLiquid fuelsAviation spirittonnes</v>
          </cell>
          <cell r="K33" t="str">
            <v>Aviation spirit tonnes</v>
          </cell>
          <cell r="L33">
            <v>3192.76</v>
          </cell>
        </row>
        <row r="34">
          <cell r="J34" t="str">
            <v>Scope 1FuelsLiquid fuelsAviation turbine fuelkWh</v>
          </cell>
          <cell r="K34" t="str">
            <v>Aviation turbine fuel kWh (Gross CV)</v>
          </cell>
          <cell r="L34">
            <v>0.24782000000000001</v>
          </cell>
        </row>
        <row r="35">
          <cell r="J35" t="str">
            <v>Scope 1FuelsLiquid fuelsAviation turbine fuelkWh</v>
          </cell>
          <cell r="K35" t="str">
            <v>Aviation turbine fuel kWh (Net CV)</v>
          </cell>
          <cell r="L35">
            <v>0.26085999999999998</v>
          </cell>
        </row>
        <row r="36">
          <cell r="J36" t="str">
            <v>Scope 1FuelsLiquid fuelsAviation turbine fuellitres</v>
          </cell>
          <cell r="K36" t="str">
            <v>Aviation turbine fuel litres</v>
          </cell>
          <cell r="L36">
            <v>2.54514</v>
          </cell>
        </row>
        <row r="37">
          <cell r="J37" t="str">
            <v>Scope 1FuelsLiquid fuelsAviation turbine fueltonnes</v>
          </cell>
          <cell r="K37" t="str">
            <v>Aviation turbine fuel tonnes</v>
          </cell>
          <cell r="L37">
            <v>3181.43</v>
          </cell>
        </row>
        <row r="38">
          <cell r="J38" t="str">
            <v>Scope 1FuelsLiquid fuelsBurning oilkWh</v>
          </cell>
          <cell r="K38" t="str">
            <v>Burning oil kWh (Gross CV)</v>
          </cell>
          <cell r="L38">
            <v>0.24676999999999999</v>
          </cell>
        </row>
        <row r="39">
          <cell r="J39" t="str">
            <v>Scope 1FuelsLiquid fuelsBurning oilkWh</v>
          </cell>
          <cell r="K39" t="str">
            <v>Burning oil kWh (Net CV)</v>
          </cell>
          <cell r="L39">
            <v>0.25974999999999998</v>
          </cell>
        </row>
        <row r="40">
          <cell r="J40" t="str">
            <v>Scope 1FuelsLiquid fuelsBurning oillitres</v>
          </cell>
          <cell r="K40" t="str">
            <v>Burning oil litres</v>
          </cell>
          <cell r="L40">
            <v>2.5401400000000001</v>
          </cell>
        </row>
        <row r="41">
          <cell r="J41" t="str">
            <v>Scope 1FuelsLiquid fuelsBurning oiltonnes</v>
          </cell>
          <cell r="K41" t="str">
            <v>Burning oil tonnes</v>
          </cell>
          <cell r="L41">
            <v>3165.01</v>
          </cell>
        </row>
        <row r="42">
          <cell r="J42" t="str">
            <v>Scope 1FuelsLiquid fuelsDiesel (average biofuel blend)kWh</v>
          </cell>
          <cell r="K42" t="str">
            <v>Diesel (average biofuel blend) kWh (Gross CV)</v>
          </cell>
          <cell r="L42">
            <v>0.23685999999999999</v>
          </cell>
        </row>
        <row r="43">
          <cell r="J43" t="str">
            <v>Scope 1FuelsLiquid fuelsDiesel (average biofuel blend)kWh</v>
          </cell>
          <cell r="K43" t="str">
            <v>Diesel (average biofuel blend) kWh (Net CV)</v>
          </cell>
          <cell r="L43">
            <v>0.25164999999999998</v>
          </cell>
        </row>
        <row r="44">
          <cell r="J44" t="str">
            <v>Scope 1FuelsLiquid fuelsDiesel (average biofuel blend)litres</v>
          </cell>
          <cell r="K44" t="str">
            <v>Diesel (average biofuel blend) litres</v>
          </cell>
          <cell r="L44">
            <v>2.51233</v>
          </cell>
        </row>
        <row r="45">
          <cell r="J45" t="str">
            <v>Scope 1FuelsLiquid fuelsDiesel (average biofuel blend)tonnes</v>
          </cell>
          <cell r="K45" t="str">
            <v>Diesel (average biofuel blend) tonnes</v>
          </cell>
          <cell r="L45">
            <v>2969.07</v>
          </cell>
        </row>
        <row r="46">
          <cell r="J46" t="str">
            <v>Scope 1FuelsLiquid fuelsDiesel (100% mineral diesel)kWh</v>
          </cell>
          <cell r="K46" t="str">
            <v>Diesel (100% mineral diesel) kWh (Gross CV)</v>
          </cell>
          <cell r="L46">
            <v>0.25337999999999999</v>
          </cell>
        </row>
        <row r="47">
          <cell r="J47" t="str">
            <v>Scope 1FuelsLiquid fuelsDiesel (100% mineral diesel)kWh</v>
          </cell>
          <cell r="K47" t="str">
            <v>Diesel (100% mineral diesel) kWh (Net CV)</v>
          </cell>
          <cell r="L47">
            <v>0.26955000000000001</v>
          </cell>
        </row>
        <row r="48">
          <cell r="J48" t="str">
            <v>Scope 1FuelsLiquid fuelsDiesel (100% mineral diesel)litres</v>
          </cell>
          <cell r="K48" t="str">
            <v>Diesel (100% mineral diesel) litres</v>
          </cell>
          <cell r="L48">
            <v>2.70553</v>
          </cell>
        </row>
        <row r="49">
          <cell r="J49" t="str">
            <v>Scope 1FuelsLiquid fuelsDiesel (100% mineral diesel)tonnes</v>
          </cell>
          <cell r="K49" t="str">
            <v>Diesel (100% mineral diesel) tonnes</v>
          </cell>
          <cell r="L49">
            <v>3208.76</v>
          </cell>
        </row>
        <row r="50">
          <cell r="J50" t="str">
            <v>Scope 1FuelsLiquid fuelsFuel oilkWh</v>
          </cell>
          <cell r="K50" t="str">
            <v>Fuel oil kWh (Gross CV)</v>
          </cell>
          <cell r="L50">
            <v>0.26815</v>
          </cell>
        </row>
        <row r="51">
          <cell r="J51" t="str">
            <v>Scope 1FuelsLiquid fuelsFuel oilkWh</v>
          </cell>
          <cell r="K51" t="str">
            <v>Fuel oil kWh (Net CV)</v>
          </cell>
          <cell r="L51">
            <v>0.28527000000000002</v>
          </cell>
        </row>
        <row r="52">
          <cell r="J52" t="str">
            <v>Scope 1FuelsLiquid fuelsFuel oillitres</v>
          </cell>
          <cell r="K52" t="str">
            <v>Fuel oil litres</v>
          </cell>
          <cell r="L52">
            <v>3.1752199999999999</v>
          </cell>
        </row>
        <row r="53">
          <cell r="J53" t="str">
            <v>Scope 1FuelsLiquid fuelsFuel oiltonnes</v>
          </cell>
          <cell r="K53" t="str">
            <v>Fuel oil tonnes</v>
          </cell>
          <cell r="L53">
            <v>3229.2</v>
          </cell>
        </row>
        <row r="54">
          <cell r="J54" t="str">
            <v>Scope 1FuelsLiquid fuelsGas oilkWh</v>
          </cell>
          <cell r="K54" t="str">
            <v>Gas oil kWh (Gross CV)</v>
          </cell>
          <cell r="L54">
            <v>0.25679000000000002</v>
          </cell>
        </row>
        <row r="55">
          <cell r="J55" t="str">
            <v>Scope 1FuelsLiquid fuelsGas oilkWh</v>
          </cell>
          <cell r="K55" t="str">
            <v>Gas oil kWh (Net CV)</v>
          </cell>
          <cell r="L55">
            <v>0.27317999999999998</v>
          </cell>
        </row>
        <row r="56">
          <cell r="J56" t="str">
            <v>Scope 1FuelsLiquid fuelsGas oillitres</v>
          </cell>
          <cell r="K56" t="str">
            <v>Gas oil litres</v>
          </cell>
          <cell r="L56">
            <v>2.7585700000000002</v>
          </cell>
        </row>
        <row r="57">
          <cell r="J57" t="str">
            <v>Scope 1FuelsLiquid fuelsGas oiltonnes</v>
          </cell>
          <cell r="K57" t="str">
            <v>Gas oil tonnes</v>
          </cell>
          <cell r="L57">
            <v>3230.28</v>
          </cell>
        </row>
        <row r="58">
          <cell r="J58" t="str">
            <v>Scope 1FuelsLiquid fuelsLubricantskWh</v>
          </cell>
          <cell r="K58" t="str">
            <v>Lubricants kWh (Gross CV)</v>
          </cell>
          <cell r="L58">
            <v>0.26418000000000003</v>
          </cell>
        </row>
        <row r="59">
          <cell r="J59" t="str">
            <v>Scope 1FuelsLiquid fuelsLubricantskWh</v>
          </cell>
          <cell r="K59" t="str">
            <v>Lubricants kWh (Net CV)</v>
          </cell>
          <cell r="L59">
            <v>0.28105000000000002</v>
          </cell>
        </row>
        <row r="60">
          <cell r="J60" t="str">
            <v>Scope 1FuelsLiquid fuelsLubricantslitres</v>
          </cell>
          <cell r="K60" t="str">
            <v>Lubricants litres</v>
          </cell>
          <cell r="L60">
            <v>2.7497199999999999</v>
          </cell>
        </row>
        <row r="61">
          <cell r="J61" t="str">
            <v>Scope 1FuelsLiquid fuelsLubricantstonnes</v>
          </cell>
          <cell r="K61" t="str">
            <v>Lubricants tonnes</v>
          </cell>
          <cell r="L61">
            <v>3181.43</v>
          </cell>
        </row>
        <row r="62">
          <cell r="J62" t="str">
            <v>Scope 1FuelsLiquid fuelsNaphthakWh</v>
          </cell>
          <cell r="K62" t="str">
            <v>Naphtha kWh (Gross CV)</v>
          </cell>
          <cell r="L62">
            <v>0.23651</v>
          </cell>
        </row>
        <row r="63">
          <cell r="J63" t="str">
            <v>Scope 1FuelsLiquid fuelsNaphthakWh</v>
          </cell>
          <cell r="K63" t="str">
            <v>Naphtha kWh (Net CV)</v>
          </cell>
          <cell r="L63">
            <v>0.24895</v>
          </cell>
        </row>
        <row r="64">
          <cell r="J64" t="str">
            <v>Scope 1FuelsLiquid fuelsNaphthalitres</v>
          </cell>
          <cell r="K64" t="str">
            <v>Naphtha litres</v>
          </cell>
          <cell r="L64">
            <v>2.1192600000000001</v>
          </cell>
        </row>
        <row r="65">
          <cell r="J65" t="str">
            <v>Scope 1FuelsLiquid fuelsNaphthatonnes</v>
          </cell>
          <cell r="K65" t="str">
            <v>Naphtha tonnes</v>
          </cell>
          <cell r="L65">
            <v>3142.87</v>
          </cell>
        </row>
        <row r="66">
          <cell r="J66" t="str">
            <v>Scope 1FuelsLiquid fuelsPetrol (average biofuel blend)kWh</v>
          </cell>
          <cell r="K66" t="str">
            <v>Petrol (average biofuel blend) kWh (Gross CV)</v>
          </cell>
          <cell r="L66">
            <v>0.2298</v>
          </cell>
        </row>
        <row r="67">
          <cell r="J67" t="str">
            <v>Scope 1FuelsLiquid fuelsPetrol (average biofuel blend)kWh</v>
          </cell>
          <cell r="K67" t="str">
            <v>Petrol (average biofuel blend) kWh (Net CV)</v>
          </cell>
          <cell r="L67">
            <v>0.24227000000000001</v>
          </cell>
        </row>
        <row r="68">
          <cell r="J68" t="str">
            <v>Scope 1FuelsLiquid fuelsPetrol (average biofuel blend)litres</v>
          </cell>
          <cell r="K68" t="str">
            <v>Petrol (average biofuel blend) litres</v>
          </cell>
          <cell r="L68">
            <v>2.1935199999999999</v>
          </cell>
        </row>
        <row r="69">
          <cell r="J69" t="str">
            <v>Scope 1FuelsLiquid fuelsPetrol (average biofuel blend)tonnes</v>
          </cell>
          <cell r="K69" t="str">
            <v>Petrol (average biofuel blend) tonnes</v>
          </cell>
          <cell r="L69">
            <v>2947.62</v>
          </cell>
        </row>
        <row r="70">
          <cell r="J70" t="str">
            <v>Scope 1FuelsLiquid fuelsPetrol (100% mineral petrol)kWh</v>
          </cell>
          <cell r="K70" t="str">
            <v>Petrol (100% mineral petrol) kWh (Gross CV)</v>
          </cell>
          <cell r="L70">
            <v>0.24157999999999999</v>
          </cell>
        </row>
        <row r="71">
          <cell r="J71" t="str">
            <v>Scope 1FuelsLiquid fuelsPetrol (100% mineral petrol)kWh</v>
          </cell>
          <cell r="K71" t="str">
            <v>Petrol (100% mineral petrol) kWh (Net CV)</v>
          </cell>
          <cell r="L71">
            <v>0.25430000000000003</v>
          </cell>
        </row>
        <row r="72">
          <cell r="J72" t="str">
            <v>Scope 1FuelsLiquid fuelsPetrol (100% mineral petrol)litres</v>
          </cell>
          <cell r="K72" t="str">
            <v>Petrol (100% mineral petrol) litres</v>
          </cell>
          <cell r="L72">
            <v>2.33969</v>
          </cell>
        </row>
        <row r="73">
          <cell r="J73" t="str">
            <v>Scope 1FuelsLiquid fuelsPetrol (100% mineral petrol)tonnes</v>
          </cell>
          <cell r="K73" t="str">
            <v>Petrol (100% mineral petrol) tonnes</v>
          </cell>
          <cell r="L73">
            <v>3153.9</v>
          </cell>
        </row>
        <row r="74">
          <cell r="J74" t="str">
            <v>Scope 1FuelsLiquid fuelsProcessed fuel oils - residual oilkWh</v>
          </cell>
          <cell r="K74" t="str">
            <v>Processed fuel oils - residual oil kWh (Gross CV)</v>
          </cell>
          <cell r="L74">
            <v>0.26815</v>
          </cell>
        </row>
        <row r="75">
          <cell r="J75" t="str">
            <v>Scope 1FuelsLiquid fuelsProcessed fuel oils - residual oilkWh</v>
          </cell>
          <cell r="K75" t="str">
            <v>Processed fuel oils - residual oil kWh (Net CV)</v>
          </cell>
          <cell r="L75">
            <v>0.28527000000000002</v>
          </cell>
        </row>
        <row r="76">
          <cell r="J76" t="str">
            <v>Scope 1FuelsLiquid fuelsProcessed fuel oils - residual oillitres</v>
          </cell>
          <cell r="K76" t="str">
            <v>Processed fuel oils - residual oil litres</v>
          </cell>
          <cell r="L76">
            <v>3.1752199999999999</v>
          </cell>
        </row>
        <row r="77">
          <cell r="J77" t="str">
            <v>Scope 1FuelsLiquid fuelsProcessed fuel oils - residual oiltonnes</v>
          </cell>
          <cell r="K77" t="str">
            <v>Processed fuel oils - residual oil tonnes</v>
          </cell>
          <cell r="L77">
            <v>3229.2</v>
          </cell>
        </row>
        <row r="78">
          <cell r="J78" t="str">
            <v>Scope 1FuelsLiquid fuelsProcessed fuel oils - distillate oilkWh</v>
          </cell>
          <cell r="K78" t="str">
            <v>Processed fuel oils - distillate oil kWh (Gross CV)</v>
          </cell>
          <cell r="L78">
            <v>0.25679000000000002</v>
          </cell>
        </row>
        <row r="79">
          <cell r="J79" t="str">
            <v>Scope 1FuelsLiquid fuelsProcessed fuel oils - distillate oilkWh</v>
          </cell>
          <cell r="K79" t="str">
            <v>Processed fuel oils - distillate oil kWh (Net CV)</v>
          </cell>
          <cell r="L79">
            <v>0.27317999999999998</v>
          </cell>
        </row>
        <row r="80">
          <cell r="J80" t="str">
            <v>Scope 1FuelsLiquid fuelsProcessed fuel oils - distillate oillitres</v>
          </cell>
          <cell r="K80" t="str">
            <v>Processed fuel oils - distillate oil litres</v>
          </cell>
          <cell r="L80">
            <v>2.7585700000000002</v>
          </cell>
        </row>
        <row r="81">
          <cell r="J81" t="str">
            <v>Scope 1FuelsLiquid fuelsProcessed fuel oils - distillate oiltonnes</v>
          </cell>
          <cell r="K81" t="str">
            <v>Processed fuel oils - distillate oil tonnes</v>
          </cell>
          <cell r="L81">
            <v>3230.28</v>
          </cell>
        </row>
        <row r="82">
          <cell r="J82" t="str">
            <v>Scope 1FuelsLiquid fuelsRefinery miscellaneouskWh</v>
          </cell>
          <cell r="K82" t="str">
            <v>Refinery miscellaneous kWh (Gross CV)</v>
          </cell>
          <cell r="L82">
            <v>0.24667</v>
          </cell>
        </row>
        <row r="83">
          <cell r="J83" t="str">
            <v>Scope 1FuelsLiquid fuelsRefinery miscellaneouskWh</v>
          </cell>
          <cell r="K83" t="str">
            <v>Refinery miscellaneous kWh (Net CV)</v>
          </cell>
          <cell r="L83">
            <v>0.25966</v>
          </cell>
        </row>
        <row r="84">
          <cell r="J84" t="str">
            <v>Scope 1FuelsLiquid fuelsRefinery miscellaneouslitres</v>
          </cell>
          <cell r="K84" t="str">
            <v>Refinery miscellaneous litres</v>
          </cell>
          <cell r="L84" t="str">
            <v/>
          </cell>
        </row>
        <row r="85">
          <cell r="J85" t="str">
            <v>Scope 1FuelsLiquid fuelsRefinery miscellaneoustonnes</v>
          </cell>
          <cell r="K85" t="str">
            <v>Refinery miscellaneous tonnes</v>
          </cell>
          <cell r="L85">
            <v>2944.82</v>
          </cell>
        </row>
        <row r="86">
          <cell r="J86" t="str">
            <v>Scope 1FuelsLiquid fuelsWaste oilskWh</v>
          </cell>
          <cell r="K86" t="str">
            <v>Waste oils kWh (Gross CV)</v>
          </cell>
          <cell r="L86">
            <v>0.25681999999999999</v>
          </cell>
        </row>
        <row r="87">
          <cell r="J87" t="str">
            <v>Scope 1FuelsLiquid fuelsWaste oilskWh</v>
          </cell>
          <cell r="K87" t="str">
            <v>Waste oils kWh (Net CV)</v>
          </cell>
          <cell r="L87">
            <v>0.27503</v>
          </cell>
        </row>
        <row r="88">
          <cell r="J88" t="str">
            <v>Scope 1FuelsLiquid fuelsWaste oilslitres</v>
          </cell>
          <cell r="K88" t="str">
            <v>Waste oils litres</v>
          </cell>
          <cell r="L88">
            <v>2.7536800000000001</v>
          </cell>
        </row>
        <row r="89">
          <cell r="J89" t="str">
            <v>Scope 1FuelsLiquid fuelsWaste oilstonnes</v>
          </cell>
          <cell r="K89" t="str">
            <v>Waste oils tonnes</v>
          </cell>
          <cell r="L89">
            <v>3224.56</v>
          </cell>
        </row>
        <row r="90">
          <cell r="J90" t="str">
            <v>Scope 1FuelsLiquid fuelsMarine gas oilkWh</v>
          </cell>
          <cell r="K90" t="str">
            <v>Marine gas oil kWh (Gross CV)</v>
          </cell>
          <cell r="L90">
            <v>0.25835999999999998</v>
          </cell>
        </row>
        <row r="91">
          <cell r="J91" t="str">
            <v>Scope 1FuelsLiquid fuelsMarine gas oilkWh</v>
          </cell>
          <cell r="K91" t="str">
            <v>Marine gas oil kWh (Net CV)</v>
          </cell>
          <cell r="L91">
            <v>0.27484999999999998</v>
          </cell>
        </row>
        <row r="92">
          <cell r="J92" t="str">
            <v>Scope 1FuelsLiquid fuelsMarine gas oillitres</v>
          </cell>
          <cell r="K92" t="str">
            <v>Marine gas oil litres</v>
          </cell>
          <cell r="L92">
            <v>2.7753899999999998</v>
          </cell>
        </row>
        <row r="93">
          <cell r="J93" t="str">
            <v>Scope 1FuelsLiquid fuelsMarine gas oiltonnes</v>
          </cell>
          <cell r="K93" t="str">
            <v>Marine gas oil tonnes</v>
          </cell>
          <cell r="L93">
            <v>3249.99</v>
          </cell>
        </row>
        <row r="94">
          <cell r="J94" t="str">
            <v>Scope 1FuelsLiquid fuelsMarine fuel oilkWh</v>
          </cell>
          <cell r="K94" t="str">
            <v>Marine fuel oil kWh (Gross CV)</v>
          </cell>
          <cell r="L94">
            <v>0.26235999999999998</v>
          </cell>
        </row>
        <row r="95">
          <cell r="J95" t="str">
            <v>Scope 1FuelsLiquid fuelsMarine fuel oilkWh</v>
          </cell>
          <cell r="K95" t="str">
            <v>Marine fuel oil kWh (Net CV)</v>
          </cell>
          <cell r="L95">
            <v>0.27911000000000002</v>
          </cell>
        </row>
        <row r="96">
          <cell r="J96" t="str">
            <v>Scope 1FuelsLiquid fuelsMarine fuel oillitres</v>
          </cell>
          <cell r="K96" t="str">
            <v>Marine fuel oil litres</v>
          </cell>
          <cell r="L96">
            <v>3.10669</v>
          </cell>
        </row>
        <row r="97">
          <cell r="J97" t="str">
            <v>Scope 1FuelsLiquid fuelsMarine fuel oiltonnes</v>
          </cell>
          <cell r="K97" t="str">
            <v>Marine fuel oil tonnes</v>
          </cell>
          <cell r="L97">
            <v>3159.51</v>
          </cell>
        </row>
        <row r="98">
          <cell r="J98" t="str">
            <v>Scope 1FuelsSolid fuelsCoal (industrial)kWh</v>
          </cell>
          <cell r="K98" t="str">
            <v>Coal (industrial) kWh (Gross CV)</v>
          </cell>
          <cell r="L98">
            <v>0.32361000000000001</v>
          </cell>
        </row>
        <row r="99">
          <cell r="J99" t="str">
            <v>Scope 1FuelsSolid fuelsCoal (industrial)kWh</v>
          </cell>
          <cell r="K99" t="str">
            <v>Coal (industrial) kWh (Net CV)</v>
          </cell>
          <cell r="L99">
            <v>0.34064</v>
          </cell>
        </row>
        <row r="100">
          <cell r="J100" t="str">
            <v>Scope 1FuelsSolid fuelsCoal (industrial)tonnes</v>
          </cell>
          <cell r="K100" t="str">
            <v>Coal (industrial) tonnes</v>
          </cell>
          <cell r="L100">
            <v>2403.84</v>
          </cell>
        </row>
        <row r="101">
          <cell r="J101" t="str">
            <v>Scope 1FuelsSolid fuelsCoal (electricity generation)kWh</v>
          </cell>
          <cell r="K101" t="str">
            <v>Coal (electricity generation) kWh (Gross CV)</v>
          </cell>
          <cell r="L101">
            <v>0.32019999999999998</v>
          </cell>
        </row>
        <row r="102">
          <cell r="J102" t="str">
            <v>Scope 1FuelsSolid fuelsCoal (electricity generation)kWh</v>
          </cell>
          <cell r="K102" t="str">
            <v>Coal (electricity generation) kWh (Net CV)</v>
          </cell>
          <cell r="L102">
            <v>0.33706000000000003</v>
          </cell>
        </row>
        <row r="103">
          <cell r="J103" t="str">
            <v>Scope 1FuelsSolid fuelsCoal (electricity generation)tonnes</v>
          </cell>
          <cell r="K103" t="str">
            <v>Coal (electricity generation) tonnes</v>
          </cell>
          <cell r="L103">
            <v>2252.34</v>
          </cell>
        </row>
        <row r="104">
          <cell r="J104" t="str">
            <v>Scope 1FuelsSolid fuelsCoal (domestic)kWh</v>
          </cell>
          <cell r="K104" t="str">
            <v>Coal (domestic) kWh (Gross CV)</v>
          </cell>
          <cell r="L104">
            <v>0.34461999999999998</v>
          </cell>
        </row>
        <row r="105">
          <cell r="J105" t="str">
            <v>Scope 1FuelsSolid fuelsCoal (domestic)kWh</v>
          </cell>
          <cell r="K105" t="str">
            <v>Coal (domestic) kWh (Net CV)</v>
          </cell>
          <cell r="L105">
            <v>0.36276000000000003</v>
          </cell>
        </row>
        <row r="106">
          <cell r="J106" t="str">
            <v>Scope 1FuelsSolid fuelsCoal (domestic)tonnes</v>
          </cell>
          <cell r="K106" t="str">
            <v>Coal (domestic) tonnes</v>
          </cell>
          <cell r="L106">
            <v>2883.26</v>
          </cell>
        </row>
        <row r="107">
          <cell r="J107" t="str">
            <v>Scope 1FuelsSolid fuelsCoking coalkWh</v>
          </cell>
          <cell r="K107" t="str">
            <v>Coking coal kWh (Gross CV)</v>
          </cell>
          <cell r="L107">
            <v>0.35797000000000001</v>
          </cell>
        </row>
        <row r="108">
          <cell r="J108" t="str">
            <v>Scope 1FuelsSolid fuelsCoking coalkWh</v>
          </cell>
          <cell r="K108" t="str">
            <v>Coking coal kWh (Net CV)</v>
          </cell>
          <cell r="L108">
            <v>0.37680999999999998</v>
          </cell>
        </row>
        <row r="109">
          <cell r="J109" t="str">
            <v>Scope 1FuelsSolid fuelsCoking coaltonnes</v>
          </cell>
          <cell r="K109" t="str">
            <v>Coking coal tonnes</v>
          </cell>
          <cell r="L109">
            <v>3165.24</v>
          </cell>
        </row>
        <row r="110">
          <cell r="J110" t="str">
            <v>Scope 1FuelsSolid fuelsPetroleum cokekWh</v>
          </cell>
          <cell r="K110" t="str">
            <v>Petroleum coke kWh (Gross CV)</v>
          </cell>
          <cell r="L110">
            <v>0.34095999999999999</v>
          </cell>
        </row>
        <row r="111">
          <cell r="J111" t="str">
            <v>Scope 1FuelsSolid fuelsPetroleum cokekWh</v>
          </cell>
          <cell r="K111" t="str">
            <v>Petroleum coke kWh (Net CV)</v>
          </cell>
          <cell r="L111">
            <v>0.3589</v>
          </cell>
        </row>
        <row r="112">
          <cell r="J112" t="str">
            <v>Scope 1FuelsSolid fuelsPetroleum coketonnes</v>
          </cell>
          <cell r="K112" t="str">
            <v>Petroleum coke tonnes</v>
          </cell>
          <cell r="L112">
            <v>3386.86</v>
          </cell>
        </row>
        <row r="113">
          <cell r="J113" t="str">
            <v>Scope 1FuelsSolid fuelsCoal (electricity generation - home produced coal only)kWh</v>
          </cell>
          <cell r="K113" t="str">
            <v>Coal (electricity generation - home produced coal only) kWh (Gross CV)</v>
          </cell>
          <cell r="L113">
            <v>0.32019999999999998</v>
          </cell>
        </row>
        <row r="114">
          <cell r="J114" t="str">
            <v>Scope 1FuelsSolid fuelsCoal (electricity generation - home produced coal only)kWh</v>
          </cell>
          <cell r="K114" t="str">
            <v>Coal (electricity generation - home produced coal only) kWh (Net CV)</v>
          </cell>
          <cell r="L114">
            <v>0.33706000000000003</v>
          </cell>
        </row>
        <row r="115">
          <cell r="J115" t="str">
            <v>Scope 1FuelsSolid fuelsCoal (electricity generation - home produced coal only)tonnes</v>
          </cell>
          <cell r="K115" t="str">
            <v>Coal (electricity generation - home produced coal only) tonnes</v>
          </cell>
          <cell r="L115">
            <v>2248.8200000000002</v>
          </cell>
        </row>
        <row r="116">
          <cell r="J116" t="str">
            <v>Scope 1BioenergyBiofuelBioethanolGJ</v>
          </cell>
          <cell r="K116" t="str">
            <v>Bioethanol GJ</v>
          </cell>
          <cell r="L116">
            <v>0.42338999999999999</v>
          </cell>
        </row>
        <row r="117">
          <cell r="J117" t="str">
            <v>Scope 1BioenergyBiofuelBioethanolkg</v>
          </cell>
          <cell r="K117" t="str">
            <v>Bioethanol kg</v>
          </cell>
          <cell r="L117">
            <v>1.1350000000000001E-2</v>
          </cell>
        </row>
        <row r="118">
          <cell r="J118" t="str">
            <v>Scope 1BioenergyBiofuelBioethanollitres</v>
          </cell>
          <cell r="K118" t="str">
            <v>Bioethanol litres</v>
          </cell>
          <cell r="L118">
            <v>9.0100000000000006E-3</v>
          </cell>
        </row>
        <row r="119">
          <cell r="J119" t="str">
            <v>Scope 1BioenergyBiofuelBiodiesel MEGJ</v>
          </cell>
          <cell r="K119" t="str">
            <v>Biodiesel ME GJ</v>
          </cell>
          <cell r="L119">
            <v>5.0596100000000002</v>
          </cell>
        </row>
        <row r="120">
          <cell r="J120" t="str">
            <v>Scope 1BioenergyBiofuelBiodiesel MEkg</v>
          </cell>
          <cell r="K120" t="str">
            <v>Biodiesel ME kg</v>
          </cell>
          <cell r="L120">
            <v>0.18822</v>
          </cell>
        </row>
        <row r="121">
          <cell r="J121" t="str">
            <v>Scope 1BioenergyBiofuelBiodiesel MElitres</v>
          </cell>
          <cell r="K121" t="str">
            <v>Biodiesel ME litres</v>
          </cell>
          <cell r="L121">
            <v>0.16750999999999999</v>
          </cell>
        </row>
        <row r="122">
          <cell r="J122" t="str">
            <v>Scope 1BioenergyBiofuelBiomethaneGJ</v>
          </cell>
          <cell r="K122" t="str">
            <v>Biomethane GJ</v>
          </cell>
          <cell r="L122">
            <v>0.10625</v>
          </cell>
        </row>
        <row r="123">
          <cell r="J123" t="str">
            <v>Scope 1BioenergyBiofuelBiomethanekg</v>
          </cell>
          <cell r="K123" t="str">
            <v>Biomethane kg</v>
          </cell>
          <cell r="L123">
            <v>5.2100000000000002E-3</v>
          </cell>
        </row>
        <row r="124">
          <cell r="J124" t="str">
            <v>Scope 1BioenergyBiofuelBiomethanelitres</v>
          </cell>
          <cell r="K124" t="str">
            <v>Biomethane litres</v>
          </cell>
          <cell r="L124">
            <v>0</v>
          </cell>
        </row>
        <row r="125">
          <cell r="J125" t="str">
            <v>Scope 1BioenergyBiofuelBiodiesel ME (from used cooking oil)GJ</v>
          </cell>
          <cell r="K125" t="str">
            <v>Biodiesel ME (from used cooking oil) GJ</v>
          </cell>
          <cell r="L125">
            <v>5.0596100000000002</v>
          </cell>
        </row>
        <row r="126">
          <cell r="J126" t="str">
            <v>Scope 1BioenergyBiofuelBiodiesel ME (from used cooking oil)kg</v>
          </cell>
          <cell r="K126" t="str">
            <v>Biodiesel ME (from used cooking oil) kg</v>
          </cell>
          <cell r="L126">
            <v>0.18822</v>
          </cell>
        </row>
        <row r="127">
          <cell r="J127" t="str">
            <v>Scope 1BioenergyBiofuelBiodiesel ME (from used cooking oil)litres</v>
          </cell>
          <cell r="K127" t="str">
            <v>Biodiesel ME (from used cooking oil) litres</v>
          </cell>
          <cell r="L127">
            <v>0.16750999999999999</v>
          </cell>
        </row>
        <row r="128">
          <cell r="J128" t="str">
            <v>Scope 1BioenergyBiofuelBiodiesel ME (from tallow)GJ</v>
          </cell>
          <cell r="K128" t="str">
            <v>Biodiesel ME (from tallow) GJ</v>
          </cell>
          <cell r="L128">
            <v>5.0596100000000002</v>
          </cell>
        </row>
        <row r="129">
          <cell r="J129" t="str">
            <v>Scope 1BioenergyBiofuelBiodiesel ME (from tallow)kg</v>
          </cell>
          <cell r="K129" t="str">
            <v>Biodiesel ME (from tallow) kg</v>
          </cell>
          <cell r="L129">
            <v>0.18822</v>
          </cell>
        </row>
        <row r="130">
          <cell r="J130" t="str">
            <v>Scope 1BioenergyBiofuelBiodiesel ME (from tallow)litres</v>
          </cell>
          <cell r="K130" t="str">
            <v>Biodiesel ME (from tallow) litres</v>
          </cell>
          <cell r="L130">
            <v>0.16750999999999999</v>
          </cell>
        </row>
        <row r="131">
          <cell r="J131" t="str">
            <v>Scope 1BioenergyBiofuelBiodiesel HVO</v>
          </cell>
          <cell r="K131" t="str">
            <v>Biodiesel HVO GJ</v>
          </cell>
          <cell r="L131">
            <v>1.03677</v>
          </cell>
        </row>
        <row r="132">
          <cell r="J132" t="str">
            <v>Scope 1BioenergyBiofuelBiodiesel HVO</v>
          </cell>
          <cell r="K132" t="str">
            <v>Biodiesel HVO kg</v>
          </cell>
          <cell r="L132">
            <v>4.5620000000000001E-2</v>
          </cell>
        </row>
        <row r="133">
          <cell r="J133" t="str">
            <v>Scope 1BioenergyBiofuelBiodiesel HVO</v>
          </cell>
          <cell r="K133" t="str">
            <v>Biodiesel HVO litres</v>
          </cell>
          <cell r="L133">
            <v>3.5580000000000001E-2</v>
          </cell>
        </row>
        <row r="134">
          <cell r="J134" t="str">
            <v>Scope 1BioenergyBiofuelBiopropane</v>
          </cell>
          <cell r="K134" t="str">
            <v>Biopropane GJ</v>
          </cell>
          <cell r="L134">
            <v>8.9520000000000002E-2</v>
          </cell>
        </row>
        <row r="135">
          <cell r="J135" t="str">
            <v>Scope 1BioenergyBiofuelBiopropane</v>
          </cell>
          <cell r="K135" t="str">
            <v>Biopropane kg</v>
          </cell>
          <cell r="L135">
            <v>4.15E-3</v>
          </cell>
        </row>
        <row r="136">
          <cell r="J136" t="str">
            <v>Scope 1BioenergyBiofuelBiopropane</v>
          </cell>
          <cell r="K136" t="str">
            <v>Biopropane Litres</v>
          </cell>
          <cell r="L136">
            <v>2.14E-3</v>
          </cell>
        </row>
        <row r="137">
          <cell r="J137" t="str">
            <v>Scope 1BioenergyBiofuelBio Petrol</v>
          </cell>
          <cell r="K137" t="str">
            <v>Bio Petrol kg</v>
          </cell>
          <cell r="L137">
            <v>1.89E-2</v>
          </cell>
        </row>
        <row r="138">
          <cell r="J138" t="str">
            <v>Scope 1BioenergyBiofuelBio Petrol</v>
          </cell>
          <cell r="K138" t="str">
            <v>Bio Petrol GJ</v>
          </cell>
          <cell r="L138">
            <v>0.42338999999999999</v>
          </cell>
        </row>
        <row r="139">
          <cell r="J139" t="str">
            <v>Scope 1BioenergyBiofuelBio Petrol</v>
          </cell>
          <cell r="K139" t="str">
            <v>Bio Petrol litres</v>
          </cell>
          <cell r="L139">
            <v>1.4019999999999999E-2</v>
          </cell>
        </row>
        <row r="140">
          <cell r="J140" t="str">
            <v>Scope 1BioenergyBiofuelRenewable petrol</v>
          </cell>
          <cell r="K140" t="str">
            <v>Renewable petrol litres</v>
          </cell>
          <cell r="L140">
            <v>1.01E-2</v>
          </cell>
        </row>
        <row r="141">
          <cell r="J141" t="str">
            <v>Scope 1BioenergyBiofuelRenewable petrol</v>
          </cell>
          <cell r="K141" t="str">
            <v>Renewable petrol GJ</v>
          </cell>
          <cell r="L141">
            <v>0.42338999999999999</v>
          </cell>
        </row>
        <row r="142">
          <cell r="J142" t="str">
            <v>Scope 1BioenergyBiofuelRenewable petrol</v>
          </cell>
          <cell r="K142" t="str">
            <v>Renewable petrol kg</v>
          </cell>
          <cell r="L142">
            <v>1.172E-2</v>
          </cell>
        </row>
        <row r="143">
          <cell r="J143" t="str">
            <v>Scope 1BioenergyBiomassWood logskWh</v>
          </cell>
          <cell r="K143" t="str">
            <v>Wood logs kWh</v>
          </cell>
          <cell r="L143">
            <v>1.5129999999999999E-2</v>
          </cell>
        </row>
        <row r="144">
          <cell r="J144" t="str">
            <v>Scope 1BioenergyBiomassWood logstonnes</v>
          </cell>
          <cell r="K144" t="str">
            <v>Wood logs tonnes</v>
          </cell>
          <cell r="L144">
            <v>61.817360000000001</v>
          </cell>
        </row>
        <row r="145">
          <cell r="J145" t="str">
            <v>Scope 1BioenergyBiomassWood chipskWh</v>
          </cell>
          <cell r="K145" t="str">
            <v>Wood chips kWh</v>
          </cell>
          <cell r="L145">
            <v>1.5129999999999999E-2</v>
          </cell>
        </row>
        <row r="146">
          <cell r="J146" t="str">
            <v>Scope 1BioenergyBiomassWood chipstonnes</v>
          </cell>
          <cell r="K146" t="str">
            <v>Wood chips tonnes</v>
          </cell>
          <cell r="L146">
            <v>57.15269</v>
          </cell>
        </row>
        <row r="147">
          <cell r="J147" t="str">
            <v>Scope 1BioenergyBiomassWood pelletskWh</v>
          </cell>
          <cell r="K147" t="str">
            <v>Wood pellets kWh</v>
          </cell>
          <cell r="L147">
            <v>1.5129999999999999E-2</v>
          </cell>
        </row>
        <row r="148">
          <cell r="J148" t="str">
            <v>Scope 1BioenergyBiomassWood pelletstonnes</v>
          </cell>
          <cell r="K148" t="str">
            <v>Wood pellets tonnes</v>
          </cell>
          <cell r="L148">
            <v>72.617540000000005</v>
          </cell>
        </row>
        <row r="149">
          <cell r="J149" t="str">
            <v>Scope 1BioenergyBiomassGrass/strawkWh</v>
          </cell>
          <cell r="K149" t="str">
            <v>Grass/straw kWh</v>
          </cell>
          <cell r="L149">
            <v>1.316E-2</v>
          </cell>
        </row>
        <row r="150">
          <cell r="J150" t="str">
            <v>Scope 1BioenergyBiomassGrass/strawtonnes</v>
          </cell>
          <cell r="K150" t="str">
            <v>Grass/straw tonnes</v>
          </cell>
          <cell r="L150">
            <v>49.236559999999997</v>
          </cell>
        </row>
        <row r="151">
          <cell r="J151" t="str">
            <v>Scope 1BioenergyBiogasBiogaskWh</v>
          </cell>
          <cell r="K151" t="str">
            <v>Biogas kWh</v>
          </cell>
          <cell r="L151">
            <v>2.2000000000000001E-4</v>
          </cell>
        </row>
        <row r="152">
          <cell r="J152" t="str">
            <v>Scope 1BioenergyBiogasBiogastonnes</v>
          </cell>
          <cell r="K152" t="str">
            <v>Biogas tonnes</v>
          </cell>
          <cell r="L152">
            <v>1.2151799999999999</v>
          </cell>
        </row>
        <row r="153">
          <cell r="J153" t="str">
            <v>Scope 1BioenergyBiogasLandfill gaskWh</v>
          </cell>
          <cell r="K153" t="str">
            <v>Landfill gas kWh</v>
          </cell>
          <cell r="L153">
            <v>2.0000000000000001E-4</v>
          </cell>
        </row>
        <row r="154">
          <cell r="J154" t="str">
            <v>Scope 1BioenergyBiogasLandfill gastonnes</v>
          </cell>
          <cell r="K154" t="str">
            <v>Landfill gas tonnes</v>
          </cell>
          <cell r="L154">
            <v>0.68793000000000004</v>
          </cell>
        </row>
        <row r="155">
          <cell r="J155" t="str">
            <v>Scope 1Refrigerant &amp; otherKyoto protocol - standardCarbon dioxidekg</v>
          </cell>
          <cell r="K155" t="str">
            <v>Carbon dioxide kg</v>
          </cell>
          <cell r="L155">
            <v>1</v>
          </cell>
        </row>
        <row r="156">
          <cell r="J156" t="str">
            <v>Scope 1Refrigerant &amp; otherKyoto protocol - standardMethanekg</v>
          </cell>
          <cell r="K156" t="str">
            <v>Methane kg</v>
          </cell>
          <cell r="L156">
            <v>25</v>
          </cell>
        </row>
        <row r="157">
          <cell r="J157" t="str">
            <v>Scope 1Refrigerant &amp; otherKyoto protocol - standardNitrous oxidekg</v>
          </cell>
          <cell r="K157" t="str">
            <v>Nitrous oxide kg</v>
          </cell>
          <cell r="L157">
            <v>298</v>
          </cell>
        </row>
        <row r="158">
          <cell r="J158" t="str">
            <v>Scope 1Refrigerant &amp; otherKyoto protocol - standardHFC-23kg</v>
          </cell>
          <cell r="K158" t="str">
            <v>HFC-23 kg</v>
          </cell>
          <cell r="L158">
            <v>14800</v>
          </cell>
        </row>
        <row r="159">
          <cell r="J159" t="str">
            <v>Scope 1Refrigerant &amp; otherKyoto protocol - standardHFC-32kg</v>
          </cell>
          <cell r="K159" t="str">
            <v>HFC-32 kg</v>
          </cell>
          <cell r="L159">
            <v>675</v>
          </cell>
        </row>
        <row r="160">
          <cell r="J160" t="str">
            <v>Scope 1Refrigerant &amp; otherKyoto protocol - standardHFC-41kg</v>
          </cell>
          <cell r="K160" t="str">
            <v>HFC-41 kg</v>
          </cell>
          <cell r="L160">
            <v>92</v>
          </cell>
        </row>
        <row r="161">
          <cell r="J161" t="str">
            <v>Scope 1Refrigerant &amp; otherKyoto protocol - standardHFC-125kg</v>
          </cell>
          <cell r="K161" t="str">
            <v>HFC-125 kg</v>
          </cell>
          <cell r="L161">
            <v>3500</v>
          </cell>
        </row>
        <row r="162">
          <cell r="J162" t="str">
            <v>Scope 1Refrigerant &amp; otherKyoto protocol - standardHFC-134kg</v>
          </cell>
          <cell r="K162" t="str">
            <v>HFC-134 kg</v>
          </cell>
          <cell r="L162">
            <v>1100</v>
          </cell>
        </row>
        <row r="163">
          <cell r="J163" t="str">
            <v>Scope 1Refrigerant &amp; otherKyoto protocol - standardHFC-134akg</v>
          </cell>
          <cell r="K163" t="str">
            <v>HFC-134a kg</v>
          </cell>
          <cell r="L163">
            <v>1430</v>
          </cell>
        </row>
        <row r="164">
          <cell r="J164" t="str">
            <v>Scope 1Refrigerant &amp; otherKyoto protocol - standardHFC-143kg</v>
          </cell>
          <cell r="K164" t="str">
            <v>HFC-143 kg</v>
          </cell>
          <cell r="L164">
            <v>353</v>
          </cell>
        </row>
        <row r="165">
          <cell r="J165" t="str">
            <v>Scope 1Refrigerant &amp; otherKyoto protocol - standardHFC-143akg</v>
          </cell>
          <cell r="K165" t="str">
            <v>HFC-143a kg</v>
          </cell>
          <cell r="L165">
            <v>4470</v>
          </cell>
        </row>
        <row r="166">
          <cell r="J166" t="str">
            <v>Scope 1Refrigerant &amp; otherKyoto protocol - standardHFC-152akg</v>
          </cell>
          <cell r="K166" t="str">
            <v>HFC-152a kg</v>
          </cell>
          <cell r="L166">
            <v>124</v>
          </cell>
        </row>
        <row r="167">
          <cell r="J167" t="str">
            <v>Scope 1Refrigerant &amp; otherKyoto protocol - standardHFC-227eakg</v>
          </cell>
          <cell r="K167" t="str">
            <v>HFC-227ea kg</v>
          </cell>
          <cell r="L167">
            <v>3220</v>
          </cell>
        </row>
        <row r="168">
          <cell r="J168" t="str">
            <v>Scope 1Refrigerant &amp; otherKyoto protocol - standardHFC-236fakg</v>
          </cell>
          <cell r="K168" t="str">
            <v>HFC-236fa kg</v>
          </cell>
          <cell r="L168">
            <v>9810</v>
          </cell>
        </row>
        <row r="169">
          <cell r="J169" t="str">
            <v>Scope 1Refrigerant &amp; otherKyoto protocol - standardHFC-245fakg</v>
          </cell>
          <cell r="K169" t="str">
            <v>HFC-245fa kg</v>
          </cell>
          <cell r="L169">
            <v>1030</v>
          </cell>
        </row>
        <row r="170">
          <cell r="J170" t="str">
            <v>Scope 1Refrigerant &amp; otherKyoto protocol - standardHFC-43-I0meekg</v>
          </cell>
          <cell r="K170" t="str">
            <v>HFC-43-I0mee kg</v>
          </cell>
          <cell r="L170">
            <v>1640</v>
          </cell>
        </row>
        <row r="171">
          <cell r="J171" t="str">
            <v>Scope 1Refrigerant &amp; otherKyoto protocol - standardPerfluoromethane (PFC-14)kg</v>
          </cell>
          <cell r="K171" t="str">
            <v>Perfluoromethane (PFC-14) kg</v>
          </cell>
          <cell r="L171">
            <v>7390</v>
          </cell>
        </row>
        <row r="172">
          <cell r="J172" t="str">
            <v>Scope 1Refrigerant &amp; otherKyoto protocol - standardPerfluoroethane (PFC-116)kg</v>
          </cell>
          <cell r="K172" t="str">
            <v>Perfluoroethane (PFC-116) kg</v>
          </cell>
          <cell r="L172">
            <v>12200</v>
          </cell>
        </row>
        <row r="173">
          <cell r="J173" t="str">
            <v>Scope 1Refrigerant &amp; otherKyoto protocol - standardPerfluoropropane (PFC-218)kg</v>
          </cell>
          <cell r="K173" t="str">
            <v>Perfluoropropane (PFC-218) kg</v>
          </cell>
          <cell r="L173">
            <v>8830</v>
          </cell>
        </row>
        <row r="174">
          <cell r="J174" t="str">
            <v>Scope 1Refrigerant &amp; otherKyoto protocol - standardPerfluorocyclobutane (PFC-318)kg</v>
          </cell>
          <cell r="K174" t="str">
            <v>Perfluorocyclobutane (PFC-318) kg</v>
          </cell>
          <cell r="L174">
            <v>10300</v>
          </cell>
        </row>
        <row r="175">
          <cell r="J175" t="str">
            <v>Scope 1Refrigerant &amp; otherKyoto protocol - standardPerfluorobutane (PFC-3-1-10)kg</v>
          </cell>
          <cell r="K175" t="str">
            <v>Perfluorobutane (PFC-3-1-10) kg</v>
          </cell>
          <cell r="L175">
            <v>8860</v>
          </cell>
        </row>
        <row r="176">
          <cell r="J176" t="str">
            <v>Scope 1Refrigerant &amp; otherKyoto protocol - standardPerfluoropentane (PFC-4-1-12)kg</v>
          </cell>
          <cell r="K176" t="str">
            <v>Perfluoropentane (PFC-4-1-12) kg</v>
          </cell>
          <cell r="L176">
            <v>9160</v>
          </cell>
        </row>
        <row r="177">
          <cell r="J177" t="str">
            <v>Scope 1Refrigerant &amp; otherKyoto protocol - standardPerfluorohexane (PFC-5-1-14)kg</v>
          </cell>
          <cell r="K177" t="str">
            <v>Perfluorohexane (PFC-5-1-14) kg</v>
          </cell>
          <cell r="L177">
            <v>9300</v>
          </cell>
        </row>
        <row r="178">
          <cell r="J178" t="str">
            <v>Scope 1Refrigerant &amp; otherKyoto protocol - standardSulphur hexafluoride (SF6)kg</v>
          </cell>
          <cell r="K178" t="str">
            <v>Sulphur hexafluoride (SF6) kg</v>
          </cell>
          <cell r="L178">
            <v>22800</v>
          </cell>
        </row>
        <row r="179">
          <cell r="J179" t="str">
            <v>Scope 1Refrigerant &amp; otherKyoto protocol - standardHFC-152kg</v>
          </cell>
          <cell r="K179" t="str">
            <v>HFC-152 kg</v>
          </cell>
          <cell r="L179">
            <v>53</v>
          </cell>
        </row>
        <row r="180">
          <cell r="J180" t="str">
            <v>Scope 1Refrigerant &amp; otherKyoto protocol - standardHFC-161kg</v>
          </cell>
          <cell r="K180" t="str">
            <v>HFC-161 kg</v>
          </cell>
          <cell r="L180">
            <v>12</v>
          </cell>
        </row>
        <row r="181">
          <cell r="J181" t="str">
            <v>Scope 1Refrigerant &amp; otherKyoto protocol - standardHFC-236cbkg</v>
          </cell>
          <cell r="K181" t="str">
            <v>HFC-236cb kg</v>
          </cell>
          <cell r="L181">
            <v>1340</v>
          </cell>
        </row>
        <row r="182">
          <cell r="J182" t="str">
            <v>Scope 1Refrigerant &amp; otherKyoto protocol - standardHFC-236eakg</v>
          </cell>
          <cell r="K182" t="str">
            <v>HFC-236ea kg</v>
          </cell>
          <cell r="L182">
            <v>1370</v>
          </cell>
        </row>
        <row r="183">
          <cell r="J183" t="str">
            <v>Scope 1Refrigerant &amp; otherKyoto protocol - standardHFC-245cakg</v>
          </cell>
          <cell r="K183" t="str">
            <v>HFC-245ca kg</v>
          </cell>
          <cell r="L183">
            <v>693</v>
          </cell>
        </row>
        <row r="184">
          <cell r="J184" t="str">
            <v>Scope 1Refrigerant &amp; otherKyoto protocol - standardHFC-365mfckg</v>
          </cell>
          <cell r="K184" t="str">
            <v>HFC-365mfc kg</v>
          </cell>
          <cell r="L184">
            <v>794</v>
          </cell>
        </row>
        <row r="185">
          <cell r="J185" t="str">
            <v>Scope 1Refrigerant &amp; otherKyoto protocol- blendsR404Akg</v>
          </cell>
          <cell r="K185" t="str">
            <v>R404A kg</v>
          </cell>
          <cell r="L185">
            <v>3922</v>
          </cell>
        </row>
        <row r="186">
          <cell r="J186" t="str">
            <v>Scope 1Refrigerant &amp; otherKyoto protocol- blendsR407Akg</v>
          </cell>
          <cell r="K186" t="str">
            <v>R407A kg</v>
          </cell>
          <cell r="L186">
            <v>2107</v>
          </cell>
        </row>
        <row r="187">
          <cell r="J187" t="str">
            <v>Scope 1Refrigerant &amp; otherKyoto protocol- blendsR407Ckg</v>
          </cell>
          <cell r="K187" t="str">
            <v>R407C kg</v>
          </cell>
          <cell r="L187">
            <v>1774</v>
          </cell>
        </row>
        <row r="188">
          <cell r="J188" t="str">
            <v>Scope 1Refrigerant &amp; otherKyoto protocol- blendsR407Fkg</v>
          </cell>
          <cell r="K188" t="str">
            <v>R407F kg</v>
          </cell>
          <cell r="L188">
            <v>1825</v>
          </cell>
        </row>
        <row r="189">
          <cell r="J189" t="str">
            <v>Scope 1Refrigerant &amp; otherKyoto protocol- blendsR408Akg</v>
          </cell>
          <cell r="K189" t="str">
            <v>R408A kg</v>
          </cell>
          <cell r="L189">
            <v>3152</v>
          </cell>
        </row>
        <row r="190">
          <cell r="J190" t="str">
            <v>Scope 1Refrigerant &amp; otherKyoto protocol- blendsR410Akg</v>
          </cell>
          <cell r="K190" t="str">
            <v>R410A kg</v>
          </cell>
          <cell r="L190">
            <v>2088</v>
          </cell>
        </row>
        <row r="191">
          <cell r="J191" t="str">
            <v>Scope 1Refrigerant &amp; otherKyoto protocol- blendsR507Akg</v>
          </cell>
          <cell r="K191" t="str">
            <v>R507A kg</v>
          </cell>
          <cell r="L191">
            <v>3985</v>
          </cell>
        </row>
        <row r="192">
          <cell r="J192" t="str">
            <v>Scope 1Refrigerant &amp; otherKyoto protocol- blendsR508Bkg</v>
          </cell>
          <cell r="K192" t="str">
            <v>R508B kg</v>
          </cell>
          <cell r="L192">
            <v>13396</v>
          </cell>
        </row>
        <row r="193">
          <cell r="J193" t="str">
            <v>Scope 1Refrigerant &amp; otherKyoto protocol- blendsR403akg</v>
          </cell>
          <cell r="K193" t="str">
            <v>R403a kg</v>
          </cell>
          <cell r="L193">
            <v>3124</v>
          </cell>
        </row>
        <row r="194">
          <cell r="J194" t="str">
            <v>Scope 1Refrigerant &amp; otherMontreal protocol - standardCFC-11/R11 = trichlorofluoromethanekg</v>
          </cell>
          <cell r="K194" t="str">
            <v>CFC-11/R11 = trichlorofluoromethane kg</v>
          </cell>
          <cell r="L194">
            <v>4750</v>
          </cell>
        </row>
        <row r="195">
          <cell r="J195" t="str">
            <v>Scope 1Refrigerant &amp; otherMontreal protocol - standardCFC-12/R12 = dichlorodifluoromethanekg</v>
          </cell>
          <cell r="K195" t="str">
            <v>CFC-12/R12 = dichlorodifluoromethane kg</v>
          </cell>
          <cell r="L195">
            <v>10900</v>
          </cell>
        </row>
        <row r="196">
          <cell r="J196" t="str">
            <v>Scope 1Refrigerant &amp; otherMontreal protocol - standardCFC-13kg</v>
          </cell>
          <cell r="K196" t="str">
            <v>CFC-13 kg</v>
          </cell>
          <cell r="L196">
            <v>14400</v>
          </cell>
        </row>
        <row r="197">
          <cell r="J197" t="str">
            <v>Scope 1Refrigerant &amp; otherMontreal protocol - standardCFC-113kg</v>
          </cell>
          <cell r="K197" t="str">
            <v>CFC-113 kg</v>
          </cell>
          <cell r="L197">
            <v>6130</v>
          </cell>
        </row>
        <row r="198">
          <cell r="J198" t="str">
            <v>Scope 1Refrigerant &amp; otherMontreal protocol - standardCFC-114kg</v>
          </cell>
          <cell r="K198" t="str">
            <v>CFC-114 kg</v>
          </cell>
          <cell r="L198">
            <v>10000</v>
          </cell>
        </row>
        <row r="199">
          <cell r="J199" t="str">
            <v>Scope 1Refrigerant &amp; otherMontreal protocol - standardCFC-115kg</v>
          </cell>
          <cell r="K199" t="str">
            <v>CFC-115 kg</v>
          </cell>
          <cell r="L199">
            <v>7370</v>
          </cell>
        </row>
        <row r="200">
          <cell r="J200" t="str">
            <v>Scope 1Refrigerant &amp; otherMontreal protocol - standardHalon-1211kg</v>
          </cell>
          <cell r="K200" t="str">
            <v>Halon-1211 kg</v>
          </cell>
          <cell r="L200">
            <v>1890</v>
          </cell>
        </row>
        <row r="201">
          <cell r="J201" t="str">
            <v>Scope 1Refrigerant &amp; otherMontreal protocol - standardHalon-1301kg</v>
          </cell>
          <cell r="K201" t="str">
            <v>Halon-1301 kg</v>
          </cell>
          <cell r="L201">
            <v>7140</v>
          </cell>
        </row>
        <row r="202">
          <cell r="J202" t="str">
            <v>Scope 1Refrigerant &amp; otherMontreal protocol - standardHalon-2402kg</v>
          </cell>
          <cell r="K202" t="str">
            <v>Halon-2402 kg</v>
          </cell>
          <cell r="L202">
            <v>1640</v>
          </cell>
        </row>
        <row r="203">
          <cell r="J203" t="str">
            <v>Scope 1Refrigerant &amp; otherMontreal protocol - standardCarbon tetrachloridekg</v>
          </cell>
          <cell r="K203" t="str">
            <v>Carbon tetrachloride kg</v>
          </cell>
          <cell r="L203">
            <v>1400</v>
          </cell>
        </row>
        <row r="204">
          <cell r="J204" t="str">
            <v>Scope 1Refrigerant &amp; otherMontreal protocol - standardMethyl bromidekg</v>
          </cell>
          <cell r="K204" t="str">
            <v>Methyl bromide kg</v>
          </cell>
          <cell r="L204">
            <v>5</v>
          </cell>
        </row>
        <row r="205">
          <cell r="J205" t="str">
            <v>Scope 1Refrigerant &amp; otherMontreal protocol - standardMethyl chloroformkg</v>
          </cell>
          <cell r="K205" t="str">
            <v>Methyl chloroform kg</v>
          </cell>
          <cell r="L205">
            <v>146</v>
          </cell>
        </row>
        <row r="206">
          <cell r="J206" t="str">
            <v>Scope 1Refrigerant &amp; otherMontreal protocol - standardHCFC-22/R22 = chlorodifluoromethanekg</v>
          </cell>
          <cell r="K206" t="str">
            <v>HCFC-22/R22 = chlorodifluoromethane kg</v>
          </cell>
          <cell r="L206">
            <v>1810</v>
          </cell>
        </row>
        <row r="207">
          <cell r="J207" t="str">
            <v>Scope 1Refrigerant &amp; otherMontreal protocol - standardHCFC-123kg</v>
          </cell>
          <cell r="K207" t="str">
            <v>HCFC-123 kg</v>
          </cell>
          <cell r="L207">
            <v>77</v>
          </cell>
        </row>
        <row r="208">
          <cell r="J208" t="str">
            <v>Scope 1Refrigerant &amp; otherMontreal protocol - standardHCFC-124kg</v>
          </cell>
          <cell r="K208" t="str">
            <v>HCFC-124 kg</v>
          </cell>
          <cell r="L208">
            <v>609</v>
          </cell>
        </row>
        <row r="209">
          <cell r="J209" t="str">
            <v>Scope 1Refrigerant &amp; otherMontreal protocol - standardHCFC-141bkg</v>
          </cell>
          <cell r="K209" t="str">
            <v>HCFC-141b kg</v>
          </cell>
          <cell r="L209">
            <v>725</v>
          </cell>
        </row>
        <row r="210">
          <cell r="J210" t="str">
            <v>Scope 1Refrigerant &amp; otherMontreal protocol - standardHCFC-142bkg</v>
          </cell>
          <cell r="K210" t="str">
            <v>HCFC-142b kg</v>
          </cell>
          <cell r="L210">
            <v>2310</v>
          </cell>
        </row>
        <row r="211">
          <cell r="J211" t="str">
            <v>Scope 1Refrigerant &amp; otherMontreal protocol - standardHCFC-225cakg</v>
          </cell>
          <cell r="K211" t="str">
            <v>HCFC-225ca kg</v>
          </cell>
          <cell r="L211">
            <v>122</v>
          </cell>
        </row>
        <row r="212">
          <cell r="J212" t="str">
            <v>Scope 1Refrigerant &amp; otherMontreal protocol - standardHCFC-225cbkg</v>
          </cell>
          <cell r="K212" t="str">
            <v>HCFC-225cb kg</v>
          </cell>
          <cell r="L212">
            <v>595</v>
          </cell>
        </row>
        <row r="213">
          <cell r="J213" t="str">
            <v>Scope 1Refrigerant &amp; otherMontreal protocol - standardHCFC-21kg</v>
          </cell>
          <cell r="K213" t="str">
            <v>HCFC-21 kg</v>
          </cell>
          <cell r="L213">
            <v>151</v>
          </cell>
        </row>
        <row r="214">
          <cell r="J214" t="str">
            <v>Scope 1Refrigerant &amp; otherOther perfluorinated gasesNitrogen trifluoridekg</v>
          </cell>
          <cell r="K214" t="str">
            <v>Nitrogen trifluoride kg</v>
          </cell>
          <cell r="L214">
            <v>17200</v>
          </cell>
        </row>
        <row r="215">
          <cell r="J215" t="str">
            <v>Scope 1Refrigerant &amp; otherOther perfluorinated gasesPFC-9-1-18kg</v>
          </cell>
          <cell r="K215" t="str">
            <v>PFC-9-1-18 kg</v>
          </cell>
          <cell r="L215">
            <v>7500</v>
          </cell>
        </row>
        <row r="216">
          <cell r="J216" t="str">
            <v>Scope 1Refrigerant &amp; otherOther perfluorinated gasesTrifluoromethyl sulphur pentafluoridekg</v>
          </cell>
          <cell r="K216" t="str">
            <v>Trifluoromethyl sulphur pentafluoride kg</v>
          </cell>
          <cell r="L216">
            <v>17700</v>
          </cell>
        </row>
        <row r="217">
          <cell r="J217" t="str">
            <v>Scope 1Refrigerant &amp; otherOther perfluorinated gasesPerfluorocyclopropanekg</v>
          </cell>
          <cell r="K217" t="str">
            <v>Perfluorocyclopropane kg</v>
          </cell>
          <cell r="L217">
            <v>17340</v>
          </cell>
        </row>
        <row r="218">
          <cell r="J218" t="str">
            <v>Scope 1Refrigerant &amp; otherFluorinated ethersHFE-125kg</v>
          </cell>
          <cell r="K218" t="str">
            <v>HFE-125 kg</v>
          </cell>
          <cell r="L218">
            <v>14900</v>
          </cell>
        </row>
        <row r="219">
          <cell r="J219" t="str">
            <v>Scope 1Refrigerant &amp; otherFluorinated ethersHFE-134kg</v>
          </cell>
          <cell r="K219" t="str">
            <v>HFE-134 kg</v>
          </cell>
          <cell r="L219">
            <v>6320</v>
          </cell>
        </row>
        <row r="220">
          <cell r="J220" t="str">
            <v>Scope 1Refrigerant &amp; otherFluorinated ethersHFE-143akg</v>
          </cell>
          <cell r="K220" t="str">
            <v>HFE-143a kg</v>
          </cell>
          <cell r="L220">
            <v>756</v>
          </cell>
        </row>
        <row r="221">
          <cell r="J221" t="str">
            <v>Scope 1Refrigerant &amp; otherFluorinated ethersHCFE-235da2kg</v>
          </cell>
          <cell r="K221" t="str">
            <v>HCFE-235da2 kg</v>
          </cell>
          <cell r="L221">
            <v>350</v>
          </cell>
        </row>
        <row r="222">
          <cell r="J222" t="str">
            <v>Scope 1Refrigerant &amp; otherFluorinated ethersHFE-245cb2kg</v>
          </cell>
          <cell r="K222" t="str">
            <v>HFE-245cb2 kg</v>
          </cell>
          <cell r="L222">
            <v>708</v>
          </cell>
        </row>
        <row r="223">
          <cell r="J223" t="str">
            <v>Scope 1Refrigerant &amp; otherFluorinated ethersHFE-245fa2kg</v>
          </cell>
          <cell r="K223" t="str">
            <v>HFE-245fa2 kg</v>
          </cell>
          <cell r="L223">
            <v>659</v>
          </cell>
        </row>
        <row r="224">
          <cell r="J224" t="str">
            <v>Scope 1Refrigerant &amp; otherFluorinated ethersHFE-254cb2kg</v>
          </cell>
          <cell r="K224" t="str">
            <v>HFE-254cb2 kg</v>
          </cell>
          <cell r="L224">
            <v>359</v>
          </cell>
        </row>
        <row r="225">
          <cell r="J225" t="str">
            <v>Scope 1Refrigerant &amp; otherFluorinated ethersHFE-347mcc3kg</v>
          </cell>
          <cell r="K225" t="str">
            <v>HFE-347mcc3 kg</v>
          </cell>
          <cell r="L225">
            <v>575</v>
          </cell>
        </row>
        <row r="226">
          <cell r="J226" t="str">
            <v>Scope 1Refrigerant &amp; otherFluorinated ethersHFE-347pcf2kg</v>
          </cell>
          <cell r="K226" t="str">
            <v>HFE-347pcf2 kg</v>
          </cell>
          <cell r="L226">
            <v>580</v>
          </cell>
        </row>
        <row r="227">
          <cell r="J227" t="str">
            <v>Scope 1Refrigerant &amp; otherFluorinated ethersHFE-356pcc3kg</v>
          </cell>
          <cell r="K227" t="str">
            <v>HFE-356pcc3 kg</v>
          </cell>
          <cell r="L227">
            <v>110</v>
          </cell>
        </row>
        <row r="228">
          <cell r="J228" t="str">
            <v>Scope 1Refrigerant &amp; otherFluorinated ethersHFE-449sl (HFE-7100)kg</v>
          </cell>
          <cell r="K228" t="str">
            <v>HFE-449sl (HFE-7100) kg</v>
          </cell>
          <cell r="L228">
            <v>297</v>
          </cell>
        </row>
        <row r="229">
          <cell r="J229" t="str">
            <v>Scope 1Refrigerant &amp; otherFluorinated ethersHFE-569sf2 (HFE-7200)kg</v>
          </cell>
          <cell r="K229" t="str">
            <v>HFE-569sf2 (HFE-7200) kg</v>
          </cell>
          <cell r="L229">
            <v>59</v>
          </cell>
        </row>
        <row r="230">
          <cell r="J230" t="str">
            <v>Scope 1Refrigerant &amp; otherFluorinated ethersHFE-43-10pccc124 (H-Galden1040x)kg</v>
          </cell>
          <cell r="K230" t="str">
            <v>HFE-43-10pccc124 (H-Galden1040x) kg</v>
          </cell>
          <cell r="L230">
            <v>1870</v>
          </cell>
        </row>
        <row r="231">
          <cell r="J231" t="str">
            <v>Scope 1Refrigerant &amp; otherFluorinated ethersHFE-236ca12 (HG-10)kg</v>
          </cell>
          <cell r="K231" t="str">
            <v>HFE-236ca12 (HG-10) kg</v>
          </cell>
          <cell r="L231">
            <v>2800</v>
          </cell>
        </row>
        <row r="232">
          <cell r="J232" t="str">
            <v>Scope 1Refrigerant &amp; otherFluorinated ethersHFE-338pcc13 (HG-01)kg</v>
          </cell>
          <cell r="K232" t="str">
            <v>HFE-338pcc13 (HG-01) kg</v>
          </cell>
          <cell r="L232">
            <v>1500</v>
          </cell>
        </row>
        <row r="233">
          <cell r="J233" t="str">
            <v>Scope 1Refrigerant &amp; otherOther refrigerantsPFPMIEkg</v>
          </cell>
          <cell r="K233" t="str">
            <v>PFPMIE kg</v>
          </cell>
          <cell r="L233">
            <v>10300</v>
          </cell>
        </row>
        <row r="234">
          <cell r="J234" t="str">
            <v>Scope 1Refrigerant &amp; otherOther refrigerantsDimethyletherkg</v>
          </cell>
          <cell r="K234" t="str">
            <v>Dimethylether kg</v>
          </cell>
          <cell r="L234">
            <v>1</v>
          </cell>
        </row>
        <row r="235">
          <cell r="J235" t="str">
            <v>Scope 1Refrigerant &amp; otherOther refrigerantsMethylene chloridekg</v>
          </cell>
          <cell r="K235" t="str">
            <v>Methylene chloride kg</v>
          </cell>
          <cell r="L235">
            <v>8.6999999999999993</v>
          </cell>
        </row>
        <row r="236">
          <cell r="J236" t="str">
            <v>Scope 1Refrigerant &amp; otherOther refrigerantsMethyl chloridekg</v>
          </cell>
          <cell r="K236" t="str">
            <v>Methyl chloride kg</v>
          </cell>
          <cell r="L236">
            <v>13</v>
          </cell>
        </row>
        <row r="237">
          <cell r="J237" t="str">
            <v>Scope 1Refrigerant &amp; otherOther refrigerantsR290 = propanekg</v>
          </cell>
          <cell r="K237" t="str">
            <v>R290 = propane kg</v>
          </cell>
          <cell r="L237">
            <v>3.3</v>
          </cell>
        </row>
        <row r="238">
          <cell r="J238" t="str">
            <v>Scope 1Refrigerant &amp; otherOther refrigerantsR600A = isobutanekg</v>
          </cell>
          <cell r="K238" t="str">
            <v>R600A = isobutane kg</v>
          </cell>
          <cell r="L238">
            <v>3</v>
          </cell>
        </row>
        <row r="239">
          <cell r="J239" t="str">
            <v>Scope 1Refrigerant &amp; otherOther refrigerantsR1234yf kg</v>
          </cell>
          <cell r="K239" t="str">
            <v>R1234yf  kg</v>
          </cell>
          <cell r="L239" t="str">
            <v>&lt; 1</v>
          </cell>
        </row>
        <row r="240">
          <cell r="J240" t="str">
            <v>Scope 1Refrigerant &amp; otherOther refrigerantsR1234ze kg</v>
          </cell>
          <cell r="K240" t="str">
            <v>R1234ze  kg</v>
          </cell>
          <cell r="L240" t="str">
            <v>&lt; 1</v>
          </cell>
        </row>
        <row r="241">
          <cell r="J241" t="str">
            <v>Scope 1Refrigerant &amp; otherMontreal protocol - blendsR406Akg</v>
          </cell>
          <cell r="K241" t="str">
            <v>R406A kg</v>
          </cell>
          <cell r="L241">
            <v>1943</v>
          </cell>
        </row>
        <row r="242">
          <cell r="J242" t="str">
            <v>Scope 1Refrigerant &amp; otherMontreal protocol - blendsR409Akg</v>
          </cell>
          <cell r="K242" t="str">
            <v>R409A kg</v>
          </cell>
          <cell r="L242">
            <v>1585</v>
          </cell>
        </row>
        <row r="243">
          <cell r="J243" t="str">
            <v>Scope 1Refrigerant &amp; otherMontreal protocol - blendsR502kg</v>
          </cell>
          <cell r="K243" t="str">
            <v>R502 kg</v>
          </cell>
          <cell r="L243">
            <v>4657</v>
          </cell>
        </row>
        <row r="244">
          <cell r="J244" t="str">
            <v>Scope 1Passenger vehiclesCars (by market segment)MiniDieselkm</v>
          </cell>
          <cell r="K244" t="str">
            <v>Passenger vehicles Mini Diesel km</v>
          </cell>
          <cell r="L244">
            <v>0.10630000000000001</v>
          </cell>
        </row>
        <row r="245">
          <cell r="J245" t="str">
            <v>Scope 1Passenger vehiclesCars (by market segment)MiniDieselmiles</v>
          </cell>
          <cell r="K245" t="str">
            <v>Mini Diesel miles</v>
          </cell>
          <cell r="L245">
            <v>0.17108000000000001</v>
          </cell>
        </row>
        <row r="246">
          <cell r="J246" t="str">
            <v>Scope 1Passenger vehiclesCars (by market segment)MiniPetrolkm</v>
          </cell>
          <cell r="K246" t="str">
            <v>Passenger vehicles Mini Petrol km</v>
          </cell>
          <cell r="L246">
            <v>0.1361</v>
          </cell>
        </row>
        <row r="247">
          <cell r="J247" t="str">
            <v>Scope 1Passenger vehiclesCars (by market segment)MiniPetrolmiles</v>
          </cell>
          <cell r="K247" t="str">
            <v>Mini Petrol miles</v>
          </cell>
          <cell r="L247">
            <v>0.21903</v>
          </cell>
        </row>
        <row r="248">
          <cell r="J248" t="str">
            <v>Scope 1Passenger vehiclesCars (by market segment)MiniUnknownkm</v>
          </cell>
          <cell r="K248" t="str">
            <v>Passenger vehicles Mini Unknown km</v>
          </cell>
          <cell r="L248">
            <v>0.13578999999999999</v>
          </cell>
        </row>
        <row r="249">
          <cell r="J249" t="str">
            <v>Scope 1Passenger vehiclesCars (by market segment)MiniUnknownmiles</v>
          </cell>
          <cell r="K249" t="str">
            <v>Mini Unknown miles</v>
          </cell>
          <cell r="L249">
            <v>0.21854000000000001</v>
          </cell>
        </row>
        <row r="250">
          <cell r="J250" t="str">
            <v>Scope 1Passenger vehiclesCars (by market segment)MiniPlug-in Hybrid Electric Vehiclekm</v>
          </cell>
          <cell r="K250" t="str">
            <v>Passenger vehicles Mini Plug-in Hybrid Electric Vehicle km</v>
          </cell>
          <cell r="L250" t="str">
            <v/>
          </cell>
        </row>
        <row r="251">
          <cell r="J251" t="str">
            <v>Scope 1Passenger vehiclesCars (by market segment)MiniPlug-in Hybrid Electric Vehiclemiles</v>
          </cell>
          <cell r="K251" t="str">
            <v>Mini Plug-in Hybrid Electric Vehicle miles</v>
          </cell>
          <cell r="L251" t="str">
            <v/>
          </cell>
        </row>
        <row r="252">
          <cell r="J252" t="str">
            <v>Scope 1Passenger vehiclesCars (by market segment)MiniBattery Electric Vehiclekm</v>
          </cell>
          <cell r="K252" t="str">
            <v>Passenger vehicles Mini Battery Electric Vehicle km</v>
          </cell>
          <cell r="L252">
            <v>0</v>
          </cell>
        </row>
        <row r="253">
          <cell r="J253" t="str">
            <v>Scope 1Passenger vehiclesCars (by market segment)MiniBattery Electric Vehiclemiles</v>
          </cell>
          <cell r="K253" t="str">
            <v>Mini Battery Electric Vehicle miles</v>
          </cell>
          <cell r="L253">
            <v>0</v>
          </cell>
        </row>
        <row r="254">
          <cell r="J254" t="str">
            <v>Scope 1Passenger vehiclesCars (by market segment)SuperminiDieselkm</v>
          </cell>
          <cell r="K254" t="str">
            <v>Passenger vehicles Supermini Diesel km</v>
          </cell>
          <cell r="L254">
            <v>0.13078000000000001</v>
          </cell>
        </row>
        <row r="255">
          <cell r="J255" t="str">
            <v>Scope 1Passenger vehiclesCars (by market segment)SuperminiDieselmiles</v>
          </cell>
          <cell r="K255" t="str">
            <v>Supermini Diesel miles</v>
          </cell>
          <cell r="L255">
            <v>0.21049000000000001</v>
          </cell>
        </row>
        <row r="256">
          <cell r="J256" t="str">
            <v>Scope 1Passenger vehiclesCars (by market segment)SuperminiPetrolkm</v>
          </cell>
          <cell r="K256" t="str">
            <v>Passenger vehicles Supermini Petrol km</v>
          </cell>
          <cell r="L256">
            <v>0.15129999999999999</v>
          </cell>
        </row>
        <row r="257">
          <cell r="J257" t="str">
            <v>Scope 1Passenger vehiclesCars (by market segment)SuperminiPetrolmiles</v>
          </cell>
          <cell r="K257" t="str">
            <v>Supermini Petrol miles</v>
          </cell>
          <cell r="L257">
            <v>0.24349999999999999</v>
          </cell>
        </row>
        <row r="258">
          <cell r="J258" t="str">
            <v>Scope 1Passenger vehiclesCars (by market segment)SuperminiUnknownkm</v>
          </cell>
          <cell r="K258" t="str">
            <v>Passenger vehicles Supermini Unknown km</v>
          </cell>
          <cell r="L258">
            <v>0.14821999999999999</v>
          </cell>
        </row>
        <row r="259">
          <cell r="J259" t="str">
            <v>Scope 1Passenger vehiclesCars (by market segment)SuperminiUnknownmiles</v>
          </cell>
          <cell r="K259" t="str">
            <v>Supermini Unknown miles</v>
          </cell>
          <cell r="L259">
            <v>0.23854000000000003</v>
          </cell>
        </row>
        <row r="260">
          <cell r="J260" t="str">
            <v>Scope 1Passenger vehiclesCars (by market segment)SuperminiPlug-in Hybrid Electric Vehiclekm</v>
          </cell>
          <cell r="K260" t="str">
            <v>Passenger vehicles Supermini Plug-in Hybrid Electric Vehicle km</v>
          </cell>
          <cell r="L260">
            <v>2.2410000000000003E-2</v>
          </cell>
        </row>
        <row r="261">
          <cell r="J261" t="str">
            <v>Scope 1Passenger vehiclesCars (by market segment)SuperminiPlug-in Hybrid Electric Vehiclemiles</v>
          </cell>
          <cell r="K261" t="str">
            <v>Supermini Plug-in Hybrid Electric Vehicle miles</v>
          </cell>
          <cell r="L261">
            <v>3.6069999999999998E-2</v>
          </cell>
        </row>
        <row r="262">
          <cell r="J262" t="str">
            <v>Scope 1Passenger vehiclesCars (by market segment)SuperminiBattery Electric Vehiclekm</v>
          </cell>
          <cell r="K262" t="str">
            <v>Passenger vehicles Supermini Battery Electric Vehicle km</v>
          </cell>
          <cell r="L262">
            <v>0</v>
          </cell>
        </row>
        <row r="263">
          <cell r="J263" t="str">
            <v>Scope 1Passenger vehiclesCars (by market segment)SuperminiBattery Electric Vehiclemiles</v>
          </cell>
          <cell r="K263" t="str">
            <v>Supermini Battery Electric Vehicle miles</v>
          </cell>
          <cell r="L263">
            <v>0</v>
          </cell>
        </row>
        <row r="264">
          <cell r="J264" t="str">
            <v>Scope 1Passenger vehiclesCars (by market segment)Lower mediumDieselkm</v>
          </cell>
          <cell r="K264" t="str">
            <v>Passenger vehicles Lower medium Diesel km</v>
          </cell>
          <cell r="L264">
            <v>0.14307</v>
          </cell>
        </row>
        <row r="265">
          <cell r="J265" t="str">
            <v>Scope 1Passenger vehiclesCars (by market segment)Lower mediumDieselmiles</v>
          </cell>
          <cell r="K265" t="str">
            <v>Lower medium Diesel miles</v>
          </cell>
          <cell r="L265">
            <v>0.23026000000000002</v>
          </cell>
        </row>
        <row r="266">
          <cell r="J266" t="str">
            <v>Scope 1Passenger vehiclesCars (by market segment)Lower mediumPetrolkm</v>
          </cell>
          <cell r="K266" t="str">
            <v>Passenger vehicles Lower medium Petrol km</v>
          </cell>
          <cell r="L266">
            <v>0.17496999999999999</v>
          </cell>
        </row>
        <row r="267">
          <cell r="J267" t="str">
            <v>Scope 1Passenger vehiclesCars (by market segment)Lower mediumPetrolmiles</v>
          </cell>
          <cell r="K267" t="str">
            <v>Lower medium Petrol miles</v>
          </cell>
          <cell r="L267">
            <v>0.28159000000000006</v>
          </cell>
        </row>
        <row r="268">
          <cell r="J268" t="str">
            <v>Scope 1Passenger vehiclesCars (by market segment)Lower mediumUnknownkm</v>
          </cell>
          <cell r="K268" t="str">
            <v>Passenger vehicles Lower medium Unknown km</v>
          </cell>
          <cell r="L268">
            <v>0.15903</v>
          </cell>
        </row>
        <row r="269">
          <cell r="J269" t="str">
            <v>Scope 1Passenger vehiclesCars (by market segment)Lower mediumUnknownmiles</v>
          </cell>
          <cell r="K269" t="str">
            <v>Lower medium Unknown miles</v>
          </cell>
          <cell r="L269">
            <v>0.25592999999999999</v>
          </cell>
        </row>
        <row r="270">
          <cell r="J270" t="str">
            <v>Scope 1Passenger vehiclesCars (by market segment)Lower mediumPlug-in Hybrid Electric Vehiclekm</v>
          </cell>
          <cell r="K270" t="str">
            <v>Passenger vehicles Lower medium Plug-in Hybrid Electric Vehicle km</v>
          </cell>
          <cell r="L270">
            <v>6.7360000000000003E-2</v>
          </cell>
        </row>
        <row r="271">
          <cell r="J271" t="str">
            <v>Scope 1Passenger vehiclesCars (by market segment)Lower mediumPlug-in Hybrid Electric Vehiclemiles</v>
          </cell>
          <cell r="K271" t="str">
            <v>Lower medium Plug-in Hybrid Electric Vehicle miles</v>
          </cell>
          <cell r="L271">
            <v>0.10843</v>
          </cell>
        </row>
        <row r="272">
          <cell r="J272" t="str">
            <v>Scope 1Passenger vehiclesCars (by market segment)Lower mediumBattery Electric Vehiclekm</v>
          </cell>
          <cell r="K272" t="str">
            <v>Passenger vehicles Lower medium Battery Electric Vehicle km</v>
          </cell>
          <cell r="L272">
            <v>0</v>
          </cell>
        </row>
        <row r="273">
          <cell r="J273" t="str">
            <v>Scope 1Passenger vehiclesCars (by market segment)Lower mediumBattery Electric Vehiclemiles</v>
          </cell>
          <cell r="K273" t="str">
            <v>Lower medium Battery Electric Vehicle miles</v>
          </cell>
          <cell r="L273">
            <v>0</v>
          </cell>
        </row>
        <row r="274">
          <cell r="J274" t="str">
            <v>Scope 1Passenger vehiclesCars (by market segment)Upper mediumDieselkm</v>
          </cell>
          <cell r="K274" t="str">
            <v>Passenger vehicles Upper medium Diesel km</v>
          </cell>
          <cell r="L274">
            <v>0.15955</v>
          </cell>
        </row>
        <row r="275">
          <cell r="J275" t="str">
            <v>Scope 1Passenger vehiclesCars (by market segment)Upper mediumDieselmiles</v>
          </cell>
          <cell r="K275" t="str">
            <v>Upper medium Diesel miles</v>
          </cell>
          <cell r="L275">
            <v>0.25678000000000001</v>
          </cell>
        </row>
        <row r="276">
          <cell r="J276" t="str">
            <v>Scope 1Passenger vehiclesCars (by market segment)Upper mediumPetrolkm</v>
          </cell>
          <cell r="K276" t="str">
            <v>Passenger vehicles Upper medium Petrol km</v>
          </cell>
          <cell r="L276">
            <v>0.20358999999999999</v>
          </cell>
        </row>
        <row r="277">
          <cell r="J277" t="str">
            <v>Scope 1Passenger vehiclesCars (by market segment)Upper mediumPetrolmiles</v>
          </cell>
          <cell r="K277" t="str">
            <v>Upper medium Petrol miles</v>
          </cell>
          <cell r="L277">
            <v>0.32764000000000004</v>
          </cell>
        </row>
        <row r="278">
          <cell r="J278" t="str">
            <v>Scope 1Passenger vehiclesCars (by market segment)Upper mediumUnknownkm</v>
          </cell>
          <cell r="K278" t="str">
            <v>Passenger vehicles Upper medium Unknown km</v>
          </cell>
          <cell r="L278">
            <v>0.16900000000000001</v>
          </cell>
        </row>
        <row r="279">
          <cell r="J279" t="str">
            <v>Scope 1Passenger vehiclesCars (by market segment)Upper mediumUnknownmiles</v>
          </cell>
          <cell r="K279" t="str">
            <v>Upper medium Unknown miles</v>
          </cell>
          <cell r="L279">
            <v>0.27196999999999999</v>
          </cell>
        </row>
        <row r="280">
          <cell r="J280" t="str">
            <v>Scope 1Passenger vehiclesCars (by market segment)Upper mediumPlug-in Hybrid Electric Vehiclekm</v>
          </cell>
          <cell r="K280" t="str">
            <v>Passenger vehicles Upper medium Plug-in Hybrid Electric Vehicle km</v>
          </cell>
          <cell r="L280">
            <v>7.1089999999999987E-2</v>
          </cell>
        </row>
        <row r="281">
          <cell r="J281" t="str">
            <v>Scope 1Passenger vehiclesCars (by market segment)Upper mediumPlug-in Hybrid Electric Vehiclemiles</v>
          </cell>
          <cell r="K281" t="str">
            <v>Upper medium Plug-in Hybrid Electric Vehicle miles</v>
          </cell>
          <cell r="L281">
            <v>0.11441999999999999</v>
          </cell>
        </row>
        <row r="282">
          <cell r="J282" t="str">
            <v>Scope 1Passenger vehiclesCars (by market segment)Upper mediumBattery Electric Vehiclekm</v>
          </cell>
          <cell r="K282" t="str">
            <v>Passenger vehicles Upper medium Battery Electric Vehicle km</v>
          </cell>
          <cell r="L282">
            <v>0</v>
          </cell>
        </row>
        <row r="283">
          <cell r="J283" t="str">
            <v>Scope 1Passenger vehiclesCars (by market segment)Upper mediumBattery Electric Vehiclemiles</v>
          </cell>
          <cell r="K283" t="str">
            <v>Upper medium Battery Electric Vehicle miles</v>
          </cell>
          <cell r="L283">
            <v>0</v>
          </cell>
        </row>
        <row r="284">
          <cell r="J284" t="str">
            <v>Scope 1Passenger vehiclesCars (by market segment)ExecutiveDieselkm</v>
          </cell>
          <cell r="K284" t="str">
            <v>Passenger vehicles Executive Diesel km</v>
          </cell>
          <cell r="L284">
            <v>0.17399000000000001</v>
          </cell>
        </row>
        <row r="285">
          <cell r="J285" t="str">
            <v>Scope 1Passenger vehiclesCars (by market segment)ExecutiveDieselmiles</v>
          </cell>
          <cell r="K285" t="str">
            <v>Executive Diesel miles</v>
          </cell>
          <cell r="L285">
            <v>0.28001999999999999</v>
          </cell>
        </row>
        <row r="286">
          <cell r="J286" t="str">
            <v>Scope 1Passenger vehiclesCars (by market segment)ExecutivePetrolkm</v>
          </cell>
          <cell r="K286" t="str">
            <v>Passenger vehicles Executive Petrol km</v>
          </cell>
          <cell r="L286">
            <v>0.22342000000000001</v>
          </cell>
        </row>
        <row r="287">
          <cell r="J287" t="str">
            <v>Scope 1Passenger vehiclesCars (by market segment)ExecutivePetrolmiles</v>
          </cell>
          <cell r="K287" t="str">
            <v>Executive Petrol miles</v>
          </cell>
          <cell r="L287">
            <v>0.35956000000000005</v>
          </cell>
        </row>
        <row r="288">
          <cell r="J288" t="str">
            <v>Scope 1Passenger vehiclesCars (by market segment)ExecutiveUnknownkm</v>
          </cell>
          <cell r="K288" t="str">
            <v>Passenger vehicles Executive Unknown km</v>
          </cell>
          <cell r="L288">
            <v>0.18576999999999999</v>
          </cell>
        </row>
        <row r="289">
          <cell r="J289" t="str">
            <v>Scope 1Passenger vehiclesCars (by market segment)ExecutiveUnknownmiles</v>
          </cell>
          <cell r="K289" t="str">
            <v>Executive Unknown miles</v>
          </cell>
          <cell r="L289">
            <v>0.29898000000000002</v>
          </cell>
        </row>
        <row r="290">
          <cell r="J290" t="str">
            <v>Scope 1Passenger vehiclesCars (by market segment)ExecutivePlug-in Hybrid Electric Vehiclekm</v>
          </cell>
          <cell r="K290" t="str">
            <v>Passenger vehicles Executive Plug-in Hybrid Electric Vehicle km</v>
          </cell>
          <cell r="L290">
            <v>7.1980000000000002E-2</v>
          </cell>
        </row>
        <row r="291">
          <cell r="J291" t="str">
            <v>Scope 1Passenger vehiclesCars (by market segment)ExecutivePlug-in Hybrid Electric Vehiclemiles</v>
          </cell>
          <cell r="K291" t="str">
            <v>Executive Plug-in Hybrid Electric Vehicle miles</v>
          </cell>
          <cell r="L291">
            <v>0.11584</v>
          </cell>
        </row>
        <row r="292">
          <cell r="J292" t="str">
            <v>Scope 1Passenger vehiclesCars (by market segment)ExecutiveBattery Electric Vehiclekm</v>
          </cell>
          <cell r="K292" t="str">
            <v>Passenger vehicles Executive Battery Electric Vehicle km</v>
          </cell>
          <cell r="L292">
            <v>0</v>
          </cell>
        </row>
        <row r="293">
          <cell r="J293" t="str">
            <v>Scope 1Passenger vehiclesCars (by market segment)ExecutiveBattery Electric Vehiclemiles</v>
          </cell>
          <cell r="K293" t="str">
            <v>Executive Battery Electric Vehicle miles</v>
          </cell>
          <cell r="L293">
            <v>0</v>
          </cell>
        </row>
        <row r="294">
          <cell r="J294" t="str">
            <v>Scope 1Passenger vehiclesCars (by market segment)LuxuryDieselkm</v>
          </cell>
          <cell r="K294" t="str">
            <v>Passenger vehicles Luxury Diesel km</v>
          </cell>
          <cell r="L294">
            <v>0.21174000000000001</v>
          </cell>
        </row>
        <row r="295">
          <cell r="J295" t="str">
            <v>Scope 1Passenger vehiclesCars (by market segment)LuxuryDieselmiles</v>
          </cell>
          <cell r="K295" t="str">
            <v>Luxury Diesel miles</v>
          </cell>
          <cell r="L295">
            <v>0.34077999999999997</v>
          </cell>
        </row>
        <row r="296">
          <cell r="J296" t="str">
            <v>Scope 1Passenger vehiclesCars (by market segment)LuxuryPetrolkm</v>
          </cell>
          <cell r="K296" t="str">
            <v>Passenger vehicles Luxury Petrol km</v>
          </cell>
          <cell r="L296">
            <v>0.32585999999999998</v>
          </cell>
        </row>
        <row r="297">
          <cell r="J297" t="str">
            <v>Scope 1Passenger vehiclesCars (by market segment)LuxuryPetrolmiles</v>
          </cell>
          <cell r="K297" t="str">
            <v>Luxury Petrol miles</v>
          </cell>
          <cell r="L297">
            <v>0.52442</v>
          </cell>
        </row>
        <row r="298">
          <cell r="J298" t="str">
            <v>Scope 1Passenger vehiclesCars (by market segment)LuxuryUnknownkm</v>
          </cell>
          <cell r="K298" t="str">
            <v>Passenger vehicles Luxury Unknown km</v>
          </cell>
          <cell r="L298">
            <v>0.26579000000000003</v>
          </cell>
        </row>
        <row r="299">
          <cell r="J299" t="str">
            <v>Scope 1Passenger vehiclesCars (by market segment)LuxuryUnknownmiles</v>
          </cell>
          <cell r="K299" t="str">
            <v>Luxury Unknown miles</v>
          </cell>
          <cell r="L299">
            <v>0.42774999999999996</v>
          </cell>
        </row>
        <row r="300">
          <cell r="J300" t="str">
            <v>Scope 1Passenger vehiclesCars (by market segment)LuxuryPlug-in Hybrid Electric Vehiclekm</v>
          </cell>
          <cell r="K300" t="str">
            <v>Passenger vehicles Luxury Plug-in Hybrid Electric Vehicle km</v>
          </cell>
          <cell r="L300">
            <v>9.3250000000000013E-2</v>
          </cell>
        </row>
        <row r="301">
          <cell r="J301" t="str">
            <v>Scope 1Passenger vehiclesCars (by market segment)LuxuryPlug-in Hybrid Electric Vehiclemiles</v>
          </cell>
          <cell r="K301" t="str">
            <v>Luxury Plug-in Hybrid Electric Vehicle miles</v>
          </cell>
          <cell r="L301">
            <v>0.15007000000000001</v>
          </cell>
        </row>
        <row r="302">
          <cell r="J302" t="str">
            <v>Scope 1Passenger vehiclesCars (by market segment)LuxuryBattery Electric Vehiclekm</v>
          </cell>
          <cell r="K302" t="str">
            <v>Passenger vehicles Luxury Battery Electric Vehicle km</v>
          </cell>
          <cell r="L302">
            <v>0</v>
          </cell>
        </row>
        <row r="303">
          <cell r="J303" t="str">
            <v>Scope 1Passenger vehiclesCars (by market segment)LuxuryBattery Electric Vehiclemiles</v>
          </cell>
          <cell r="K303" t="str">
            <v>Luxury Battery Electric Vehicle miles</v>
          </cell>
          <cell r="L303">
            <v>0</v>
          </cell>
        </row>
        <row r="304">
          <cell r="J304" t="str">
            <v>Scope 1Passenger vehiclesCars (by market segment)SportsDieselkm</v>
          </cell>
          <cell r="K304" t="str">
            <v>Passenger vehicles Sports Diesel km</v>
          </cell>
          <cell r="L304">
            <v>0.16664000000000001</v>
          </cell>
        </row>
        <row r="305">
          <cell r="J305" t="str">
            <v>Scope 1Passenger vehiclesCars (by market segment)SportsDieselmiles</v>
          </cell>
          <cell r="K305" t="str">
            <v>Sports Diesel miles</v>
          </cell>
          <cell r="L305">
            <v>0.26818999999999998</v>
          </cell>
        </row>
        <row r="306">
          <cell r="J306" t="str">
            <v>Scope 1Passenger vehiclesCars (by market segment)SportsPetrolkm</v>
          </cell>
          <cell r="K306" t="str">
            <v>Passenger vehicles Sports Petrol km</v>
          </cell>
          <cell r="L306">
            <v>0.24265999999999999</v>
          </cell>
        </row>
        <row r="307">
          <cell r="J307" t="str">
            <v>Scope 1Passenger vehiclesCars (by market segment)SportsPetrolmiles</v>
          </cell>
          <cell r="K307" t="str">
            <v>Sports Petrol miles</v>
          </cell>
          <cell r="L307">
            <v>0.39052000000000003</v>
          </cell>
        </row>
        <row r="308">
          <cell r="J308" t="str">
            <v>Scope 1Passenger vehiclesCars (by market segment)SportsUnknownkm</v>
          </cell>
          <cell r="K308" t="str">
            <v>Passenger vehicles Sports Unknown km</v>
          </cell>
          <cell r="L308">
            <v>0.23053000000000001</v>
          </cell>
        </row>
        <row r="309">
          <cell r="J309" t="str">
            <v>Scope 1Passenger vehiclesCars (by market segment)SportsUnknownmiles</v>
          </cell>
          <cell r="K309" t="str">
            <v>Sports Unknown miles</v>
          </cell>
          <cell r="L309">
            <v>0.37101000000000001</v>
          </cell>
        </row>
        <row r="310">
          <cell r="J310" t="str">
            <v>Scope 1Passenger vehiclesCars (by market segment)SportsPlug-in Hybrid Electric Vehiclekm</v>
          </cell>
          <cell r="K310" t="str">
            <v>Passenger vehicles Sports Plug-in Hybrid Electric Vehicle km</v>
          </cell>
          <cell r="L310">
            <v>7.6530000000000001E-2</v>
          </cell>
        </row>
        <row r="311">
          <cell r="J311" t="str">
            <v>Scope 1Passenger vehiclesCars (by market segment)SportsPlug-in Hybrid Electric Vehiclemiles</v>
          </cell>
          <cell r="K311" t="str">
            <v>Sports Plug-in Hybrid Electric Vehicle miles</v>
          </cell>
          <cell r="L311">
            <v>0.12315999999999999</v>
          </cell>
        </row>
        <row r="312">
          <cell r="J312" t="str">
            <v>Scope 1Passenger vehiclesCars (by market segment)SportsBattery Electric Vehiclekm</v>
          </cell>
          <cell r="K312" t="str">
            <v>Passenger vehicles Sports Battery Electric Vehicle km</v>
          </cell>
          <cell r="L312">
            <v>0</v>
          </cell>
        </row>
        <row r="313">
          <cell r="J313" t="str">
            <v>Scope 1Passenger vehiclesCars (by market segment)SportsBattery Electric Vehiclemiles</v>
          </cell>
          <cell r="K313" t="str">
            <v>Sports Battery Electric Vehicle miles</v>
          </cell>
          <cell r="L313">
            <v>0</v>
          </cell>
        </row>
        <row r="314">
          <cell r="J314" t="str">
            <v>Scope 1Passenger vehiclesCars (by market segment)Dual purpose 4X4Dieselkm</v>
          </cell>
          <cell r="K314" t="str">
            <v>Passenger vehicles Dual purpose 4X4 Diesel km</v>
          </cell>
          <cell r="L314">
            <v>0.20376</v>
          </cell>
        </row>
        <row r="315">
          <cell r="J315" t="str">
            <v>Scope 1Passenger vehiclesCars (by market segment)Dual purpose 4X4Dieselmiles</v>
          </cell>
          <cell r="K315" t="str">
            <v>Dual purpose 4X4 Diesel miles</v>
          </cell>
          <cell r="L315">
            <v>0.32793</v>
          </cell>
        </row>
        <row r="316">
          <cell r="J316" t="str">
            <v>Scope 1Passenger vehiclesCars (by market segment)Dual purpose 4X4Petrolkm</v>
          </cell>
          <cell r="K316" t="str">
            <v>Passenger vehicles Dual purpose 4X4 Petrol km</v>
          </cell>
          <cell r="L316">
            <v>0.21657999999999999</v>
          </cell>
        </row>
        <row r="317">
          <cell r="J317" t="str">
            <v>Scope 1Passenger vehiclesCars (by market segment)Dual purpose 4X4Petrolmiles</v>
          </cell>
          <cell r="K317" t="str">
            <v>Dual purpose 4X4 Petrol miles</v>
          </cell>
          <cell r="L317">
            <v>0.34854000000000002</v>
          </cell>
        </row>
        <row r="318">
          <cell r="J318" t="str">
            <v>Scope 1Passenger vehiclesCars (by market segment)Dual purpose 4X4Unknownkm</v>
          </cell>
          <cell r="K318" t="str">
            <v>Passenger vehicles Dual purpose 4X4 Unknown km</v>
          </cell>
          <cell r="L318">
            <v>0.20716000000000001</v>
          </cell>
        </row>
        <row r="319">
          <cell r="J319" t="str">
            <v>Scope 1Passenger vehiclesCars (by market segment)Dual purpose 4X4Unknownmiles</v>
          </cell>
          <cell r="K319" t="str">
            <v>Dual purpose 4X4 Unknown miles</v>
          </cell>
          <cell r="L319">
            <v>0.33337999999999995</v>
          </cell>
        </row>
        <row r="320">
          <cell r="J320" t="str">
            <v>Scope 1Passenger vehiclesCars (by market segment)Dual purpose 4X4Plug-in Hybrid Electric Vehiclekm</v>
          </cell>
          <cell r="K320" t="str">
            <v>Passenger vehicles Dual purpose 4X4 Plug-in Hybrid Electric Vehicle km</v>
          </cell>
          <cell r="L320">
            <v>7.6840000000000006E-2</v>
          </cell>
        </row>
        <row r="321">
          <cell r="J321" t="str">
            <v>Scope 1Passenger vehiclesCars (by market segment)Dual purpose 4X4Plug-in Hybrid Electric Vehiclemiles</v>
          </cell>
          <cell r="K321" t="str">
            <v>Dual purpose 4X4 Plug-in Hybrid Electric Vehicle miles</v>
          </cell>
          <cell r="L321">
            <v>0.12366000000000001</v>
          </cell>
        </row>
        <row r="322">
          <cell r="J322" t="str">
            <v>Scope 1Passenger vehiclesCars (by market segment)Dual purpose 4X4Battery Electric Vehiclekm</v>
          </cell>
          <cell r="K322" t="str">
            <v>Passenger vehicles Dual purpose 4X4 Battery Electric Vehicle km</v>
          </cell>
          <cell r="L322">
            <v>0</v>
          </cell>
        </row>
        <row r="323">
          <cell r="J323" t="str">
            <v>Scope 1Passenger vehiclesCars (by market segment)Dual purpose 4X4Battery Electric Vehiclemiles</v>
          </cell>
          <cell r="K323" t="str">
            <v>Dual purpose 4X4 Battery Electric Vehicle miles</v>
          </cell>
          <cell r="L323">
            <v>0</v>
          </cell>
        </row>
        <row r="324">
          <cell r="J324" t="str">
            <v>Scope 1Passenger vehiclesCars (by market segment)MPVDieselkm</v>
          </cell>
          <cell r="K324" t="str">
            <v>Passenger vehicles MPV Diesel km</v>
          </cell>
          <cell r="L324">
            <v>0.17502999999999999</v>
          </cell>
        </row>
        <row r="325">
          <cell r="J325" t="str">
            <v>Scope 1Passenger vehiclesCars (by market segment)MPVDieselmiles</v>
          </cell>
          <cell r="K325" t="str">
            <v>MPV Diesel miles</v>
          </cell>
          <cell r="L325">
            <v>0.28170000000000001</v>
          </cell>
        </row>
        <row r="326">
          <cell r="J326" t="str">
            <v>Scope 1Passenger vehiclesCars (by market segment)MPVPetrolkm</v>
          </cell>
          <cell r="K326" t="str">
            <v>Passenger vehicles MPV Petrol km</v>
          </cell>
          <cell r="L326">
            <v>0.19478999999999999</v>
          </cell>
        </row>
        <row r="327">
          <cell r="J327" t="str">
            <v>Scope 1Passenger vehiclesCars (by market segment)MPVPetrolmiles</v>
          </cell>
          <cell r="K327" t="str">
            <v>MPV Petrol miles</v>
          </cell>
          <cell r="L327">
            <v>0.31349000000000005</v>
          </cell>
        </row>
        <row r="328">
          <cell r="J328" t="str">
            <v>Scope 1Passenger vehiclesCars (by market segment)MPVUnknownkm</v>
          </cell>
          <cell r="K328" t="str">
            <v>Passenger vehicles MPV Unknown km</v>
          </cell>
          <cell r="L328">
            <v>0.18031</v>
          </cell>
        </row>
        <row r="329">
          <cell r="J329" t="str">
            <v>Scope 1Passenger vehiclesCars (by market segment)MPVUnknownmiles</v>
          </cell>
          <cell r="K329" t="str">
            <v>MPV Unknown miles</v>
          </cell>
          <cell r="L329">
            <v>0.29017999999999999</v>
          </cell>
        </row>
        <row r="330">
          <cell r="J330" t="str">
            <v>Scope 1Passenger vehiclesCars (by market segment)MPVPlug-in Hybrid Electric Vehiclekm</v>
          </cell>
          <cell r="K330" t="str">
            <v>Passenger vehicles MPV Plug-in Hybrid Electric Vehicle km</v>
          </cell>
          <cell r="L330" t="str">
            <v/>
          </cell>
        </row>
        <row r="331">
          <cell r="J331" t="str">
            <v>Scope 1Passenger vehiclesCars (by market segment)MPVPlug-in Hybrid Electric Vehiclemiles</v>
          </cell>
          <cell r="K331" t="str">
            <v>MPV Plug-in Hybrid Electric Vehicle miles</v>
          </cell>
          <cell r="L331" t="str">
            <v/>
          </cell>
        </row>
        <row r="332">
          <cell r="J332" t="str">
            <v>Scope 1Passenger vehiclesCars (by market segment)MPVBattery Electric Vehiclekm</v>
          </cell>
          <cell r="K332" t="str">
            <v>Passenger vehicles MPV Battery Electric Vehicle km</v>
          </cell>
          <cell r="L332">
            <v>0</v>
          </cell>
        </row>
        <row r="333">
          <cell r="J333" t="str">
            <v>Scope 1Passenger vehiclesCars (by market segment)MPVBattery Electric Vehiclemiles</v>
          </cell>
          <cell r="K333" t="str">
            <v>MPV Battery Electric Vehicle miles</v>
          </cell>
          <cell r="L333">
            <v>0</v>
          </cell>
        </row>
        <row r="334">
          <cell r="J334" t="str">
            <v>Scope 1Passenger vehiclesCars (by size)Small carDieselkm</v>
          </cell>
          <cell r="K334" t="str">
            <v>Passenger vehicles Small car Diesel km</v>
          </cell>
          <cell r="L334">
            <v>0.13758000000000001</v>
          </cell>
        </row>
        <row r="335">
          <cell r="J335" t="str">
            <v>Scope 1Passenger vehiclesCars (by size)Small carDieselmiles</v>
          </cell>
          <cell r="K335" t="str">
            <v>Small car Diesel miles</v>
          </cell>
          <cell r="L335">
            <v>0.22143000000000002</v>
          </cell>
        </row>
        <row r="336">
          <cell r="J336" t="str">
            <v>Scope 1Passenger vehiclesCars (by size)Small carPetrolkm</v>
          </cell>
          <cell r="K336" t="str">
            <v>Passenger vehicles Small car Petrol km</v>
          </cell>
          <cell r="L336">
            <v>0.14946000000000001</v>
          </cell>
        </row>
        <row r="337">
          <cell r="J337" t="str">
            <v>Scope 1Passenger vehiclesCars (by size)Small carPetrolmiles</v>
          </cell>
          <cell r="K337" t="str">
            <v>Small car Petrol miles</v>
          </cell>
          <cell r="L337">
            <v>0.24052000000000001</v>
          </cell>
        </row>
        <row r="338">
          <cell r="J338" t="str">
            <v>Scope 1Passenger vehiclesCars (by size)Small carHybridkm</v>
          </cell>
          <cell r="K338" t="str">
            <v>Passenger vehicles Small car Hybrid km</v>
          </cell>
          <cell r="L338">
            <v>0.10494000000000001</v>
          </cell>
        </row>
        <row r="339">
          <cell r="J339" t="str">
            <v>Scope 1Passenger vehiclesCars (by size)Small carHybridmiles</v>
          </cell>
          <cell r="K339" t="str">
            <v>Small car Hybrid miles</v>
          </cell>
          <cell r="L339">
            <v>0.16889000000000001</v>
          </cell>
        </row>
        <row r="340">
          <cell r="J340" t="str">
            <v>Scope 1Passenger vehiclesCars (by size)Small carCNGkm</v>
          </cell>
          <cell r="K340" t="str">
            <v>Passenger vehicles Small car CNG km</v>
          </cell>
          <cell r="L340" t="str">
            <v/>
          </cell>
        </row>
        <row r="341">
          <cell r="J341" t="str">
            <v>Scope 1Passenger vehiclesCars (by size)Small carCNGmiles</v>
          </cell>
          <cell r="K341" t="str">
            <v>Small car CNG miles</v>
          </cell>
          <cell r="L341" t="str">
            <v/>
          </cell>
        </row>
        <row r="342">
          <cell r="J342" t="str">
            <v>Scope 1Passenger vehiclesCars (by size)Small carLPGkm</v>
          </cell>
          <cell r="K342" t="str">
            <v>Passenger vehicles Small car LPG km</v>
          </cell>
          <cell r="L342" t="str">
            <v/>
          </cell>
        </row>
        <row r="343">
          <cell r="J343" t="str">
            <v>Scope 1Passenger vehiclesCars (by size)Small carLPGmiles</v>
          </cell>
          <cell r="K343" t="str">
            <v>Small car LPG miles</v>
          </cell>
          <cell r="L343" t="str">
            <v/>
          </cell>
        </row>
        <row r="344">
          <cell r="J344" t="str">
            <v>Scope 1Passenger vehiclesCars (by size)Small carUnknownkm</v>
          </cell>
          <cell r="K344" t="str">
            <v>Passenger vehicles Small car Unknown km</v>
          </cell>
          <cell r="L344">
            <v>0.14549000000000001</v>
          </cell>
        </row>
        <row r="345">
          <cell r="J345" t="str">
            <v>Scope 1Passenger vehiclesCars (by size)Small carUnknownmiles</v>
          </cell>
          <cell r="K345" t="str">
            <v>Small car Unknown miles</v>
          </cell>
          <cell r="L345">
            <v>0.23414000000000001</v>
          </cell>
        </row>
        <row r="346">
          <cell r="J346" t="str">
            <v>Scope 1Passenger vehiclesCars (by size)Small carPlug-in Hybrid Electric Vehiclekm</v>
          </cell>
          <cell r="K346" t="str">
            <v>Passenger vehicles Small car Plug-in Hybrid Electric Vehicle km</v>
          </cell>
          <cell r="L346">
            <v>2.2410000000000003E-2</v>
          </cell>
        </row>
        <row r="347">
          <cell r="J347" t="str">
            <v>Scope 1Passenger vehiclesCars (by size)Small carPlug-in Hybrid Electric Vehiclemiles</v>
          </cell>
          <cell r="K347" t="str">
            <v>Small car Plug-in Hybrid Electric Vehicle miles</v>
          </cell>
          <cell r="L347">
            <v>3.6069999999999998E-2</v>
          </cell>
        </row>
        <row r="348">
          <cell r="J348" t="str">
            <v>Scope 1Passenger vehiclesCars (by size)Small carBattery Electric Vehiclekm</v>
          </cell>
          <cell r="K348" t="str">
            <v>Passenger vehicles Small car Battery Electric Vehicle km</v>
          </cell>
          <cell r="L348">
            <v>0</v>
          </cell>
        </row>
        <row r="349">
          <cell r="J349" t="str">
            <v>Scope 1Passenger vehiclesCars (by size)Small carBattery Electric Vehiclemiles</v>
          </cell>
          <cell r="K349" t="str">
            <v>Small car Battery Electric Vehicle miles</v>
          </cell>
          <cell r="L349">
            <v>0</v>
          </cell>
        </row>
        <row r="350">
          <cell r="J350" t="str">
            <v>Scope 1Passenger vehiclesCars (by size)Medium carDieselkm</v>
          </cell>
          <cell r="K350" t="str">
            <v>Passenger vehicles Medium car Diesel km</v>
          </cell>
          <cell r="L350">
            <v>0.16496</v>
          </cell>
        </row>
        <row r="351">
          <cell r="J351" t="str">
            <v>Scope 1Passenger vehiclesCars (by size)Medium carDieselmiles</v>
          </cell>
          <cell r="K351" t="str">
            <v>Medium car Diesel miles</v>
          </cell>
          <cell r="L351">
            <v>0.26549</v>
          </cell>
        </row>
        <row r="352">
          <cell r="J352" t="str">
            <v>Scope 1Passenger vehiclesCars (by size)Medium carPetrolkm</v>
          </cell>
          <cell r="K352" t="str">
            <v>Passenger vehicles Medium car Petrol km</v>
          </cell>
          <cell r="L352">
            <v>0.18784999999999999</v>
          </cell>
        </row>
        <row r="353">
          <cell r="J353" t="str">
            <v>Scope 1Passenger vehiclesCars (by size)Medium carPetrolmiles</v>
          </cell>
          <cell r="K353" t="str">
            <v>Medium car Petrol miles</v>
          </cell>
          <cell r="L353">
            <v>0.30231000000000002</v>
          </cell>
        </row>
        <row r="354">
          <cell r="J354" t="str">
            <v>Scope 1Passenger vehiclesCars (by size)Medium carHybridkm</v>
          </cell>
          <cell r="K354" t="str">
            <v>Passenger vehicles Medium car Hybrid km</v>
          </cell>
          <cell r="L354">
            <v>0.10957</v>
          </cell>
        </row>
        <row r="355">
          <cell r="J355" t="str">
            <v>Scope 1Passenger vehiclesCars (by size)Medium carHybridmiles</v>
          </cell>
          <cell r="K355" t="str">
            <v>Medium car Hybrid miles</v>
          </cell>
          <cell r="L355">
            <v>0.17635000000000001</v>
          </cell>
        </row>
        <row r="356">
          <cell r="J356" t="str">
            <v>Scope 1Passenger vehiclesCars (by size)Medium carCNGkm</v>
          </cell>
          <cell r="K356" t="str">
            <v>Passenger vehicles Medium car CNG km</v>
          </cell>
          <cell r="L356">
            <v>0.15948999999999999</v>
          </cell>
        </row>
        <row r="357">
          <cell r="J357" t="str">
            <v>Scope 1Passenger vehiclesCars (by size)Medium carCNGmiles</v>
          </cell>
          <cell r="K357" t="str">
            <v>Medium car CNG miles</v>
          </cell>
          <cell r="L357">
            <v>0.25666999999999995</v>
          </cell>
        </row>
        <row r="358">
          <cell r="J358" t="str">
            <v>Scope 1Passenger vehiclesCars (by size)Medium carLPGkm</v>
          </cell>
          <cell r="K358" t="str">
            <v>Passenger vehicles Medium car LPG km</v>
          </cell>
          <cell r="L358">
            <v>0.17927000000000001</v>
          </cell>
        </row>
        <row r="359">
          <cell r="J359" t="str">
            <v>Scope 1Passenger vehiclesCars (by size)Medium carLPGmiles</v>
          </cell>
          <cell r="K359" t="str">
            <v>Medium car LPG miles</v>
          </cell>
          <cell r="L359">
            <v>0.28849000000000002</v>
          </cell>
        </row>
        <row r="360">
          <cell r="J360" t="str">
            <v>Scope 1Passenger vehiclesCars (by size)Medium carUnknownkm</v>
          </cell>
          <cell r="K360" t="str">
            <v>Passenger vehicles Medium car Unknown km</v>
          </cell>
          <cell r="L360">
            <v>0.17562</v>
          </cell>
        </row>
        <row r="361">
          <cell r="J361" t="str">
            <v>Scope 1Passenger vehiclesCars (by size)Medium carUnknownmiles</v>
          </cell>
          <cell r="K361" t="str">
            <v>Medium car Unknown miles</v>
          </cell>
          <cell r="L361">
            <v>0.28263000000000005</v>
          </cell>
        </row>
        <row r="362">
          <cell r="J362" t="str">
            <v>Scope 1Passenger vehiclesCars (by size)Medium carPlug-in Hybrid Electric Vehiclekm</v>
          </cell>
          <cell r="K362" t="str">
            <v>Passenger vehicles Medium car Plug-in Hybrid Electric Vehicle km</v>
          </cell>
          <cell r="L362">
            <v>6.9440000000000002E-2</v>
          </cell>
        </row>
        <row r="363">
          <cell r="J363" t="str">
            <v>Scope 1Passenger vehiclesCars (by size)Medium carPlug-in Hybrid Electric Vehiclemiles</v>
          </cell>
          <cell r="K363" t="str">
            <v>Medium car Plug-in Hybrid Electric Vehicle miles</v>
          </cell>
          <cell r="L363">
            <v>0.11175</v>
          </cell>
        </row>
        <row r="364">
          <cell r="J364" t="str">
            <v>Scope 1Passenger vehiclesCars (by size)Medium carBattery Electric Vehiclekm</v>
          </cell>
          <cell r="K364" t="str">
            <v>Passenger vehicles Medium car Battery Electric Vehicle km</v>
          </cell>
          <cell r="L364">
            <v>0</v>
          </cell>
        </row>
        <row r="365">
          <cell r="J365" t="str">
            <v>Scope 1Passenger vehiclesCars (by size)Medium carBattery Electric Vehiclemiles</v>
          </cell>
          <cell r="K365" t="str">
            <v>Medium car Battery Electric Vehicle miles</v>
          </cell>
          <cell r="L365">
            <v>0</v>
          </cell>
        </row>
        <row r="366">
          <cell r="J366" t="str">
            <v>Scope 1Passenger vehiclesCars (by size)Large carDieselkm</v>
          </cell>
          <cell r="K366" t="str">
            <v>Passenger vehicles Large car Diesel km</v>
          </cell>
          <cell r="L366">
            <v>0.20721000000000001</v>
          </cell>
        </row>
        <row r="367">
          <cell r="J367" t="str">
            <v>Scope 1Passenger vehiclesCars (by size)Large carDieselmiles</v>
          </cell>
          <cell r="K367" t="str">
            <v>Large car Diesel miles</v>
          </cell>
          <cell r="L367">
            <v>0.33348</v>
          </cell>
        </row>
        <row r="368">
          <cell r="J368" t="str">
            <v>Scope 1Passenger vehiclesCars (by size)Large carPetrolkm</v>
          </cell>
          <cell r="K368" t="str">
            <v>Passenger vehicles Large car Petrol km</v>
          </cell>
          <cell r="L368">
            <v>0.27909</v>
          </cell>
        </row>
        <row r="369">
          <cell r="J369" t="str">
            <v>Scope 1Passenger vehiclesCars (by size)Large carPetrolmiles</v>
          </cell>
          <cell r="K369" t="str">
            <v>Large car Petrol miles</v>
          </cell>
          <cell r="L369">
            <v>0.44914000000000004</v>
          </cell>
        </row>
        <row r="370">
          <cell r="J370" t="str">
            <v>Scope 1Passenger vehiclesCars (by size)Large carHybridkm</v>
          </cell>
          <cell r="K370" t="str">
            <v>Passenger vehicles Large car Hybrid km</v>
          </cell>
          <cell r="L370">
            <v>0.15151000000000001</v>
          </cell>
        </row>
        <row r="371">
          <cell r="J371" t="str">
            <v>Scope 1Passenger vehiclesCars (by size)Large carHybridmiles</v>
          </cell>
          <cell r="K371" t="str">
            <v>Large car Hybrid miles</v>
          </cell>
          <cell r="L371">
            <v>0.24382000000000001</v>
          </cell>
        </row>
        <row r="372">
          <cell r="J372" t="str">
            <v>Scope 1Passenger vehiclesCars (by size)Large carCNGkm</v>
          </cell>
          <cell r="K372" t="str">
            <v>Passenger vehicles Large car CNG km</v>
          </cell>
          <cell r="L372">
            <v>0.23626</v>
          </cell>
        </row>
        <row r="373">
          <cell r="J373" t="str">
            <v>Scope 1Passenger vehiclesCars (by size)Large carCNGmiles</v>
          </cell>
          <cell r="K373" t="str">
            <v>Large car CNG miles</v>
          </cell>
          <cell r="L373">
            <v>0.38022999999999996</v>
          </cell>
        </row>
        <row r="374">
          <cell r="J374" t="str">
            <v>Scope 1Passenger vehiclesCars (by size)Large carLPGkm</v>
          </cell>
          <cell r="K374" t="str">
            <v>Passenger vehicles Large car LPG km</v>
          </cell>
          <cell r="L374">
            <v>0.26643</v>
          </cell>
        </row>
        <row r="375">
          <cell r="J375" t="str">
            <v>Scope 1Passenger vehiclesCars (by size)Large carLPGmiles</v>
          </cell>
          <cell r="K375" t="str">
            <v>Large car LPG miles</v>
          </cell>
          <cell r="L375">
            <v>0.42876000000000003</v>
          </cell>
        </row>
        <row r="376">
          <cell r="J376" t="str">
            <v>Scope 1Passenger vehiclesCars (by size)Large carUnknownkm</v>
          </cell>
          <cell r="K376" t="str">
            <v>Passenger vehicles Large car Unknown km</v>
          </cell>
          <cell r="L376">
            <v>0.22597</v>
          </cell>
        </row>
        <row r="377">
          <cell r="J377" t="str">
            <v>Scope 1Passenger vehiclesCars (by size)Large carUnknownmiles</v>
          </cell>
          <cell r="K377" t="str">
            <v>Large car Unknown miles</v>
          </cell>
          <cell r="L377">
            <v>0.36365999999999998</v>
          </cell>
        </row>
        <row r="378">
          <cell r="J378" t="str">
            <v>Scope 1Passenger vehiclesCars (by size)Large carPlug-in Hybrid Electric Vehiclekm</v>
          </cell>
          <cell r="K378" t="str">
            <v>Passenger vehicles Large car Plug-in Hybrid Electric Vehicle km</v>
          </cell>
          <cell r="L378">
            <v>7.6740000000000003E-2</v>
          </cell>
        </row>
        <row r="379">
          <cell r="J379" t="str">
            <v>Scope 1Passenger vehiclesCars (by size)Large carPlug-in Hybrid Electric Vehiclemiles</v>
          </cell>
          <cell r="K379" t="str">
            <v>Large car Plug-in Hybrid Electric Vehicle miles</v>
          </cell>
          <cell r="L379">
            <v>0.1235</v>
          </cell>
        </row>
        <row r="380">
          <cell r="J380" t="str">
            <v>Scope 1Passenger vehiclesCars (by size)Large carBattery Electric Vehiclekm</v>
          </cell>
          <cell r="K380" t="str">
            <v>Passenger vehicles Large car Battery Electric Vehicle km</v>
          </cell>
          <cell r="L380">
            <v>0</v>
          </cell>
        </row>
        <row r="381">
          <cell r="J381" t="str">
            <v>Scope 1Passenger vehiclesCars (by size)Large carBattery Electric Vehiclemiles</v>
          </cell>
          <cell r="K381" t="str">
            <v>Large car Battery Electric Vehicle miles</v>
          </cell>
          <cell r="L381">
            <v>0</v>
          </cell>
        </row>
        <row r="382">
          <cell r="J382" t="str">
            <v>Scope 1Passenger vehiclesCars (by size)Average carDieselkm</v>
          </cell>
          <cell r="K382" t="str">
            <v>Passenger vehicles Average car Diesel km</v>
          </cell>
          <cell r="L382">
            <v>0.16843</v>
          </cell>
        </row>
        <row r="383">
          <cell r="J383" t="str">
            <v>Scope 1Passenger vehiclesCars (by size)Average carDieselmiles</v>
          </cell>
          <cell r="K383" t="str">
            <v>Average car Diesel miles</v>
          </cell>
          <cell r="L383">
            <v>0.27107999999999999</v>
          </cell>
        </row>
        <row r="384">
          <cell r="J384" t="str">
            <v>Scope 1Passenger vehiclesCars (by size)Average carPetrolkm</v>
          </cell>
          <cell r="K384" t="str">
            <v>Passenger vehicles Average car Petrol km</v>
          </cell>
          <cell r="L384">
            <v>0.17430999999999999</v>
          </cell>
        </row>
        <row r="385">
          <cell r="J385" t="str">
            <v>Scope 1Passenger vehiclesCars (by size)Average carPetrolmiles</v>
          </cell>
          <cell r="K385" t="str">
            <v>Average car Petrol miles</v>
          </cell>
          <cell r="L385">
            <v>0.28053000000000006</v>
          </cell>
        </row>
        <row r="386">
          <cell r="J386" t="str">
            <v>Scope 1Passenger vehiclesCars (by size)Average carHybridkm</v>
          </cell>
          <cell r="K386" t="str">
            <v>Passenger vehicles Average car Hybrid km</v>
          </cell>
          <cell r="L386">
            <v>0.11952</v>
          </cell>
        </row>
        <row r="387">
          <cell r="J387" t="str">
            <v>Scope 1Passenger vehiclesCars (by size)Average carHybridmiles</v>
          </cell>
          <cell r="K387" t="str">
            <v>Average car Hybrid miles</v>
          </cell>
          <cell r="L387">
            <v>0.19234000000000001</v>
          </cell>
        </row>
        <row r="388">
          <cell r="J388" t="str">
            <v>Scope 1Passenger vehiclesCars (by size)Average carCNGkm</v>
          </cell>
          <cell r="K388" t="str">
            <v>Passenger vehicles Average car CNG km</v>
          </cell>
          <cell r="L388">
            <v>0.17624000000000001</v>
          </cell>
        </row>
        <row r="389">
          <cell r="J389" t="str">
            <v>Scope 1Passenger vehiclesCars (by size)Average carCNGmiles</v>
          </cell>
          <cell r="K389" t="str">
            <v>Average car CNG miles</v>
          </cell>
          <cell r="L389">
            <v>0.28361999999999998</v>
          </cell>
        </row>
        <row r="390">
          <cell r="J390" t="str">
            <v>Scope 1Passenger vehiclesCars (by size)Average carLPGkm</v>
          </cell>
          <cell r="K390" t="str">
            <v>Passenger vehicles Average car LPG km</v>
          </cell>
          <cell r="L390">
            <v>0.19828000000000001</v>
          </cell>
        </row>
        <row r="391">
          <cell r="J391" t="str">
            <v>Scope 1Passenger vehiclesCars (by size)Average carLPGmiles</v>
          </cell>
          <cell r="K391" t="str">
            <v>Average car LPG miles</v>
          </cell>
          <cell r="L391">
            <v>0.31908999999999998</v>
          </cell>
        </row>
        <row r="392">
          <cell r="J392" t="str">
            <v>Scope 1Passenger vehiclesCars (by size)Average carUnknownkm</v>
          </cell>
          <cell r="K392" t="str">
            <v>Passenger vehicles Average car Unknown km</v>
          </cell>
          <cell r="L392">
            <v>0.17147999999999999</v>
          </cell>
        </row>
        <row r="393">
          <cell r="J393" t="str">
            <v>Scope 1Passenger vehiclesCars (by size)Average carUnknownmiles</v>
          </cell>
          <cell r="K393" t="str">
            <v>Average car Unknown miles</v>
          </cell>
          <cell r="L393">
            <v>0.27595999999999998</v>
          </cell>
        </row>
        <row r="394">
          <cell r="J394" t="str">
            <v>Scope 1Passenger vehiclesCars (by size)Average carPlug-in Hybrid Electric Vehiclekm</v>
          </cell>
          <cell r="K394" t="str">
            <v>Passenger vehicles Average car Plug-in Hybrid Electric Vehicle km</v>
          </cell>
          <cell r="L394">
            <v>7.0999999999999994E-2</v>
          </cell>
        </row>
        <row r="395">
          <cell r="J395" t="str">
            <v>Scope 1Passenger vehiclesCars (by size)Average carPlug-in Hybrid Electric Vehiclemiles</v>
          </cell>
          <cell r="K395" t="str">
            <v>Average car Plug-in Hybrid Electric Vehicle miles</v>
          </cell>
          <cell r="L395">
            <v>0.11426</v>
          </cell>
        </row>
        <row r="396">
          <cell r="J396" t="str">
            <v>Scope 1Passenger vehiclesCars (by size)Average carBattery Electric Vehiclekm</v>
          </cell>
          <cell r="K396" t="str">
            <v>Passenger vehicles Average car Battery Electric Vehicle km</v>
          </cell>
          <cell r="L396">
            <v>0</v>
          </cell>
        </row>
        <row r="397">
          <cell r="J397" t="str">
            <v>Scope 1Passenger vehiclesCars (by size)Average carBattery Electric Vehiclemiles</v>
          </cell>
          <cell r="K397" t="str">
            <v>Average car Battery Electric Vehicle miles</v>
          </cell>
          <cell r="L397">
            <v>0</v>
          </cell>
        </row>
        <row r="398">
          <cell r="J398" t="str">
            <v>Scope 1Passenger vehiclesMotorbikeSmallkm</v>
          </cell>
          <cell r="K398" t="str">
            <v>Passenger vehicles Small  km</v>
          </cell>
          <cell r="L398">
            <v>8.3060000000000009E-2</v>
          </cell>
        </row>
        <row r="399">
          <cell r="J399" t="str">
            <v>Scope 1Passenger vehiclesMotorbikeSmallmiles</v>
          </cell>
          <cell r="K399" t="str">
            <v>Small  miles</v>
          </cell>
          <cell r="L399">
            <v>0.13369</v>
          </cell>
        </row>
        <row r="400">
          <cell r="J400" t="str">
            <v>Scope 1Passenger vehiclesMotorbikeMediumkm</v>
          </cell>
          <cell r="K400" t="str">
            <v>Passenger vehicles Medium  km</v>
          </cell>
          <cell r="L400">
            <v>0.1009</v>
          </cell>
        </row>
        <row r="401">
          <cell r="J401" t="str">
            <v>Scope 1Passenger vehiclesMotorbikeMediummiles</v>
          </cell>
          <cell r="K401" t="str">
            <v>Medium  miles</v>
          </cell>
          <cell r="L401">
            <v>0.16236999999999999</v>
          </cell>
        </row>
        <row r="402">
          <cell r="J402" t="str">
            <v>Scope 1Passenger vehiclesMotorbikeLargekm</v>
          </cell>
          <cell r="K402" t="str">
            <v>Passenger vehicles Large  km</v>
          </cell>
          <cell r="L402">
            <v>0.13244999999999998</v>
          </cell>
        </row>
        <row r="403">
          <cell r="J403" t="str">
            <v>Scope 1Passenger vehiclesMotorbikeLargemiles</v>
          </cell>
          <cell r="K403" t="str">
            <v>Large  miles</v>
          </cell>
          <cell r="L403">
            <v>0.21314999999999998</v>
          </cell>
        </row>
        <row r="404">
          <cell r="J404" t="str">
            <v>Scope 1Passenger vehiclesMotorbikeAveragekm</v>
          </cell>
          <cell r="K404" t="str">
            <v>Passenger vehicles Average  km</v>
          </cell>
          <cell r="L404">
            <v>0.11355</v>
          </cell>
        </row>
        <row r="405">
          <cell r="J405" t="str">
            <v>Scope 1Passenger vehiclesMotorbikeAveragemiles</v>
          </cell>
          <cell r="K405" t="str">
            <v>Average  miles</v>
          </cell>
          <cell r="L405">
            <v>0.18273999999999999</v>
          </cell>
        </row>
        <row r="406">
          <cell r="J406" t="str">
            <v>Scope 1Delivery vehiclesVansClass I (up to 1.305 tonnes)Dieselkm</v>
          </cell>
          <cell r="K406" t="str">
            <v>Delivery vehicles Class I (up to 1.305 tonnes) Diesel km</v>
          </cell>
          <cell r="L406">
            <v>0.1467</v>
          </cell>
        </row>
        <row r="407">
          <cell r="J407" t="str">
            <v>Scope 1Delivery vehiclesVansClass I (up to 1.305 tonnes)Dieselmiles</v>
          </cell>
          <cell r="K407" t="str">
            <v>Class I (up to 1.305 tonnes) Diesel miles</v>
          </cell>
          <cell r="L407">
            <v>0.23608000000000001</v>
          </cell>
        </row>
        <row r="408">
          <cell r="J408" t="str">
            <v>Scope 1Delivery vehiclesVansClass I (up to 1.305 tonnes)Petrolkm</v>
          </cell>
          <cell r="K408" t="str">
            <v>Delivery vehicles Class I (up to 1.305 tonnes) Petrol km</v>
          </cell>
          <cell r="L408">
            <v>0.19986999999999999</v>
          </cell>
        </row>
        <row r="409">
          <cell r="J409" t="str">
            <v>Scope 1Delivery vehiclesVansClass I (up to 1.305 tonnes)Petrolmiles</v>
          </cell>
          <cell r="K409" t="str">
            <v>Class I (up to 1.305 tonnes) Petrol miles</v>
          </cell>
          <cell r="L409">
            <v>0.32164999999999999</v>
          </cell>
        </row>
        <row r="410">
          <cell r="J410" t="str">
            <v>Scope 1Delivery vehiclesVansClass I (up to 1.305 tonnes)CNGkm</v>
          </cell>
          <cell r="K410" t="str">
            <v>Delivery vehicles Class I (up to 1.305 tonnes) CNG km</v>
          </cell>
        </row>
        <row r="411">
          <cell r="J411" t="str">
            <v>Scope 1Delivery vehiclesVansClass I (up to 1.305 tonnes)CNGmiles</v>
          </cell>
          <cell r="K411" t="str">
            <v>Class I (up to 1.305 tonnes) CNG miles</v>
          </cell>
        </row>
        <row r="412">
          <cell r="J412" t="str">
            <v>Scope 1Delivery vehiclesVansClass I (up to 1.305 tonnes)LPGkm</v>
          </cell>
          <cell r="K412" t="str">
            <v>Delivery vehicles Class I (up to 1.305 tonnes) LPG km</v>
          </cell>
        </row>
        <row r="413">
          <cell r="J413" t="str">
            <v>Scope 1Delivery vehiclesVansClass I (up to 1.305 tonnes)LPGmiles</v>
          </cell>
          <cell r="K413" t="str">
            <v>Class I (up to 1.305 tonnes) LPG miles</v>
          </cell>
        </row>
        <row r="414">
          <cell r="J414" t="str">
            <v>Scope 1Delivery vehiclesVansClass I (up to 1.305 tonnes)Unknownkm</v>
          </cell>
          <cell r="K414" t="str">
            <v>Delivery vehicles Class I (up to 1.305 tonnes) Unknown km</v>
          </cell>
        </row>
        <row r="415">
          <cell r="J415" t="str">
            <v>Scope 1Delivery vehiclesVansClass I (up to 1.305 tonnes)Unknownmiles</v>
          </cell>
          <cell r="K415" t="str">
            <v>Class I (up to 1.305 tonnes) Unknown miles</v>
          </cell>
        </row>
        <row r="416">
          <cell r="J416" t="str">
            <v>Scope 1Delivery vehiclesVansClass I (up to 1.305 tonnes)Plug-in Hybrid Electric Vehiclekm</v>
          </cell>
          <cell r="K416" t="str">
            <v>Delivery vehicles Class I (up to 1.305 tonnes) Plug-in Hybrid Electric Vehicle km</v>
          </cell>
          <cell r="L416" t="str">
            <v/>
          </cell>
        </row>
        <row r="417">
          <cell r="J417" t="str">
            <v>Scope 1Delivery vehiclesVansClass I (up to 1.305 tonnes)Plug-in Hybrid Electric Vehiclemiles</v>
          </cell>
          <cell r="K417" t="str">
            <v>Class I (up to 1.305 tonnes) Plug-in Hybrid Electric Vehicle miles</v>
          </cell>
          <cell r="L417" t="str">
            <v/>
          </cell>
        </row>
        <row r="418">
          <cell r="J418" t="str">
            <v>Scope 1Delivery vehiclesVansClass I (up to 1.305 tonnes)Battery Electric Vehiclekm</v>
          </cell>
          <cell r="K418" t="str">
            <v>Delivery vehicles Class I (up to 1.305 tonnes) Battery Electric Vehicle km</v>
          </cell>
          <cell r="L418">
            <v>0</v>
          </cell>
        </row>
        <row r="419">
          <cell r="J419" t="str">
            <v>Scope 1Delivery vehiclesVansClass I (up to 1.305 tonnes)Battery Electric Vehiclemiles</v>
          </cell>
          <cell r="K419" t="str">
            <v>Class I (up to 1.305 tonnes) Battery Electric Vehicle miles</v>
          </cell>
          <cell r="L419">
            <v>0</v>
          </cell>
        </row>
        <row r="420">
          <cell r="J420" t="str">
            <v>Scope 1Delivery vehiclesVansClass II (1.305 to 1.74 tonnes)Dieselkm</v>
          </cell>
          <cell r="K420" t="str">
            <v>Delivery vehicles Class II (1.305 to 1.74 tonnes) Diesel km</v>
          </cell>
          <cell r="L420">
            <v>0.18315000000000001</v>
          </cell>
        </row>
        <row r="421">
          <cell r="J421" t="str">
            <v>Scope 1Delivery vehiclesVansClass II (1.305 to 1.74 tonnes)Dieselmiles</v>
          </cell>
          <cell r="K421" t="str">
            <v>Class II (1.305 to 1.74 tonnes) Diesel miles</v>
          </cell>
          <cell r="L421">
            <v>0.29476000000000002</v>
          </cell>
        </row>
        <row r="422">
          <cell r="J422" t="str">
            <v>Scope 1Delivery vehiclesVansClass II (1.305 to 1.74 tonnes)Petrolkm</v>
          </cell>
          <cell r="K422" t="str">
            <v>Delivery vehicles Class II (1.305 to 1.74 tonnes) Petrol km</v>
          </cell>
          <cell r="L422">
            <v>0.19821</v>
          </cell>
        </row>
        <row r="423">
          <cell r="J423" t="str">
            <v>Scope 1Delivery vehiclesVansClass II (1.305 to 1.74 tonnes)Petrolmiles</v>
          </cell>
          <cell r="K423" t="str">
            <v>Class II (1.305 to 1.74 tonnes) Petrol miles</v>
          </cell>
          <cell r="L423">
            <v>0.31897999999999999</v>
          </cell>
        </row>
        <row r="424">
          <cell r="J424" t="str">
            <v>Scope 1Delivery vehiclesVansClass II (1.305 to 1.74 tonnes)CNGkm</v>
          </cell>
          <cell r="K424" t="str">
            <v>Delivery vehicles Class II (1.305 to 1.74 tonnes) CNG km</v>
          </cell>
        </row>
        <row r="425">
          <cell r="J425" t="str">
            <v>Scope 1Delivery vehiclesVansClass II (1.305 to 1.74 tonnes)CNGmiles</v>
          </cell>
          <cell r="K425" t="str">
            <v>Class II (1.305 to 1.74 tonnes) CNG miles</v>
          </cell>
        </row>
        <row r="426">
          <cell r="J426" t="str">
            <v>Scope 1Delivery vehiclesVansClass II (1.305 to 1.74 tonnes)LPGkm</v>
          </cell>
          <cell r="K426" t="str">
            <v>Delivery vehicles Class II (1.305 to 1.74 tonnes) LPG km</v>
          </cell>
        </row>
        <row r="427">
          <cell r="J427" t="str">
            <v>Scope 1Delivery vehiclesVansClass II (1.305 to 1.74 tonnes)LPGmiles</v>
          </cell>
          <cell r="K427" t="str">
            <v>Class II (1.305 to 1.74 tonnes) LPG miles</v>
          </cell>
        </row>
        <row r="428">
          <cell r="J428" t="str">
            <v>Scope 1Delivery vehiclesVansClass II (1.305 to 1.74 tonnes)Unknownkm</v>
          </cell>
          <cell r="K428" t="str">
            <v>Delivery vehicles Class II (1.305 to 1.74 tonnes) Unknown km</v>
          </cell>
        </row>
        <row r="429">
          <cell r="J429" t="str">
            <v>Scope 1Delivery vehiclesVansClass II (1.305 to 1.74 tonnes)Unknownmiles</v>
          </cell>
          <cell r="K429" t="str">
            <v>Class II (1.305 to 1.74 tonnes) Unknown miles</v>
          </cell>
        </row>
        <row r="430">
          <cell r="J430" t="str">
            <v>Scope 1Delivery vehiclesVansClass II (1.305 to 1.74 tonnes)Plug-in Hybrid Electric Vehiclekm</v>
          </cell>
          <cell r="K430" t="str">
            <v>Delivery vehicles Class II (1.305 to 1.74 tonnes) Plug-in Hybrid Electric Vehicle km</v>
          </cell>
          <cell r="L430" t="str">
            <v/>
          </cell>
        </row>
        <row r="431">
          <cell r="J431" t="str">
            <v>Scope 1Delivery vehiclesVansClass II (1.305 to 1.74 tonnes)Plug-in Hybrid Electric Vehiclemiles</v>
          </cell>
          <cell r="K431" t="str">
            <v>Class II (1.305 to 1.74 tonnes) Plug-in Hybrid Electric Vehicle miles</v>
          </cell>
          <cell r="L431" t="str">
            <v/>
          </cell>
        </row>
        <row r="432">
          <cell r="J432" t="str">
            <v>Scope 1Delivery vehiclesVansClass II (1.305 to 1.74 tonnes)Battery Electric Vehiclekm</v>
          </cell>
          <cell r="K432" t="str">
            <v>Delivery vehicles Class II (1.305 to 1.74 tonnes) Battery Electric Vehicle km</v>
          </cell>
          <cell r="L432">
            <v>0</v>
          </cell>
        </row>
        <row r="433">
          <cell r="J433" t="str">
            <v>Scope 1Delivery vehiclesVansClass II (1.305 to 1.74 tonnes)Battery Electric Vehiclemiles</v>
          </cell>
          <cell r="K433" t="str">
            <v>Class II (1.305 to 1.74 tonnes) Battery Electric Vehicle miles</v>
          </cell>
          <cell r="L433">
            <v>0</v>
          </cell>
        </row>
        <row r="434">
          <cell r="J434" t="str">
            <v>Scope 1Delivery vehiclesVansClass III (1.74 to 3.5 tonnes)Dieselkm</v>
          </cell>
          <cell r="K434" t="str">
            <v>Delivery vehicles Class III (1.74 to 3.5 tonnes) Diesel km</v>
          </cell>
          <cell r="L434">
            <v>0.26529000000000003</v>
          </cell>
        </row>
        <row r="435">
          <cell r="J435" t="str">
            <v>Scope 1Delivery vehiclesVansClass III (1.74 to 3.5 tonnes)Dieselmiles</v>
          </cell>
          <cell r="K435" t="str">
            <v>Class III (1.74 to 3.5 tonnes) Diesel miles</v>
          </cell>
          <cell r="L435">
            <v>0.42695</v>
          </cell>
        </row>
        <row r="436">
          <cell r="J436" t="str">
            <v>Scope 1Delivery vehiclesVansClass III (1.74 to 3.5 tonnes)Petrolkm</v>
          </cell>
          <cell r="K436" t="str">
            <v>Delivery vehicles Class III (1.74 to 3.5 tonnes) Petrol km</v>
          </cell>
          <cell r="L436">
            <v>0.31306</v>
          </cell>
        </row>
        <row r="437">
          <cell r="J437" t="str">
            <v>Scope 1Delivery vehiclesVansClass III (1.74 to 3.5 tonnes)Petrolmiles</v>
          </cell>
          <cell r="K437" t="str">
            <v>Class III (1.74 to 3.5 tonnes) Petrol miles</v>
          </cell>
          <cell r="L437">
            <v>0.50383</v>
          </cell>
        </row>
        <row r="438">
          <cell r="J438" t="str">
            <v>Scope 1Delivery vehiclesVansClass III (1.74 to 3.5 tonnes)CNGkm</v>
          </cell>
          <cell r="K438" t="str">
            <v>Delivery vehicles Class III (1.74 to 3.5 tonnes) CNG km</v>
          </cell>
        </row>
        <row r="439">
          <cell r="J439" t="str">
            <v>Scope 1Delivery vehiclesVansClass III (1.74 to 3.5 tonnes)CNGmiles</v>
          </cell>
          <cell r="K439" t="str">
            <v>Class III (1.74 to 3.5 tonnes) CNG miles</v>
          </cell>
        </row>
        <row r="440">
          <cell r="J440" t="str">
            <v>Scope 1Delivery vehiclesVansClass III (1.74 to 3.5 tonnes)LPGkm</v>
          </cell>
          <cell r="K440" t="str">
            <v>Delivery vehicles Class III (1.74 to 3.5 tonnes) LPG km</v>
          </cell>
        </row>
        <row r="441">
          <cell r="J441" t="str">
            <v>Scope 1Delivery vehiclesVansClass III (1.74 to 3.5 tonnes)LPGmiles</v>
          </cell>
          <cell r="K441" t="str">
            <v>Class III (1.74 to 3.5 tonnes) LPG miles</v>
          </cell>
        </row>
        <row r="442">
          <cell r="J442" t="str">
            <v>Scope 1Delivery vehiclesVansClass III (1.74 to 3.5 tonnes)Unknownkm</v>
          </cell>
          <cell r="K442" t="str">
            <v>Delivery vehicles Class III (1.74 to 3.5 tonnes) Unknown km</v>
          </cell>
        </row>
        <row r="443">
          <cell r="J443" t="str">
            <v>Scope 1Delivery vehiclesVansClass III (1.74 to 3.5 tonnes)Unknownmiles</v>
          </cell>
          <cell r="K443" t="str">
            <v>Class III (1.74 to 3.5 tonnes) Unknown miles</v>
          </cell>
        </row>
        <row r="444">
          <cell r="J444" t="str">
            <v>Scope 1Delivery vehiclesVansClass III (1.74 to 3.5 tonnes)Plug-in Hybrid Electric Vehiclekm</v>
          </cell>
          <cell r="K444" t="str">
            <v>Delivery vehicles Class III (1.74 to 3.5 tonnes) Plug-in Hybrid Electric Vehicle km</v>
          </cell>
          <cell r="L444" t="str">
            <v/>
          </cell>
        </row>
        <row r="445">
          <cell r="J445" t="str">
            <v>Scope 1Delivery vehiclesVansClass III (1.74 to 3.5 tonnes)Plug-in Hybrid Electric Vehiclemiles</v>
          </cell>
          <cell r="K445" t="str">
            <v>Class III (1.74 to 3.5 tonnes) Plug-in Hybrid Electric Vehicle miles</v>
          </cell>
          <cell r="L445" t="str">
            <v/>
          </cell>
        </row>
        <row r="446">
          <cell r="J446" t="str">
            <v>Scope 1Delivery vehiclesVansClass III (1.74 to 3.5 tonnes)Battery Electric Vehiclekm</v>
          </cell>
          <cell r="K446" t="str">
            <v>Delivery vehicles Class III (1.74 to 3.5 tonnes) Battery Electric Vehicle km</v>
          </cell>
          <cell r="L446">
            <v>0</v>
          </cell>
        </row>
        <row r="447">
          <cell r="J447" t="str">
            <v>Scope 1Delivery vehiclesVansClass III (1.74 to 3.5 tonnes)Battery Electric Vehiclemiles</v>
          </cell>
          <cell r="K447" t="str">
            <v>Class III (1.74 to 3.5 tonnes) Battery Electric Vehicle miles</v>
          </cell>
          <cell r="L447">
            <v>0</v>
          </cell>
        </row>
        <row r="448">
          <cell r="J448" t="str">
            <v>Scope 1Delivery vehiclesVansAverage (up to 3.5 tonnes)Dieselkm</v>
          </cell>
          <cell r="K448" t="str">
            <v>Delivery vehicles Average (up to 3.5 tonnes) Diesel km</v>
          </cell>
          <cell r="L448">
            <v>0.24116000000000001</v>
          </cell>
        </row>
        <row r="449">
          <cell r="J449" t="str">
            <v>Scope 1Delivery vehiclesVansAverage (up to 3.5 tonnes)Dieselmiles</v>
          </cell>
          <cell r="K449" t="str">
            <v>Average (up to 3.5 tonnes) Diesel miles</v>
          </cell>
          <cell r="L449">
            <v>0.38811000000000001</v>
          </cell>
        </row>
        <row r="450">
          <cell r="J450" t="str">
            <v>Scope 1Delivery vehiclesVansAverage (up to 3.5 tonnes)Petrolkm</v>
          </cell>
          <cell r="K450" t="str">
            <v>Delivery vehicles Average (up to 3.5 tonnes) Petrol km</v>
          </cell>
          <cell r="L450">
            <v>0.21046999999999999</v>
          </cell>
        </row>
        <row r="451">
          <cell r="J451" t="str">
            <v>Scope 1Delivery vehiclesVansAverage (up to 3.5 tonnes)Petrolmiles</v>
          </cell>
          <cell r="K451" t="str">
            <v>Average (up to 3.5 tonnes) Petrol miles</v>
          </cell>
          <cell r="L451">
            <v>0.33872999999999998</v>
          </cell>
        </row>
        <row r="452">
          <cell r="J452" t="str">
            <v>Scope 1Delivery vehiclesVansAverage (up to 3.5 tonnes)CNGkm</v>
          </cell>
          <cell r="K452" t="str">
            <v>Delivery vehicles Average (up to 3.5 tonnes) CNG km</v>
          </cell>
          <cell r="L452">
            <v>0.24548</v>
          </cell>
        </row>
        <row r="453">
          <cell r="J453" t="str">
            <v>Scope 1Delivery vehiclesVansAverage (up to 3.5 tonnes)CNGmiles</v>
          </cell>
          <cell r="K453" t="str">
            <v>Average (up to 3.5 tonnes) CNG miles</v>
          </cell>
          <cell r="L453">
            <v>0.39506000000000002</v>
          </cell>
        </row>
        <row r="454">
          <cell r="J454" t="str">
            <v>Scope 1Delivery vehiclesVansAverage (up to 3.5 tonnes)LPGkm</v>
          </cell>
          <cell r="K454" t="str">
            <v>Delivery vehicles Average (up to 3.5 tonnes) LPG km</v>
          </cell>
          <cell r="L454">
            <v>0.27</v>
          </cell>
        </row>
        <row r="455">
          <cell r="J455" t="str">
            <v>Scope 1Delivery vehiclesVansAverage (up to 3.5 tonnes)LPGmiles</v>
          </cell>
          <cell r="K455" t="str">
            <v>Average (up to 3.5 tonnes) LPG miles</v>
          </cell>
          <cell r="L455">
            <v>0.43452000000000002</v>
          </cell>
        </row>
        <row r="456">
          <cell r="J456" t="str">
            <v>Scope 1Delivery vehiclesVansAverage (up to 3.5 tonnes)Unknownkm</v>
          </cell>
          <cell r="K456" t="str">
            <v>Delivery vehicles Average (up to 3.5 tonnes) Unknown km</v>
          </cell>
          <cell r="L456">
            <v>0.24016999999999999</v>
          </cell>
        </row>
        <row r="457">
          <cell r="J457" t="str">
            <v>Scope 1Delivery vehiclesVansAverage (up to 3.5 tonnes)Unknownmiles</v>
          </cell>
          <cell r="K457" t="str">
            <v>Average (up to 3.5 tonnes) Unknown miles</v>
          </cell>
          <cell r="L457">
            <v>0.38651999999999997</v>
          </cell>
        </row>
        <row r="458">
          <cell r="J458" t="str">
            <v>Scope 1Delivery vehiclesVansAverage (up to 3.5 tonnes)Plug-in Hybrid Electric Vehiclekm</v>
          </cell>
          <cell r="K458" t="str">
            <v>Delivery vehicles Average (up to 3.5 tonnes) Plug-in Hybrid Electric Vehicle km</v>
          </cell>
          <cell r="L458" t="str">
            <v/>
          </cell>
        </row>
        <row r="459">
          <cell r="J459" t="str">
            <v>Scope 1Delivery vehiclesVansAverage (up to 3.5 tonnes)Plug-in Hybrid Electric Vehiclemiles</v>
          </cell>
          <cell r="K459" t="str">
            <v>Average (up to 3.5 tonnes) Plug-in Hybrid Electric Vehicle miles</v>
          </cell>
          <cell r="L459" t="str">
            <v/>
          </cell>
        </row>
        <row r="460">
          <cell r="J460" t="str">
            <v>Scope 1Delivery vehiclesVansAverage (up to 3.5 tonnes)Battery Electric Vehiclekm</v>
          </cell>
          <cell r="K460" t="str">
            <v>Delivery vehicles Average (up to 3.5 tonnes) Battery Electric Vehicle km</v>
          </cell>
          <cell r="L460">
            <v>0</v>
          </cell>
        </row>
        <row r="461">
          <cell r="J461" t="str">
            <v>Scope 1Delivery vehiclesVansAverage (up to 3.5 tonnes)Battery Electric Vehiclemiles</v>
          </cell>
          <cell r="K461" t="str">
            <v>Average (up to 3.5 tonnes) Battery Electric Vehicle miles</v>
          </cell>
          <cell r="L461">
            <v>0</v>
          </cell>
        </row>
        <row r="462">
          <cell r="J462" t="str">
            <v>Scope 1Delivery vehiclesHGV (all diesel)Rigid (&gt;3.5 - 7.5 tonnes)0% Ladenkm</v>
          </cell>
          <cell r="K462" t="str">
            <v>Delivery vehicles Rigid (&gt;3.5 - 7.5 tonnes) 0% Laden km</v>
          </cell>
          <cell r="L462">
            <v>0.44542999999999999</v>
          </cell>
        </row>
        <row r="463">
          <cell r="J463" t="str">
            <v>Scope 1Delivery vehiclesHGV (all diesel)Rigid (&gt;3.5 - 7.5 tonnes)0% Ladenmiles</v>
          </cell>
          <cell r="K463" t="str">
            <v>Rigid (&gt;3.5 - 7.5 tonnes) 0% Laden miles</v>
          </cell>
          <cell r="L463">
            <v>0.71686000000000005</v>
          </cell>
        </row>
        <row r="464">
          <cell r="J464" t="str">
            <v>Scope 1Delivery vehiclesHGV (all diesel)Rigid (&gt;3.5 - 7.5 tonnes)50% Ladenkm</v>
          </cell>
          <cell r="K464" t="str">
            <v>Delivery vehicles Rigid (&gt;3.5 - 7.5 tonnes) 50% Laden km</v>
          </cell>
          <cell r="L464">
            <v>0.48364000000000001</v>
          </cell>
        </row>
        <row r="465">
          <cell r="J465" t="str">
            <v>Scope 1Delivery vehiclesHGV (all diesel)Rigid (&gt;3.5 - 7.5 tonnes)50% Ladenmiles</v>
          </cell>
          <cell r="K465" t="str">
            <v>Rigid (&gt;3.5 - 7.5 tonnes) 50% Laden miles</v>
          </cell>
          <cell r="L465">
            <v>0.77834000000000003</v>
          </cell>
        </row>
        <row r="466">
          <cell r="J466" t="str">
            <v>Scope 1Delivery vehiclesHGV (all diesel)Rigid (&gt;3.5 - 7.5 tonnes)100% Ladenkm</v>
          </cell>
          <cell r="K466" t="str">
            <v>Delivery vehicles Rigid (&gt;3.5 - 7.5 tonnes) 100% Laden km</v>
          </cell>
          <cell r="L466">
            <v>0.52183999999999997</v>
          </cell>
        </row>
        <row r="467">
          <cell r="J467" t="str">
            <v>Scope 1Delivery vehiclesHGV (all diesel)Rigid (&gt;3.5 - 7.5 tonnes)100% Ladenmiles</v>
          </cell>
          <cell r="K467" t="str">
            <v>Rigid (&gt;3.5 - 7.5 tonnes) 100% Laden miles</v>
          </cell>
          <cell r="L467">
            <v>0.83982999999999997</v>
          </cell>
        </row>
        <row r="468">
          <cell r="J468" t="str">
            <v>Scope 1Delivery vehiclesHGV (all diesel)Rigid (&gt;3.5 - 7.5 tonnes)Average ladenkm</v>
          </cell>
          <cell r="K468" t="str">
            <v>Delivery vehicles Rigid (&gt;3.5 - 7.5 tonnes) Average laden km</v>
          </cell>
          <cell r="L468">
            <v>0.48058000000000001</v>
          </cell>
        </row>
        <row r="469">
          <cell r="J469" t="str">
            <v>Scope 1Delivery vehiclesHGV (all diesel)Rigid (&gt;3.5 - 7.5 tonnes)Average ladenmiles</v>
          </cell>
          <cell r="K469" t="str">
            <v>Rigid (&gt;3.5 - 7.5 tonnes) Average laden miles</v>
          </cell>
          <cell r="L469">
            <v>0.77342</v>
          </cell>
        </row>
        <row r="470">
          <cell r="J470" t="str">
            <v>Scope 1Delivery vehiclesHGV (all diesel)Rigid (&gt;7.5 tonnes-17 tonnes)0% Ladenkm</v>
          </cell>
          <cell r="K470" t="str">
            <v>Delivery vehicles Rigid (&gt;7.5 tonnes-17 tonnes) 0% Laden km</v>
          </cell>
          <cell r="L470">
            <v>0.53561000000000003</v>
          </cell>
        </row>
        <row r="471">
          <cell r="J471" t="str">
            <v>Scope 1Delivery vehiclesHGV (all diesel)Rigid (&gt;7.5 tonnes-17 tonnes)0% Ladenmiles</v>
          </cell>
          <cell r="K471" t="str">
            <v>Rigid (&gt;7.5 tonnes-17 tonnes) 0% Laden miles</v>
          </cell>
          <cell r="L471">
            <v>0.86197999999999997</v>
          </cell>
        </row>
        <row r="472">
          <cell r="J472" t="str">
            <v>Scope 1Delivery vehiclesHGV (all diesel)Rigid (&gt;7.5 tonnes-17 tonnes)50% Ladenkm</v>
          </cell>
          <cell r="K472" t="str">
            <v>Delivery vehicles Rigid (&gt;7.5 tonnes-17 tonnes) 50% Laden km</v>
          </cell>
          <cell r="L472">
            <v>0.61107</v>
          </cell>
        </row>
        <row r="473">
          <cell r="J473" t="str">
            <v>Scope 1Delivery vehiclesHGV (all diesel)Rigid (&gt;7.5 tonnes-17 tonnes)50% Ladenmiles</v>
          </cell>
          <cell r="K473" t="str">
            <v>Rigid (&gt;7.5 tonnes-17 tonnes) 50% Laden miles</v>
          </cell>
          <cell r="L473">
            <v>0.98341999999999996</v>
          </cell>
        </row>
        <row r="474">
          <cell r="J474" t="str">
            <v>Scope 1Delivery vehiclesHGV (all diesel)Rigid (&gt;7.5 tonnes-17 tonnes)100% Ladenkm</v>
          </cell>
          <cell r="K474" t="str">
            <v>Delivery vehicles Rigid (&gt;7.5 tonnes-17 tonnes) 100% Laden km</v>
          </cell>
          <cell r="L474">
            <v>0.68652999999999997</v>
          </cell>
        </row>
        <row r="475">
          <cell r="J475" t="str">
            <v>Scope 1Delivery vehiclesHGV (all diesel)Rigid (&gt;7.5 tonnes-17 tonnes)100% Ladenmiles</v>
          </cell>
          <cell r="K475" t="str">
            <v>Rigid (&gt;7.5 tonnes-17 tonnes) 100% Laden miles</v>
          </cell>
          <cell r="L475">
            <v>1.10486</v>
          </cell>
        </row>
        <row r="476">
          <cell r="J476" t="str">
            <v>Scope 1Delivery vehiclesHGV (all diesel)Rigid (&gt;7.5 tonnes-17 tonnes)Average ladenkm</v>
          </cell>
          <cell r="K476" t="str">
            <v>Delivery vehicles Rigid (&gt;7.5 tonnes-17 tonnes) Average laden km</v>
          </cell>
          <cell r="L476">
            <v>0.58692</v>
          </cell>
        </row>
        <row r="477">
          <cell r="J477" t="str">
            <v>Scope 1Delivery vehiclesHGV (all diesel)Rigid (&gt;7.5 tonnes-17 tonnes)Average ladenmiles</v>
          </cell>
          <cell r="K477" t="str">
            <v>Rigid (&gt;7.5 tonnes-17 tonnes) Average laden miles</v>
          </cell>
          <cell r="L477">
            <v>0.94455999999999996</v>
          </cell>
        </row>
        <row r="478">
          <cell r="J478" t="str">
            <v>Scope 1Delivery vehiclesHGV (all diesel)Rigid (&gt;17 tonnes)0% Ladenkm</v>
          </cell>
          <cell r="K478" t="str">
            <v>Delivery vehicles Rigid (&gt;17 tonnes) 0% Laden km</v>
          </cell>
          <cell r="L478">
            <v>0.76629000000000003</v>
          </cell>
        </row>
        <row r="479">
          <cell r="J479" t="str">
            <v>Scope 1Delivery vehiclesHGV (all diesel)Rigid (&gt;17 tonnes)0% Ladenmiles</v>
          </cell>
          <cell r="K479" t="str">
            <v>Rigid (&gt;17 tonnes) 0% Laden miles</v>
          </cell>
          <cell r="L479">
            <v>1.23323</v>
          </cell>
        </row>
        <row r="480">
          <cell r="J480" t="str">
            <v>Scope 1Delivery vehiclesHGV (all diesel)Rigid (&gt;17 tonnes)50% Ladenkm</v>
          </cell>
          <cell r="K480" t="str">
            <v>Delivery vehicles Rigid (&gt;17 tonnes) 50% Laden km</v>
          </cell>
          <cell r="L480">
            <v>0.93184</v>
          </cell>
        </row>
        <row r="481">
          <cell r="J481" t="str">
            <v>Scope 1Delivery vehiclesHGV (all diesel)Rigid (&gt;17 tonnes)50% Ladenmiles</v>
          </cell>
          <cell r="K481" t="str">
            <v>Rigid (&gt;17 tonnes) 50% Laden miles</v>
          </cell>
          <cell r="L481">
            <v>1.49966</v>
          </cell>
        </row>
        <row r="482">
          <cell r="J482" t="str">
            <v>Scope 1Delivery vehiclesHGV (all diesel)Rigid (&gt;17 tonnes)100% Ladenkm</v>
          </cell>
          <cell r="K482" t="str">
            <v>Delivery vehicles Rigid (&gt;17 tonnes) 100% Laden km</v>
          </cell>
          <cell r="L482">
            <v>1.0973999999999999</v>
          </cell>
        </row>
        <row r="483">
          <cell r="J483" t="str">
            <v>Scope 1Delivery vehiclesHGV (all diesel)Rigid (&gt;17 tonnes)100% Ladenmiles</v>
          </cell>
          <cell r="K483" t="str">
            <v>Rigid (&gt;17 tonnes) 100% Laden miles</v>
          </cell>
          <cell r="L483">
            <v>1.7660899999999999</v>
          </cell>
        </row>
        <row r="484">
          <cell r="J484" t="str">
            <v>Scope 1Delivery vehiclesHGV (all diesel)Rigid (&gt;17 tonnes)Average ladenkm</v>
          </cell>
          <cell r="K484" t="str">
            <v>Delivery vehicles Rigid (&gt;17 tonnes) Average laden km</v>
          </cell>
          <cell r="L484">
            <v>0.95752000000000004</v>
          </cell>
        </row>
        <row r="485">
          <cell r="J485" t="str">
            <v>Scope 1Delivery vehiclesHGV (all diesel)Rigid (&gt;17 tonnes)Average ladenmiles</v>
          </cell>
          <cell r="K485" t="str">
            <v>Rigid (&gt;17 tonnes) Average laden miles</v>
          </cell>
          <cell r="L485">
            <v>1.54098</v>
          </cell>
        </row>
        <row r="486">
          <cell r="J486" t="str">
            <v>Scope 1Delivery vehiclesHGV (all diesel)All rigids0% Ladenkm</v>
          </cell>
          <cell r="K486" t="str">
            <v>Delivery vehicles All rigids 0% Laden km</v>
          </cell>
          <cell r="L486">
            <v>0.66440999999999995</v>
          </cell>
        </row>
        <row r="487">
          <cell r="J487" t="str">
            <v>Scope 1Delivery vehiclesHGV (all diesel)All rigids0% Ladenmiles</v>
          </cell>
          <cell r="K487" t="str">
            <v>All rigids 0% Laden miles</v>
          </cell>
          <cell r="L487">
            <v>1.0692600000000001</v>
          </cell>
        </row>
        <row r="488">
          <cell r="J488" t="str">
            <v>Scope 1Delivery vehiclesHGV (all diesel)All rigids50% Ladenkm</v>
          </cell>
          <cell r="K488" t="str">
            <v>Delivery vehicles All rigids 50% Laden km</v>
          </cell>
          <cell r="L488">
            <v>0.78968000000000005</v>
          </cell>
        </row>
        <row r="489">
          <cell r="J489" t="str">
            <v>Scope 1Delivery vehiclesHGV (all diesel)All rigids50% Ladenmiles</v>
          </cell>
          <cell r="K489" t="str">
            <v>All rigids 50% Laden miles</v>
          </cell>
          <cell r="L489">
            <v>1.2708699999999999</v>
          </cell>
        </row>
        <row r="490">
          <cell r="J490" t="str">
            <v>Scope 1Delivery vehiclesHGV (all diesel)All rigids100% Ladenkm</v>
          </cell>
          <cell r="K490" t="str">
            <v>Delivery vehicles All rigids 100% Laden km</v>
          </cell>
          <cell r="L490">
            <v>0.91495000000000004</v>
          </cell>
        </row>
        <row r="491">
          <cell r="J491" t="str">
            <v>Scope 1Delivery vehiclesHGV (all diesel)All rigids100% Ladenmiles</v>
          </cell>
          <cell r="K491" t="str">
            <v>All rigids 100% Laden miles</v>
          </cell>
          <cell r="L491">
            <v>1.47248</v>
          </cell>
        </row>
        <row r="492">
          <cell r="J492" t="str">
            <v>Scope 1Delivery vehiclesHGV (all diesel)All rigidsAverage ladenkm</v>
          </cell>
          <cell r="K492" t="str">
            <v>Delivery vehicles All rigids Average laden km</v>
          </cell>
          <cell r="L492">
            <v>0.80305000000000004</v>
          </cell>
        </row>
        <row r="493">
          <cell r="J493" t="str">
            <v>Scope 1Delivery vehiclesHGV (all diesel)All rigidsAverage ladenmiles</v>
          </cell>
          <cell r="K493" t="str">
            <v>All rigids Average laden miles</v>
          </cell>
          <cell r="L493">
            <v>1.2923899999999999</v>
          </cell>
        </row>
        <row r="494">
          <cell r="J494" t="str">
            <v>Scope 1Delivery vehiclesHGV (all diesel)Articulated (&gt;3.5 - 33t)0% Ladenkm</v>
          </cell>
          <cell r="K494" t="str">
            <v>Delivery vehicles Articulated (&gt;3.5 - 33t) 0% Laden km</v>
          </cell>
          <cell r="L494">
            <v>0.62341999999999997</v>
          </cell>
        </row>
        <row r="495">
          <cell r="J495" t="str">
            <v>Scope 1Delivery vehiclesHGV (all diesel)Articulated (&gt;3.5 - 33t)0% Ladenmiles</v>
          </cell>
          <cell r="K495" t="str">
            <v>Articulated (&gt;3.5 - 33t) 0% Laden miles</v>
          </cell>
          <cell r="L495">
            <v>1.0033000000000001</v>
          </cell>
        </row>
        <row r="496">
          <cell r="J496" t="str">
            <v>Scope 1Delivery vehiclesHGV (all diesel)Articulated (&gt;3.5 - 33t)50% Ladenkm</v>
          </cell>
          <cell r="K496" t="str">
            <v>Delivery vehicles Articulated (&gt;3.5 - 33t) 50% Laden km</v>
          </cell>
          <cell r="L496">
            <v>0.77585000000000004</v>
          </cell>
        </row>
        <row r="497">
          <cell r="J497" t="str">
            <v>Scope 1Delivery vehiclesHGV (all diesel)Articulated (&gt;3.5 - 33t)50% Ladenmiles</v>
          </cell>
          <cell r="K497" t="str">
            <v>Articulated (&gt;3.5 - 33t) 50% Laden miles</v>
          </cell>
          <cell r="L497">
            <v>1.2486200000000001</v>
          </cell>
        </row>
        <row r="498">
          <cell r="J498" t="str">
            <v>Scope 1Delivery vehiclesHGV (all diesel)Articulated (&gt;3.5 - 33t)100% Ladenkm</v>
          </cell>
          <cell r="K498" t="str">
            <v>Delivery vehicles Articulated (&gt;3.5 - 33t) 100% Laden km</v>
          </cell>
          <cell r="L498">
            <v>0.92828999999999995</v>
          </cell>
        </row>
        <row r="499">
          <cell r="J499" t="str">
            <v>Scope 1Delivery vehiclesHGV (all diesel)Articulated (&gt;3.5 - 33t)100% Ladenmiles</v>
          </cell>
          <cell r="K499" t="str">
            <v>Articulated (&gt;3.5 - 33t) 100% Laden miles</v>
          </cell>
          <cell r="L499">
            <v>1.49393</v>
          </cell>
        </row>
        <row r="500">
          <cell r="J500" t="str">
            <v>Scope 1Delivery vehiclesHGV (all diesel)Articulated (&gt;3.5 - 33t)Average ladenkm</v>
          </cell>
          <cell r="K500" t="str">
            <v>Delivery vehicles Articulated (&gt;3.5 - 33t) Average laden km</v>
          </cell>
          <cell r="L500">
            <v>0.76976</v>
          </cell>
        </row>
        <row r="501">
          <cell r="J501" t="str">
            <v>Scope 1Delivery vehiclesHGV (all diesel)Articulated (&gt;3.5 - 33t)Average ladenmiles</v>
          </cell>
          <cell r="K501" t="str">
            <v>Articulated (&gt;3.5 - 33t) Average laden miles</v>
          </cell>
          <cell r="L501">
            <v>1.2387999999999999</v>
          </cell>
        </row>
        <row r="502">
          <cell r="J502" t="str">
            <v>Scope 1Delivery vehiclesHGV (all diesel)Articulated (&gt;33t)0% Ladenkm</v>
          </cell>
          <cell r="K502" t="str">
            <v>Delivery vehicles Articulated (&gt;33t) 0% Laden km</v>
          </cell>
          <cell r="L502">
            <v>0.65022999999999997</v>
          </cell>
        </row>
        <row r="503">
          <cell r="J503" t="str">
            <v>Scope 1Delivery vehiclesHGV (all diesel)Articulated (&gt;33t)0% Ladenmiles</v>
          </cell>
          <cell r="K503" t="str">
            <v>Articulated (&gt;33t) 0% Laden miles</v>
          </cell>
          <cell r="L503">
            <v>1.04644</v>
          </cell>
        </row>
        <row r="504">
          <cell r="J504" t="str">
            <v>Scope 1Delivery vehiclesHGV (all diesel)Articulated (&gt;33t)50% Ladenkm</v>
          </cell>
          <cell r="K504" t="str">
            <v>Delivery vehicles Articulated (&gt;33t) 50% Laden km</v>
          </cell>
          <cell r="L504">
            <v>0.86153999999999997</v>
          </cell>
        </row>
        <row r="505">
          <cell r="J505" t="str">
            <v>Scope 1Delivery vehiclesHGV (all diesel)Articulated (&gt;33t)50% Ladenmiles</v>
          </cell>
          <cell r="K505" t="str">
            <v>Articulated (&gt;33t) 50% Laden miles</v>
          </cell>
          <cell r="L505">
            <v>1.38652</v>
          </cell>
        </row>
        <row r="506">
          <cell r="J506" t="str">
            <v>Scope 1Delivery vehiclesHGV (all diesel)Articulated (&gt;33t)100% Ladenkm</v>
          </cell>
          <cell r="K506" t="str">
            <v>Delivery vehicles Articulated (&gt;33t) 100% Laden km</v>
          </cell>
          <cell r="L506">
            <v>1.0728599999999999</v>
          </cell>
        </row>
        <row r="507">
          <cell r="J507" t="str">
            <v>Scope 1Delivery vehiclesHGV (all diesel)Articulated (&gt;33t)100% Ladenmiles</v>
          </cell>
          <cell r="K507" t="str">
            <v>Articulated (&gt;33t) 100% Laden miles</v>
          </cell>
          <cell r="L507">
            <v>1.7265900000000001</v>
          </cell>
        </row>
        <row r="508">
          <cell r="J508" t="str">
            <v>Scope 1Delivery vehiclesHGV (all diesel)Articulated (&gt;33t)Average ladenkm</v>
          </cell>
          <cell r="K508" t="str">
            <v>Delivery vehicles Articulated (&gt;33t) Average laden km</v>
          </cell>
          <cell r="L508">
            <v>0.91647999999999996</v>
          </cell>
        </row>
        <row r="509">
          <cell r="J509" t="str">
            <v>Scope 1Delivery vehiclesHGV (all diesel)Articulated (&gt;33t)Average ladenmiles</v>
          </cell>
          <cell r="K509" t="str">
            <v>Articulated (&gt;33t) Average laden miles</v>
          </cell>
          <cell r="L509">
            <v>1.4749399999999999</v>
          </cell>
        </row>
        <row r="510">
          <cell r="J510" t="str">
            <v>Scope 1Delivery vehiclesHGV (all diesel)All artics0% Ladenkm</v>
          </cell>
          <cell r="K510" t="str">
            <v>Delivery vehicles All artics 0% Laden km</v>
          </cell>
          <cell r="L510">
            <v>0.64912999999999998</v>
          </cell>
        </row>
        <row r="511">
          <cell r="J511" t="str">
            <v>Scope 1Delivery vehiclesHGV (all diesel)All artics0% Ladenmiles</v>
          </cell>
          <cell r="K511" t="str">
            <v>All artics 0% Laden miles</v>
          </cell>
          <cell r="L511">
            <v>1.0446800000000001</v>
          </cell>
        </row>
        <row r="512">
          <cell r="J512" t="str">
            <v>Scope 1Delivery vehiclesHGV (all diesel)All artics50% Ladenkm</v>
          </cell>
          <cell r="K512" t="str">
            <v>Delivery vehicles All artics 50% Laden km</v>
          </cell>
          <cell r="L512">
            <v>0.85802999999999996</v>
          </cell>
        </row>
        <row r="513">
          <cell r="J513" t="str">
            <v>Scope 1Delivery vehiclesHGV (all diesel)All artics50% Ladenmiles</v>
          </cell>
          <cell r="K513" t="str">
            <v>All artics 50% Laden miles</v>
          </cell>
          <cell r="L513">
            <v>1.38087</v>
          </cell>
        </row>
        <row r="514">
          <cell r="J514" t="str">
            <v>Scope 1Delivery vehiclesHGV (all diesel)All artics100% Ladenkm</v>
          </cell>
          <cell r="K514" t="str">
            <v>Delivery vehicles All artics 100% Laden km</v>
          </cell>
          <cell r="L514">
            <v>1.06694</v>
          </cell>
        </row>
        <row r="515">
          <cell r="J515" t="str">
            <v>Scope 1Delivery vehiclesHGV (all diesel)All artics100% Ladenmiles</v>
          </cell>
          <cell r="K515" t="str">
            <v>All artics 100% Laden miles</v>
          </cell>
          <cell r="L515">
            <v>1.7170700000000001</v>
          </cell>
        </row>
        <row r="516">
          <cell r="J516" t="str">
            <v>Scope 1Delivery vehiclesHGV (all diesel)All articsAverage ladenkm</v>
          </cell>
          <cell r="K516" t="str">
            <v>Delivery vehicles All artics Average laden km</v>
          </cell>
          <cell r="L516">
            <v>0.91047999999999996</v>
          </cell>
        </row>
        <row r="517">
          <cell r="J517" t="str">
            <v>Scope 1Delivery vehiclesHGV (all diesel)All articsAverage ladenmiles</v>
          </cell>
          <cell r="K517" t="str">
            <v>All artics Average laden miles</v>
          </cell>
          <cell r="L517">
            <v>1.4652700000000001</v>
          </cell>
        </row>
        <row r="518">
          <cell r="J518" t="str">
            <v>Scope 1Delivery vehiclesHGV (all diesel)All HGVs0% Ladenkm</v>
          </cell>
          <cell r="K518" t="str">
            <v>Delivery vehicles All HGVs 0% Laden km</v>
          </cell>
          <cell r="L518">
            <v>0.65573000000000004</v>
          </cell>
        </row>
        <row r="519">
          <cell r="J519" t="str">
            <v>Scope 1Delivery vehiclesHGV (all diesel)All HGVs0% Ladenmiles</v>
          </cell>
          <cell r="K519" t="str">
            <v>All HGVs 0% Laden miles</v>
          </cell>
          <cell r="L519">
            <v>1.0552999999999999</v>
          </cell>
        </row>
        <row r="520">
          <cell r="J520" t="str">
            <v>Scope 1Delivery vehiclesHGV (all diesel)All HGVs50% Ladenkm</v>
          </cell>
          <cell r="K520" t="str">
            <v>Delivery vehicles All HGVs 50% Laden km</v>
          </cell>
          <cell r="L520">
            <v>0.82850999999999997</v>
          </cell>
        </row>
        <row r="521">
          <cell r="J521" t="str">
            <v>Scope 1Delivery vehiclesHGV (all diesel)All HGVs50% Ladenmiles</v>
          </cell>
          <cell r="K521" t="str">
            <v>All HGVs 50% Laden miles</v>
          </cell>
          <cell r="L521">
            <v>1.33335</v>
          </cell>
        </row>
        <row r="522">
          <cell r="J522" t="str">
            <v>Scope 1Delivery vehiclesHGV (all diesel)All HGVs100% Ladenkm</v>
          </cell>
          <cell r="K522" t="str">
            <v>Delivery vehicles All HGVs 100% Laden km</v>
          </cell>
          <cell r="L522">
            <v>1.0012799999999999</v>
          </cell>
        </row>
        <row r="523">
          <cell r="J523" t="str">
            <v>Scope 1Delivery vehiclesHGV (all diesel)All HGVs100% Ladenmiles</v>
          </cell>
          <cell r="K523" t="str">
            <v>All HGVs 100% Laden miles</v>
          </cell>
          <cell r="L523">
            <v>1.6113999999999999</v>
          </cell>
        </row>
        <row r="524">
          <cell r="J524" t="str">
            <v>Scope 1Delivery vehiclesHGV (all diesel)All HGVsAverage ladenkm</v>
          </cell>
          <cell r="K524" t="str">
            <v>Delivery vehicles All HGVs Average laden km</v>
          </cell>
          <cell r="L524">
            <v>0.86407</v>
          </cell>
        </row>
        <row r="525">
          <cell r="J525" t="str">
            <v>Scope 1Delivery vehiclesHGV (all diesel)All HGVsAverage ladenmiles</v>
          </cell>
          <cell r="K525" t="str">
            <v>All HGVs Average laden miles</v>
          </cell>
          <cell r="L525">
            <v>1.3905799999999999</v>
          </cell>
        </row>
        <row r="526">
          <cell r="J526" t="str">
            <v>Scope 1Delivery vehiclesHGVs refrigerated (all diesel)Rigid (&gt;3.5 - 7.5 tonnes)0% Ladenkm</v>
          </cell>
          <cell r="K526" t="str">
            <v>Delivery vehicles Rigid (&gt;3.5 - 7.5 tonnes) 0% Laden km</v>
          </cell>
          <cell r="L526">
            <v>0.5302</v>
          </cell>
        </row>
        <row r="527">
          <cell r="J527" t="str">
            <v>Scope 1Delivery vehiclesHGVs refrigerated (all diesel)Rigid (&gt;3.5 - 7.5 tonnes)0% Ladenmiles</v>
          </cell>
          <cell r="K527" t="str">
            <v>Rigid (&gt;3.5 - 7.5 tonnes) 0% Laden miles</v>
          </cell>
          <cell r="L527">
            <v>0.85328000000000004</v>
          </cell>
        </row>
        <row r="528">
          <cell r="J528" t="str">
            <v>Scope 1Delivery vehiclesHGVs refrigerated (all diesel)Rigid (&gt;3.5 - 7.5 tonnes)50% Ladenkm</v>
          </cell>
          <cell r="K528" t="str">
            <v>Delivery vehicles Rigid (&gt;3.5 - 7.5 tonnes) 50% Laden km</v>
          </cell>
          <cell r="L528">
            <v>0.57577999999999996</v>
          </cell>
        </row>
        <row r="529">
          <cell r="J529" t="str">
            <v>Scope 1Delivery vehiclesHGVs refrigerated (all diesel)Rigid (&gt;3.5 - 7.5 tonnes)50% Ladenmiles</v>
          </cell>
          <cell r="K529" t="str">
            <v>Rigid (&gt;3.5 - 7.5 tonnes) 50% Laden miles</v>
          </cell>
          <cell r="L529">
            <v>0.92662</v>
          </cell>
        </row>
        <row r="530">
          <cell r="J530" t="str">
            <v>Scope 1Delivery vehiclesHGVs refrigerated (all diesel)Rigid (&gt;3.5 - 7.5 tonnes)100% Ladenkm</v>
          </cell>
          <cell r="K530" t="str">
            <v>Delivery vehicles Rigid (&gt;3.5 - 7.5 tonnes) 100% Laden km</v>
          </cell>
          <cell r="L530">
            <v>0.62134999999999996</v>
          </cell>
        </row>
        <row r="531">
          <cell r="J531" t="str">
            <v>Scope 1Delivery vehiclesHGVs refrigerated (all diesel)Rigid (&gt;3.5 - 7.5 tonnes)100% Ladenmiles</v>
          </cell>
          <cell r="K531" t="str">
            <v>Rigid (&gt;3.5 - 7.5 tonnes) 100% Laden miles</v>
          </cell>
          <cell r="L531">
            <v>0.99997000000000003</v>
          </cell>
        </row>
        <row r="532">
          <cell r="J532" t="str">
            <v>Scope 1Delivery vehiclesHGVs refrigerated (all diesel)Rigid (&gt;3.5 - 7.5 tonnes)Average ladenkm</v>
          </cell>
          <cell r="K532" t="str">
            <v>Delivery vehicles Rigid (&gt;3.5 - 7.5 tonnes) Average laden km</v>
          </cell>
          <cell r="L532">
            <v>0.57213000000000003</v>
          </cell>
        </row>
        <row r="533">
          <cell r="J533" t="str">
            <v>Scope 1Delivery vehiclesHGVs refrigerated (all diesel)Rigid (&gt;3.5 - 7.5 tonnes)Average ladenmiles</v>
          </cell>
          <cell r="K533" t="str">
            <v>Rigid (&gt;3.5 - 7.5 tonnes) Average laden miles</v>
          </cell>
          <cell r="L533">
            <v>0.92076000000000002</v>
          </cell>
        </row>
        <row r="534">
          <cell r="J534" t="str">
            <v>Scope 1Delivery vehiclesHGVs refrigerated (all diesel)Rigid (&gt;7.5 tonnes-17 tonnes)0% Ladenkm</v>
          </cell>
          <cell r="K534" t="str">
            <v>Delivery vehicles Rigid (&gt;7.5 tonnes-17 tonnes) 0% Laden km</v>
          </cell>
          <cell r="L534">
            <v>0.63751999999999998</v>
          </cell>
        </row>
        <row r="535">
          <cell r="J535" t="str">
            <v>Scope 1Delivery vehiclesHGVs refrigerated (all diesel)Rigid (&gt;7.5 tonnes-17 tonnes)0% Ladenmiles</v>
          </cell>
          <cell r="K535" t="str">
            <v>Rigid (&gt;7.5 tonnes-17 tonnes) 0% Laden miles</v>
          </cell>
          <cell r="L535">
            <v>1.02599</v>
          </cell>
        </row>
        <row r="536">
          <cell r="J536" t="str">
            <v>Scope 1Delivery vehiclesHGVs refrigerated (all diesel)Rigid (&gt;7.5 tonnes-17 tonnes)50% Ladenkm</v>
          </cell>
          <cell r="K536" t="str">
            <v>Delivery vehicles Rigid (&gt;7.5 tonnes-17 tonnes) 50% Laden km</v>
          </cell>
          <cell r="L536">
            <v>0.72753000000000001</v>
          </cell>
        </row>
        <row r="537">
          <cell r="J537" t="str">
            <v>Scope 1Delivery vehiclesHGVs refrigerated (all diesel)Rigid (&gt;7.5 tonnes-17 tonnes)50% Ladenmiles</v>
          </cell>
          <cell r="K537" t="str">
            <v>Rigid (&gt;7.5 tonnes-17 tonnes) 50% Laden miles</v>
          </cell>
          <cell r="L537">
            <v>1.1708499999999999</v>
          </cell>
        </row>
        <row r="538">
          <cell r="J538" t="str">
            <v>Scope 1Delivery vehiclesHGVs refrigerated (all diesel)Rigid (&gt;7.5 tonnes-17 tonnes)100% Ladenkm</v>
          </cell>
          <cell r="K538" t="str">
            <v>Delivery vehicles Rigid (&gt;7.5 tonnes-17 tonnes) 100% Laden km</v>
          </cell>
          <cell r="L538">
            <v>0.81755</v>
          </cell>
        </row>
        <row r="539">
          <cell r="J539" t="str">
            <v>Scope 1Delivery vehiclesHGVs refrigerated (all diesel)Rigid (&gt;7.5 tonnes-17 tonnes)100% Ladenmiles</v>
          </cell>
          <cell r="K539" t="str">
            <v>Rigid (&gt;7.5 tonnes-17 tonnes) 100% Laden miles</v>
          </cell>
          <cell r="L539">
            <v>1.31572</v>
          </cell>
        </row>
        <row r="540">
          <cell r="J540" t="str">
            <v>Scope 1Delivery vehiclesHGVs refrigerated (all diesel)Rigid (&gt;7.5 tonnes-17 tonnes)Average ladenkm</v>
          </cell>
          <cell r="K540" t="str">
            <v>Delivery vehicles Rigid (&gt;7.5 tonnes-17 tonnes) Average laden km</v>
          </cell>
          <cell r="L540">
            <v>0.69872999999999996</v>
          </cell>
        </row>
        <row r="541">
          <cell r="J541" t="str">
            <v>Scope 1Delivery vehiclesHGVs refrigerated (all diesel)Rigid (&gt;7.5 tonnes-17 tonnes)Average ladenmiles</v>
          </cell>
          <cell r="K541" t="str">
            <v>Rigid (&gt;7.5 tonnes-17 tonnes) Average laden miles</v>
          </cell>
          <cell r="L541">
            <v>1.1245000000000001</v>
          </cell>
        </row>
        <row r="542">
          <cell r="J542" t="str">
            <v>Scope 1Delivery vehiclesHGVs refrigerated (all diesel)Rigid (&gt;17 tonnes)0% Ladenkm</v>
          </cell>
          <cell r="K542" t="str">
            <v>Delivery vehicles Rigid (&gt;17 tonnes) 0% Laden km</v>
          </cell>
          <cell r="L542">
            <v>0.91180000000000005</v>
          </cell>
        </row>
        <row r="543">
          <cell r="J543" t="str">
            <v>Scope 1Delivery vehiclesHGVs refrigerated (all diesel)Rigid (&gt;17 tonnes)0% Ladenmiles</v>
          </cell>
          <cell r="K543" t="str">
            <v>Rigid (&gt;17 tonnes) 0% Laden miles</v>
          </cell>
          <cell r="L543">
            <v>1.4674</v>
          </cell>
        </row>
        <row r="544">
          <cell r="J544" t="str">
            <v>Scope 1Delivery vehiclesHGVs refrigerated (all diesel)Rigid (&gt;17 tonnes)50% Ladenkm</v>
          </cell>
          <cell r="K544" t="str">
            <v>Delivery vehicles Rigid (&gt;17 tonnes) 50% Laden km</v>
          </cell>
          <cell r="L544">
            <v>1.1092900000000001</v>
          </cell>
        </row>
        <row r="545">
          <cell r="J545" t="str">
            <v>Scope 1Delivery vehiclesHGVs refrigerated (all diesel)Rigid (&gt;17 tonnes)50% Ladenmiles</v>
          </cell>
          <cell r="K545" t="str">
            <v>Rigid (&gt;17 tonnes) 50% Laden miles</v>
          </cell>
          <cell r="L545">
            <v>1.7852300000000001</v>
          </cell>
        </row>
        <row r="546">
          <cell r="J546" t="str">
            <v>Scope 1Delivery vehiclesHGVs refrigerated (all diesel)Rigid (&gt;17 tonnes)100% Ladenkm</v>
          </cell>
          <cell r="K546" t="str">
            <v>Delivery vehicles Rigid (&gt;17 tonnes) 100% Laden km</v>
          </cell>
          <cell r="L546">
            <v>1.3067800000000001</v>
          </cell>
        </row>
        <row r="547">
          <cell r="J547" t="str">
            <v>Scope 1Delivery vehiclesHGVs refrigerated (all diesel)Rigid (&gt;17 tonnes)100% Ladenmiles</v>
          </cell>
          <cell r="K547" t="str">
            <v>Rigid (&gt;17 tonnes) 100% Laden miles</v>
          </cell>
          <cell r="L547">
            <v>2.1030700000000002</v>
          </cell>
        </row>
        <row r="548">
          <cell r="J548" t="str">
            <v>Scope 1Delivery vehiclesHGVs refrigerated (all diesel)Rigid (&gt;17 tonnes)Average ladenkm</v>
          </cell>
          <cell r="K548" t="str">
            <v>Delivery vehicles Rigid (&gt;17 tonnes) Average laden km</v>
          </cell>
          <cell r="L548">
            <v>1.1399300000000001</v>
          </cell>
        </row>
        <row r="549">
          <cell r="J549" t="str">
            <v>Scope 1Delivery vehiclesHGVs refrigerated (all diesel)Rigid (&gt;17 tonnes)Average ladenmiles</v>
          </cell>
          <cell r="K549" t="str">
            <v>Rigid (&gt;17 tonnes) Average laden miles</v>
          </cell>
          <cell r="L549">
            <v>1.83453</v>
          </cell>
        </row>
        <row r="550">
          <cell r="J550" t="str">
            <v>Scope 1Delivery vehiclesHGVs refrigerated (all diesel)All rigids0% Ladenkm</v>
          </cell>
          <cell r="K550" t="str">
            <v>Delivery vehicles All rigids 0% Laden km</v>
          </cell>
          <cell r="L550">
            <v>0.79063000000000005</v>
          </cell>
        </row>
        <row r="551">
          <cell r="J551" t="str">
            <v>Scope 1Delivery vehiclesHGVs refrigerated (all diesel)All rigids0% Ladenmiles</v>
          </cell>
          <cell r="K551" t="str">
            <v>All rigids 0% Laden miles</v>
          </cell>
          <cell r="L551">
            <v>1.2724</v>
          </cell>
        </row>
        <row r="552">
          <cell r="J552" t="str">
            <v>Scope 1Delivery vehiclesHGVs refrigerated (all diesel)All rigids50% Ladenkm</v>
          </cell>
          <cell r="K552" t="str">
            <v>Delivery vehicles All rigids 50% Laden km</v>
          </cell>
          <cell r="L552">
            <v>0.94008000000000003</v>
          </cell>
        </row>
        <row r="553">
          <cell r="J553" t="str">
            <v>Scope 1Delivery vehiclesHGVs refrigerated (all diesel)All rigids50% Ladenmiles</v>
          </cell>
          <cell r="K553" t="str">
            <v>All rigids 50% Laden miles</v>
          </cell>
          <cell r="L553">
            <v>1.51291</v>
          </cell>
        </row>
        <row r="554">
          <cell r="J554" t="str">
            <v>Scope 1Delivery vehiclesHGVs refrigerated (all diesel)All rigids100% Ladenkm</v>
          </cell>
          <cell r="K554" t="str">
            <v>Delivery vehicles All rigids 100% Laden km</v>
          </cell>
          <cell r="L554">
            <v>1.08952</v>
          </cell>
        </row>
        <row r="555">
          <cell r="J555" t="str">
            <v>Scope 1Delivery vehiclesHGVs refrigerated (all diesel)All rigids100% Ladenmiles</v>
          </cell>
          <cell r="K555" t="str">
            <v>All rigids 100% Laden miles</v>
          </cell>
          <cell r="L555">
            <v>1.7534099999999999</v>
          </cell>
        </row>
        <row r="556">
          <cell r="J556" t="str">
            <v>Scope 1Delivery vehiclesHGVs refrigerated (all diesel)All rigidsAverage ladenkm</v>
          </cell>
          <cell r="K556" t="str">
            <v>Delivery vehicles All rigids Average laden km</v>
          </cell>
          <cell r="L556">
            <v>0.95603000000000005</v>
          </cell>
        </row>
        <row r="557">
          <cell r="J557" t="str">
            <v>Scope 1Delivery vehiclesHGVs refrigerated (all diesel)All rigidsAverage ladenmiles</v>
          </cell>
          <cell r="K557" t="str">
            <v>All rigids Average laden miles</v>
          </cell>
          <cell r="L557">
            <v>1.5385800000000001</v>
          </cell>
        </row>
        <row r="558">
          <cell r="J558" t="str">
            <v>Scope 1Delivery vehiclesHGVs refrigerated (all diesel)Articulated (&gt;3.5 - 33t)0% Ladenkm</v>
          </cell>
          <cell r="K558" t="str">
            <v>Delivery vehicles Articulated (&gt;3.5 - 33t) 0% Laden km</v>
          </cell>
          <cell r="L558">
            <v>0.72055999999999998</v>
          </cell>
        </row>
        <row r="559">
          <cell r="J559" t="str">
            <v>Scope 1Delivery vehiclesHGVs refrigerated (all diesel)Articulated (&gt;3.5 - 33t)0% Ladenmiles</v>
          </cell>
          <cell r="K559" t="str">
            <v>Articulated (&gt;3.5 - 33t) 0% Laden miles</v>
          </cell>
          <cell r="L559">
            <v>1.1596299999999999</v>
          </cell>
        </row>
        <row r="560">
          <cell r="J560" t="str">
            <v>Scope 1Delivery vehiclesHGVs refrigerated (all diesel)Articulated (&gt;3.5 - 33t)50% Ladenkm</v>
          </cell>
          <cell r="K560" t="str">
            <v>Delivery vehicles Articulated (&gt;3.5 - 33t) 50% Laden km</v>
          </cell>
          <cell r="L560">
            <v>0.89727999999999997</v>
          </cell>
        </row>
        <row r="561">
          <cell r="J561" t="str">
            <v>Scope 1Delivery vehiclesHGVs refrigerated (all diesel)Articulated (&gt;3.5 - 33t)50% Ladenmiles</v>
          </cell>
          <cell r="K561" t="str">
            <v>Articulated (&gt;3.5 - 33t) 50% Laden miles</v>
          </cell>
          <cell r="L561">
            <v>1.4440299999999999</v>
          </cell>
        </row>
        <row r="562">
          <cell r="J562" t="str">
            <v>Scope 1Delivery vehiclesHGVs refrigerated (all diesel)Articulated (&gt;3.5 - 33t)100% Ladenkm</v>
          </cell>
          <cell r="K562" t="str">
            <v>Delivery vehicles Articulated (&gt;3.5 - 33t) 100% Laden km</v>
          </cell>
          <cell r="L562">
            <v>1.0740000000000001</v>
          </cell>
        </row>
        <row r="563">
          <cell r="J563" t="str">
            <v>Scope 1Delivery vehiclesHGVs refrigerated (all diesel)Articulated (&gt;3.5 - 33t)100% Ladenmiles</v>
          </cell>
          <cell r="K563" t="str">
            <v>Articulated (&gt;3.5 - 33t) 100% Laden miles</v>
          </cell>
          <cell r="L563">
            <v>1.7284299999999999</v>
          </cell>
        </row>
        <row r="564">
          <cell r="J564" t="str">
            <v>Scope 1Delivery vehiclesHGVs refrigerated (all diesel)Articulated (&gt;3.5 - 33t)Average ladenkm</v>
          </cell>
          <cell r="K564" t="str">
            <v>Delivery vehicles Articulated (&gt;3.5 - 33t) Average laden km</v>
          </cell>
          <cell r="L564">
            <v>0.89020999999999995</v>
          </cell>
        </row>
        <row r="565">
          <cell r="J565" t="str">
            <v>Scope 1Delivery vehiclesHGVs refrigerated (all diesel)Articulated (&gt;3.5 - 33t)Average ladenmiles</v>
          </cell>
          <cell r="K565" t="str">
            <v>Articulated (&gt;3.5 - 33t) Average laden miles</v>
          </cell>
          <cell r="L565">
            <v>1.43266</v>
          </cell>
        </row>
        <row r="566">
          <cell r="J566" t="str">
            <v>Scope 1Delivery vehiclesHGVs refrigerated (all diesel)Articulated (&gt;33t)0% Ladenkm</v>
          </cell>
          <cell r="K566" t="str">
            <v>Delivery vehicles Articulated (&gt;33t) 0% Laden km</v>
          </cell>
          <cell r="L566">
            <v>0.75122999999999995</v>
          </cell>
        </row>
        <row r="567">
          <cell r="J567" t="str">
            <v>Scope 1Delivery vehiclesHGVs refrigerated (all diesel)Articulated (&gt;33t)0% Ladenmiles</v>
          </cell>
          <cell r="K567" t="str">
            <v>Articulated (&gt;33t) 0% Laden miles</v>
          </cell>
          <cell r="L567">
            <v>1.2089799999999999</v>
          </cell>
        </row>
        <row r="568">
          <cell r="J568" t="str">
            <v>Scope 1Delivery vehiclesHGVs refrigerated (all diesel)Articulated (&gt;33t)50% Ladenkm</v>
          </cell>
          <cell r="K568" t="str">
            <v>Delivery vehicles Articulated (&gt;33t) 50% Laden km</v>
          </cell>
          <cell r="L568">
            <v>0.99621000000000004</v>
          </cell>
        </row>
        <row r="569">
          <cell r="J569" t="str">
            <v>Scope 1Delivery vehiclesHGVs refrigerated (all diesel)Articulated (&gt;33t)50% Ladenmiles</v>
          </cell>
          <cell r="K569" t="str">
            <v>Articulated (&gt;33t) 50% Laden miles</v>
          </cell>
          <cell r="L569">
            <v>1.60324</v>
          </cell>
        </row>
        <row r="570">
          <cell r="J570" t="str">
            <v>Scope 1Delivery vehiclesHGVs refrigerated (all diesel)Articulated (&gt;33t)100% Ladenkm</v>
          </cell>
          <cell r="K570" t="str">
            <v>Delivery vehicles Articulated (&gt;33t) 100% Laden km</v>
          </cell>
          <cell r="L570">
            <v>1.2411799999999999</v>
          </cell>
        </row>
        <row r="571">
          <cell r="J571" t="str">
            <v>Scope 1Delivery vehiclesHGVs refrigerated (all diesel)Articulated (&gt;33t)100% Ladenmiles</v>
          </cell>
          <cell r="K571" t="str">
            <v>Articulated (&gt;33t) 100% Laden miles</v>
          </cell>
          <cell r="L571">
            <v>1.99749</v>
          </cell>
        </row>
        <row r="572">
          <cell r="J572" t="str">
            <v>Scope 1Delivery vehiclesHGVs refrigerated (all diesel)Articulated (&gt;33t)Average ladenkm</v>
          </cell>
          <cell r="K572" t="str">
            <v>Delivery vehicles Articulated (&gt;33t) Average laden km</v>
          </cell>
          <cell r="L572">
            <v>1.0599000000000001</v>
          </cell>
        </row>
        <row r="573">
          <cell r="J573" t="str">
            <v>Scope 1Delivery vehiclesHGVs refrigerated (all diesel)Articulated (&gt;33t)Average ladenmiles</v>
          </cell>
          <cell r="K573" t="str">
            <v>Articulated (&gt;33t) Average laden miles</v>
          </cell>
          <cell r="L573">
            <v>1.70574</v>
          </cell>
        </row>
        <row r="574">
          <cell r="J574" t="str">
            <v>Scope 1Delivery vehiclesHGVs refrigerated (all diesel)All artics0% Ladenkm</v>
          </cell>
          <cell r="K574" t="str">
            <v>Delivery vehicles All artics 0% Laden km</v>
          </cell>
          <cell r="L574">
            <v>0.74997000000000003</v>
          </cell>
        </row>
        <row r="575">
          <cell r="J575" t="str">
            <v>Scope 1Delivery vehiclesHGVs refrigerated (all diesel)All artics0% Ladenmiles</v>
          </cell>
          <cell r="K575" t="str">
            <v>All artics 0% Laden miles</v>
          </cell>
          <cell r="L575">
            <v>1.20696</v>
          </cell>
        </row>
        <row r="576">
          <cell r="J576" t="str">
            <v>Scope 1Delivery vehiclesHGVs refrigerated (all diesel)All artics50% Ladenkm</v>
          </cell>
          <cell r="K576" t="str">
            <v>Delivery vehicles All artics 50% Laden km</v>
          </cell>
          <cell r="L576">
            <v>0.99216000000000004</v>
          </cell>
        </row>
        <row r="577">
          <cell r="J577" t="str">
            <v>Scope 1Delivery vehiclesHGVs refrigerated (all diesel)All artics50% Ladenmiles</v>
          </cell>
          <cell r="K577" t="str">
            <v>All artics 50% Laden miles</v>
          </cell>
          <cell r="L577">
            <v>1.5967199999999999</v>
          </cell>
        </row>
        <row r="578">
          <cell r="J578" t="str">
            <v>Scope 1Delivery vehiclesHGVs refrigerated (all diesel)All artics100% Ladenkm</v>
          </cell>
          <cell r="K578" t="str">
            <v>Delivery vehicles All artics 100% Laden km</v>
          </cell>
          <cell r="L578">
            <v>1.23434</v>
          </cell>
        </row>
        <row r="579">
          <cell r="J579" t="str">
            <v>Scope 1Delivery vehiclesHGVs refrigerated (all diesel)All artics100% Ladenmiles</v>
          </cell>
          <cell r="K579" t="str">
            <v>All artics 100% Laden miles</v>
          </cell>
          <cell r="L579">
            <v>1.98648</v>
          </cell>
        </row>
        <row r="580">
          <cell r="J580" t="str">
            <v>Scope 1Delivery vehiclesHGVs refrigerated (all diesel)All articsAverage ladenkm</v>
          </cell>
          <cell r="K580" t="str">
            <v>Delivery vehicles All artics Average laden km</v>
          </cell>
          <cell r="L580">
            <v>1.0529500000000001</v>
          </cell>
        </row>
        <row r="581">
          <cell r="J581" t="str">
            <v>Scope 1Delivery vehiclesHGVs refrigerated (all diesel)All articsAverage ladenmiles</v>
          </cell>
          <cell r="K581" t="str">
            <v>All artics Average laden miles</v>
          </cell>
          <cell r="L581">
            <v>1.6945600000000001</v>
          </cell>
        </row>
        <row r="582">
          <cell r="J582" t="str">
            <v>Scope 1Delivery vehiclesHGVs refrigerated (all diesel)All HGVs0% Ladenkm</v>
          </cell>
          <cell r="K582" t="str">
            <v>Delivery vehicles All HGVs 0% Laden km</v>
          </cell>
          <cell r="L582">
            <v>0.76736000000000004</v>
          </cell>
        </row>
        <row r="583">
          <cell r="J583" t="str">
            <v>Scope 1Delivery vehiclesHGVs refrigerated (all diesel)All HGVs0% Ladenmiles</v>
          </cell>
          <cell r="K583" t="str">
            <v>All HGVs 0% Laden miles</v>
          </cell>
          <cell r="L583">
            <v>1.23495</v>
          </cell>
        </row>
        <row r="584">
          <cell r="J584" t="str">
            <v>Scope 1Delivery vehiclesHGVs refrigerated (all diesel)All HGVs50% Ladenkm</v>
          </cell>
          <cell r="K584" t="str">
            <v>Delivery vehicles All HGVs 50% Laden km</v>
          </cell>
          <cell r="L584">
            <v>0.97016999999999998</v>
          </cell>
        </row>
        <row r="585">
          <cell r="J585" t="str">
            <v>Scope 1Delivery vehiclesHGVs refrigerated (all diesel)All HGVs50% Ladenmiles</v>
          </cell>
          <cell r="K585" t="str">
            <v>All HGVs 50% Laden miles</v>
          </cell>
          <cell r="L585">
            <v>1.56134</v>
          </cell>
        </row>
        <row r="586">
          <cell r="J586" t="str">
            <v>Scope 1Delivery vehiclesHGVs refrigerated (all diesel)All HGVs100% Ladenkm</v>
          </cell>
          <cell r="K586" t="str">
            <v>Delivery vehicles All HGVs 100% Laden km</v>
          </cell>
          <cell r="L586">
            <v>1.1729799999999999</v>
          </cell>
        </row>
        <row r="587">
          <cell r="J587" t="str">
            <v>Scope 1Delivery vehiclesHGVs refrigerated (all diesel)All HGVs100% Ladenmiles</v>
          </cell>
          <cell r="K587" t="str">
            <v>All HGVs 100% Laden miles</v>
          </cell>
          <cell r="L587">
            <v>1.8877299999999999</v>
          </cell>
        </row>
        <row r="588">
          <cell r="J588" t="str">
            <v>Scope 1Delivery vehiclesHGVs refrigerated (all diesel)All HGVsAverage ladenkm</v>
          </cell>
          <cell r="K588" t="str">
            <v>Delivery vehicles All HGVs Average laden km</v>
          </cell>
          <cell r="L588">
            <v>1.0119199999999999</v>
          </cell>
        </row>
        <row r="589">
          <cell r="J589" t="str">
            <v>Scope 1Delivery vehiclesHGVs refrigerated (all diesel)All HGVsAverage ladenmiles</v>
          </cell>
          <cell r="K589" t="str">
            <v>All HGVs Average laden miles</v>
          </cell>
          <cell r="L589">
            <v>1.62852</v>
          </cell>
        </row>
        <row r="590">
          <cell r="J590" t="str">
            <v>Scope 2UK electricityElectricity generatedElectricity: UKkWh</v>
          </cell>
          <cell r="K590" t="str">
            <v>Electricity: UK  kWh</v>
          </cell>
          <cell r="L590">
            <v>0.21233000000000002</v>
          </cell>
        </row>
        <row r="591">
          <cell r="J591" t="str">
            <v>Scope 2UK electricity for EvsCars (by market segment)MiniPlug-in Hybrid Electric Vehiclekm</v>
          </cell>
          <cell r="K591" t="str">
            <v>UK electricity for Evs Mini Plug-in Hybrid Electric Vehicle km</v>
          </cell>
        </row>
        <row r="592">
          <cell r="J592" t="str">
            <v>Scope 2UK electricity for EvsCars (by market segment)MiniPlug-in Hybrid Electric Vehiclemiles</v>
          </cell>
          <cell r="K592" t="str">
            <v>Mini Plug-in Hybrid Electric Vehicle miles</v>
          </cell>
        </row>
        <row r="593">
          <cell r="J593" t="str">
            <v>Scope 2UK electricity for EvsCars (by market segment)MiniBattery Electric Vehiclekm</v>
          </cell>
          <cell r="K593" t="str">
            <v>UK electricity for Evs Mini Battery Electric Vehicle km</v>
          </cell>
          <cell r="L593">
            <v>4.0350000000000004E-2</v>
          </cell>
        </row>
        <row r="594">
          <cell r="J594" t="str">
            <v>Scope 2UK electricity for EvsCars (by market segment)MiniBattery Electric Vehiclemiles</v>
          </cell>
          <cell r="K594" t="str">
            <v>Mini Battery Electric Vehicle miles</v>
          </cell>
          <cell r="L594">
            <v>6.4930000000000002E-2</v>
          </cell>
        </row>
        <row r="595">
          <cell r="J595" t="str">
            <v>Scope 2UK electricity for EvsCars (by market segment)SuperminiPlug-in Hybrid Electric Vehiclekm</v>
          </cell>
          <cell r="K595" t="str">
            <v>UK electricity for Evs Supermini Plug-in Hybrid Electric Vehicle km</v>
          </cell>
          <cell r="L595">
            <v>3.0569999999999996E-2</v>
          </cell>
        </row>
        <row r="596">
          <cell r="J596" t="str">
            <v>Scope 2UK electricity for EvsCars (by market segment)SuperminiPlug-in Hybrid Electric Vehiclemiles</v>
          </cell>
          <cell r="K596" t="str">
            <v>Supermini Plug-in Hybrid Electric Vehicle miles</v>
          </cell>
          <cell r="L596">
            <v>4.9200000000000001E-2</v>
          </cell>
        </row>
        <row r="597">
          <cell r="J597" t="str">
            <v>Scope 2UK electricity for EvsCars (by market segment)SuperminiBattery Electric Vehiclekm</v>
          </cell>
          <cell r="K597" t="str">
            <v>UK electricity for Evs Supermini Battery Electric Vehicle km</v>
          </cell>
          <cell r="L597">
            <v>4.24E-2</v>
          </cell>
        </row>
        <row r="598">
          <cell r="J598" t="str">
            <v>Scope 2UK electricity for EvsCars (by market segment)SuperminiBattery Electric Vehiclemiles</v>
          </cell>
          <cell r="K598" t="str">
            <v>Supermini Battery Electric Vehicle miles</v>
          </cell>
          <cell r="L598">
            <v>6.8249999999999991E-2</v>
          </cell>
        </row>
        <row r="599">
          <cell r="J599" t="str">
            <v>Scope 2UK electricity for EvsCars (by market segment)Lower mediumPlug-in Hybrid Electric Vehiclekm</v>
          </cell>
          <cell r="K599" t="str">
            <v>UK electricity for Evs Lower medium Plug-in Hybrid Electric Vehicle km</v>
          </cell>
          <cell r="L599">
            <v>1.9650000000000001E-2</v>
          </cell>
        </row>
        <row r="600">
          <cell r="J600" t="str">
            <v>Scope 2UK electricity for EvsCars (by market segment)Lower mediumPlug-in Hybrid Electric Vehiclemiles</v>
          </cell>
          <cell r="K600" t="str">
            <v>Lower medium Plug-in Hybrid Electric Vehicle miles</v>
          </cell>
          <cell r="L600">
            <v>3.1629999999999998E-2</v>
          </cell>
        </row>
        <row r="601">
          <cell r="J601" t="str">
            <v>Scope 2UK electricity for EvsCars (by market segment)Lower mediumBattery Electric Vehiclekm</v>
          </cell>
          <cell r="K601" t="str">
            <v>UK electricity for Evs Lower medium Battery Electric Vehicle km</v>
          </cell>
          <cell r="L601">
            <v>4.8279999999999997E-2</v>
          </cell>
        </row>
        <row r="602">
          <cell r="J602" t="str">
            <v>Scope 2UK electricity for EvsCars (by market segment)Lower mediumBattery Electric Vehiclemiles</v>
          </cell>
          <cell r="K602" t="str">
            <v>Lower medium Battery Electric Vehicle miles</v>
          </cell>
          <cell r="L602">
            <v>7.7710000000000001E-2</v>
          </cell>
        </row>
        <row r="603">
          <cell r="J603" t="str">
            <v>Scope 2UK electricity for EvsCars (by market segment)Upper mediumPlug-in Hybrid Electric Vehiclekm</v>
          </cell>
          <cell r="K603" t="str">
            <v>UK electricity for Evs Upper medium Plug-in Hybrid Electric Vehicle km</v>
          </cell>
          <cell r="L603">
            <v>1.9860000000000003E-2</v>
          </cell>
        </row>
        <row r="604">
          <cell r="J604" t="str">
            <v>Scope 2UK electricity for EvsCars (by market segment)Upper mediumPlug-in Hybrid Electric Vehiclemiles</v>
          </cell>
          <cell r="K604" t="str">
            <v>Upper medium Plug-in Hybrid Electric Vehicle miles</v>
          </cell>
          <cell r="L604">
            <v>3.1970000000000005E-2</v>
          </cell>
        </row>
        <row r="605">
          <cell r="J605" t="str">
            <v>Scope 2UK electricity for EvsCars (by market segment)Upper mediumBattery Electric Vehiclekm</v>
          </cell>
          <cell r="K605" t="str">
            <v>UK electricity for Evs Upper medium Battery Electric Vehicle km</v>
          </cell>
          <cell r="L605">
            <v>3.567E-2</v>
          </cell>
        </row>
        <row r="606">
          <cell r="J606" t="str">
            <v>Scope 2UK electricity for EvsCars (by market segment)Upper mediumBattery Electric Vehiclemiles</v>
          </cell>
          <cell r="K606" t="str">
            <v>Upper medium Battery Electric Vehicle miles</v>
          </cell>
          <cell r="L606">
            <v>5.7410000000000003E-2</v>
          </cell>
        </row>
        <row r="607">
          <cell r="J607" t="str">
            <v>Scope 2UK electricity for EvsCars (by market segment)ExecutivePlug-in Hybrid Electric Vehiclekm</v>
          </cell>
          <cell r="K607" t="str">
            <v>UK electricity for Evs Executive Plug-in Hybrid Electric Vehicle km</v>
          </cell>
          <cell r="L607">
            <v>2.0320000000000001E-2</v>
          </cell>
        </row>
        <row r="608">
          <cell r="J608" t="str">
            <v>Scope 2UK electricity for EvsCars (by market segment)ExecutivePlug-in Hybrid Electric Vehiclemiles</v>
          </cell>
          <cell r="K608" t="str">
            <v>Executive Plug-in Hybrid Electric Vehicle miles</v>
          </cell>
          <cell r="L608">
            <v>3.2690000000000004E-2</v>
          </cell>
        </row>
        <row r="609">
          <cell r="J609" t="str">
            <v>Scope 2UK electricity for EvsCars (by market segment)ExecutiveBattery Electric Vehiclekm</v>
          </cell>
          <cell r="K609" t="str">
            <v>UK electricity for Evs Executive Battery Electric Vehicle km</v>
          </cell>
          <cell r="L609">
            <v>4.7060000000000005E-2</v>
          </cell>
        </row>
        <row r="610">
          <cell r="J610" t="str">
            <v>Scope 2UK electricity for EvsCars (by market segment)ExecutiveBattery Electric Vehiclemiles</v>
          </cell>
          <cell r="K610" t="str">
            <v>Executive Battery Electric Vehicle miles</v>
          </cell>
          <cell r="L610">
            <v>7.5730000000000006E-2</v>
          </cell>
        </row>
        <row r="611">
          <cell r="J611" t="str">
            <v>Scope 2UK electricity for EvsCars (by market segment)LuxuryPlug-in Hybrid Electric Vehiclekm</v>
          </cell>
          <cell r="K611" t="str">
            <v>UK electricity for Evs Luxury Plug-in Hybrid Electric Vehicle km</v>
          </cell>
          <cell r="L611">
            <v>2.2630000000000001E-2</v>
          </cell>
        </row>
        <row r="612">
          <cell r="J612" t="str">
            <v>Scope 2UK electricity for EvsCars (by market segment)LuxuryPlug-in Hybrid Electric Vehiclemiles</v>
          </cell>
          <cell r="K612" t="str">
            <v>Luxury Plug-in Hybrid Electric Vehicle miles</v>
          </cell>
          <cell r="L612">
            <v>3.6420000000000001E-2</v>
          </cell>
        </row>
        <row r="613">
          <cell r="J613" t="str">
            <v>Scope 2UK electricity for EvsCars (by market segment)LuxuryBattery Electric Vehiclekm</v>
          </cell>
          <cell r="K613" t="str">
            <v>UK electricity for Evs Luxury Battery Electric Vehicle km</v>
          </cell>
          <cell r="L613">
            <v>5.4960000000000002E-2</v>
          </cell>
        </row>
        <row r="614">
          <cell r="J614" t="str">
            <v>Scope 2UK electricity for EvsCars (by market segment)LuxuryBattery Electric Vehiclemiles</v>
          </cell>
          <cell r="K614" t="str">
            <v>Luxury Battery Electric Vehicle miles</v>
          </cell>
          <cell r="L614">
            <v>8.8450000000000001E-2</v>
          </cell>
        </row>
        <row r="615">
          <cell r="J615" t="str">
            <v>Scope 2UK electricity for EvsCars (by market segment)SportsPlug-in Hybrid Electric Vehiclekm</v>
          </cell>
          <cell r="K615" t="str">
            <v>UK electricity for Evs Sports Plug-in Hybrid Electric Vehicle km</v>
          </cell>
          <cell r="L615">
            <v>1.685E-2</v>
          </cell>
        </row>
        <row r="616">
          <cell r="J616" t="str">
            <v>Scope 2UK electricity for EvsCars (by market segment)SportsPlug-in Hybrid Electric Vehiclemiles</v>
          </cell>
          <cell r="K616" t="str">
            <v>Sports Plug-in Hybrid Electric Vehicle miles</v>
          </cell>
          <cell r="L616">
            <v>2.7109999999999999E-2</v>
          </cell>
        </row>
        <row r="617">
          <cell r="J617" t="str">
            <v>Scope 2UK electricity for EvsCars (by market segment)SportsBattery Electric Vehiclekm</v>
          </cell>
          <cell r="K617" t="str">
            <v>UK electricity for Evs Sports Battery Electric Vehicle km</v>
          </cell>
          <cell r="L617">
            <v>6.8659999999999999E-2</v>
          </cell>
        </row>
        <row r="618">
          <cell r="J618" t="str">
            <v>Scope 2UK electricity for EvsCars (by market segment)SportsBattery Electric Vehiclemiles</v>
          </cell>
          <cell r="K618" t="str">
            <v>Sports Battery Electric Vehicle miles</v>
          </cell>
          <cell r="L618">
            <v>0.1105</v>
          </cell>
        </row>
        <row r="619">
          <cell r="J619" t="str">
            <v>Scope 2UK electricity for EvsCars (by market segment)Dual purpose 4X4Plug-in Hybrid Electric Vehiclekm</v>
          </cell>
          <cell r="K619" t="str">
            <v>UK electricity for Evs Dual purpose 4X4 Plug-in Hybrid Electric Vehicle km</v>
          </cell>
          <cell r="L619">
            <v>2.7709999999999999E-2</v>
          </cell>
        </row>
        <row r="620">
          <cell r="J620" t="str">
            <v>Scope 2UK electricity for EvsCars (by market segment)Dual purpose 4X4Plug-in Hybrid Electric Vehiclemiles</v>
          </cell>
          <cell r="K620" t="str">
            <v>Dual purpose 4X4 Plug-in Hybrid Electric Vehicle miles</v>
          </cell>
          <cell r="L620">
            <v>4.4609999999999997E-2</v>
          </cell>
        </row>
        <row r="621">
          <cell r="J621" t="str">
            <v>Scope 2UK electricity for EvsCars (by market segment)Dual purpose 4X4Battery Electric Vehiclekm</v>
          </cell>
          <cell r="K621" t="str">
            <v>UK electricity for Evs Dual purpose 4X4 Battery Electric Vehicle km</v>
          </cell>
          <cell r="L621">
            <v>6.2630000000000005E-2</v>
          </cell>
        </row>
        <row r="622">
          <cell r="J622" t="str">
            <v>Scope 2UK electricity for EvsCars (by market segment)Dual purpose 4X4Battery Electric Vehiclemiles</v>
          </cell>
          <cell r="K622" t="str">
            <v>Dual purpose 4X4 Battery Electric Vehicle miles</v>
          </cell>
          <cell r="L622">
            <v>0.10081</v>
          </cell>
        </row>
        <row r="623">
          <cell r="J623" t="str">
            <v>Scope 2UK electricity for EvsCars (by market segment)MPVPlug-in Hybrid Electric Vehiclekm</v>
          </cell>
          <cell r="K623" t="str">
            <v>UK electricity for Evs MPV Plug-in Hybrid Electric Vehicle km</v>
          </cell>
        </row>
        <row r="624">
          <cell r="J624" t="str">
            <v>Scope 2UK electricity for EvsCars (by market segment)MPVPlug-in Hybrid Electric Vehiclemiles</v>
          </cell>
          <cell r="K624" t="str">
            <v>MPV Plug-in Hybrid Electric Vehicle miles</v>
          </cell>
        </row>
        <row r="625">
          <cell r="J625" t="str">
            <v>Scope 2UK electricity for EvsCars (by market segment)MPVBattery Electric Vehiclekm</v>
          </cell>
          <cell r="K625" t="str">
            <v>UK electricity for Evs MPV Battery Electric Vehicle km</v>
          </cell>
          <cell r="L625">
            <v>6.3460000000000003E-2</v>
          </cell>
        </row>
        <row r="626">
          <cell r="J626" t="str">
            <v>Scope 2UK electricity for EvsCars (by market segment)MPVBattery Electric Vehiclemiles</v>
          </cell>
          <cell r="K626" t="str">
            <v>MPV Battery Electric Vehicle miles</v>
          </cell>
          <cell r="L626">
            <v>0.10212</v>
          </cell>
        </row>
        <row r="627">
          <cell r="J627" t="str">
            <v>Scope 2UK electricity for EvsCars (by size)Small carPlug-in Hybrid Electric Vehiclekm</v>
          </cell>
          <cell r="K627" t="str">
            <v>UK electricity for Evs Small car Plug-in Hybrid Electric Vehicle km</v>
          </cell>
          <cell r="L627">
            <v>3.0569999999999996E-2</v>
          </cell>
        </row>
        <row r="628">
          <cell r="J628" t="str">
            <v>Scope 2UK electricity for EvsCars (by size)Small carPlug-in Hybrid Electric Vehiclemiles</v>
          </cell>
          <cell r="K628" t="str">
            <v>Small car Plug-in Hybrid Electric Vehicle miles</v>
          </cell>
          <cell r="L628">
            <v>4.9200000000000001E-2</v>
          </cell>
        </row>
        <row r="629">
          <cell r="J629" t="str">
            <v>Scope 2UK electricity for EvsCars (by size)Small carBattery Electric Vehiclekm</v>
          </cell>
          <cell r="K629" t="str">
            <v>UK electricity for Evs Small car Battery Electric Vehicle km</v>
          </cell>
          <cell r="L629">
            <v>4.1950000000000001E-2</v>
          </cell>
        </row>
        <row r="630">
          <cell r="J630" t="str">
            <v>Scope 2UK electricity for EvsCars (by size)Small carBattery Electric Vehiclemiles</v>
          </cell>
          <cell r="K630" t="str">
            <v>Small car Battery Electric Vehicle miles</v>
          </cell>
          <cell r="L630">
            <v>6.7500000000000004E-2</v>
          </cell>
        </row>
        <row r="631">
          <cell r="J631" t="str">
            <v>Scope 2UK electricity for EvsCars (by size)Medium carPlug-in Hybrid Electric Vehiclekm</v>
          </cell>
          <cell r="K631" t="str">
            <v>UK electricity for Evs Medium car Plug-in Hybrid Electric Vehicle km</v>
          </cell>
          <cell r="L631">
            <v>1.9770000000000003E-2</v>
          </cell>
        </row>
        <row r="632">
          <cell r="J632" t="str">
            <v>Scope 2UK electricity for EvsCars (by size)Medium carPlug-in Hybrid Electric Vehiclemiles</v>
          </cell>
          <cell r="K632" t="str">
            <v>Medium car Plug-in Hybrid Electric Vehicle miles</v>
          </cell>
          <cell r="L632">
            <v>3.1809999999999998E-2</v>
          </cell>
        </row>
        <row r="633">
          <cell r="J633" t="str">
            <v>Scope 2UK electricity for EvsCars (by size)Medium carBattery Electric Vehiclekm</v>
          </cell>
          <cell r="K633" t="str">
            <v>UK electricity for Evs Medium car Battery Electric Vehicle km</v>
          </cell>
          <cell r="L633">
            <v>4.8259999999999997E-2</v>
          </cell>
        </row>
        <row r="634">
          <cell r="J634" t="str">
            <v>Scope 2UK electricity for EvsCars (by size)Medium carBattery Electric Vehiclemiles</v>
          </cell>
          <cell r="K634" t="str">
            <v>Medium car Battery Electric Vehicle miles</v>
          </cell>
          <cell r="L634">
            <v>7.7670000000000003E-2</v>
          </cell>
        </row>
        <row r="635">
          <cell r="J635" t="str">
            <v>Scope 2UK electricity for EvsCars (by size)Large carPlug-in Hybrid Electric Vehiclekm</v>
          </cell>
          <cell r="K635" t="str">
            <v>UK electricity for Evs Large car Plug-in Hybrid Electric Vehicle km</v>
          </cell>
          <cell r="L635">
            <v>2.5899999999999999E-2</v>
          </cell>
        </row>
        <row r="636">
          <cell r="J636" t="str">
            <v>Scope 2UK electricity for EvsCars (by size)Large carPlug-in Hybrid Electric Vehiclemiles</v>
          </cell>
          <cell r="K636" t="str">
            <v>Large car Plug-in Hybrid Electric Vehicle miles</v>
          </cell>
          <cell r="L636">
            <v>4.1680000000000002E-2</v>
          </cell>
        </row>
        <row r="637">
          <cell r="J637" t="str">
            <v>Scope 2UK electricity for EvsCars (by size)Large carBattery Electric Vehiclekm</v>
          </cell>
          <cell r="K637" t="str">
            <v>UK electricity for Evs Large car Battery Electric Vehicle km</v>
          </cell>
          <cell r="L637">
            <v>5.5730000000000002E-2</v>
          </cell>
        </row>
        <row r="638">
          <cell r="J638" t="str">
            <v>Scope 2UK electricity for EvsCars (by size)Large carBattery Electric Vehiclemiles</v>
          </cell>
          <cell r="K638" t="str">
            <v>Large car Battery Electric Vehicle miles</v>
          </cell>
          <cell r="L638">
            <v>8.9689999999999992E-2</v>
          </cell>
        </row>
        <row r="639">
          <cell r="J639" t="str">
            <v>Scope 2UK electricity for EvsCars (by size)Average carPlug-in Hybrid Electric Vehiclekm</v>
          </cell>
          <cell r="K639" t="str">
            <v>UK electricity for Evs Average car Plug-in Hybrid Electric Vehicle km</v>
          </cell>
          <cell r="L639">
            <v>2.383E-2</v>
          </cell>
        </row>
        <row r="640">
          <cell r="J640" t="str">
            <v>Scope 2UK electricity for EvsCars (by size)Average carPlug-in Hybrid Electric Vehiclemiles</v>
          </cell>
          <cell r="K640" t="str">
            <v>Average car Plug-in Hybrid Electric Vehicle miles</v>
          </cell>
          <cell r="L640">
            <v>3.8350000000000002E-2</v>
          </cell>
        </row>
        <row r="641">
          <cell r="J641" t="str">
            <v>Scope 2UK electricity for EvsCars (by size)Average carBattery Electric Vehiclekm</v>
          </cell>
          <cell r="K641" t="str">
            <v>UK electricity for Evs Average car Battery Electric Vehicle km</v>
          </cell>
          <cell r="L641">
            <v>5.0310000000000001E-2</v>
          </cell>
        </row>
        <row r="642">
          <cell r="J642" t="str">
            <v>Scope 2UK electricity for EvsCars (by size)Average carBattery Electric Vehiclemiles</v>
          </cell>
          <cell r="K642" t="str">
            <v>Average car Battery Electric Vehicle miles</v>
          </cell>
          <cell r="L642">
            <v>8.097E-2</v>
          </cell>
        </row>
        <row r="643">
          <cell r="J643" t="str">
            <v>Scope 2UK electricity for EvsVansClass I (up to 1.305 tonnes)Plug-in Hybrid Electric Vehiclekm</v>
          </cell>
          <cell r="K643" t="str">
            <v>UK electricity for Evs Class I (up to 1.305 tonnes) Plug-in Hybrid Electric Vehicle km</v>
          </cell>
        </row>
        <row r="644">
          <cell r="J644" t="str">
            <v>Scope 2UK electricity for EvsVansClass I (up to 1.305 tonnes)Plug-in Hybrid Electric Vehiclemiles</v>
          </cell>
          <cell r="K644" t="str">
            <v>Class I (up to 1.305 tonnes) Plug-in Hybrid Electric Vehicle miles</v>
          </cell>
        </row>
        <row r="645">
          <cell r="J645" t="str">
            <v>Scope 2UK electricity for EvsVansClass I (up to 1.305 tonnes)Plug-in Hybrid Electric Vehicletonne.km</v>
          </cell>
          <cell r="K645" t="str">
            <v>UK electricity for Evs Class I (up to 1.305 tonnes) Plug-in Hybrid Electric Vehicle tonne.km</v>
          </cell>
        </row>
        <row r="646">
          <cell r="J646" t="str">
            <v>Scope 2UK electricity for EvsVansClass I (up to 1.305 tonnes)Battery Electric Vehiclekm</v>
          </cell>
          <cell r="K646" t="str">
            <v>UK electricity for Evs Class I (up to 1.305 tonnes) Battery Electric Vehicle km</v>
          </cell>
          <cell r="L646">
            <v>3.6340000000000004E-2</v>
          </cell>
        </row>
        <row r="647">
          <cell r="J647" t="str">
            <v>Scope 2UK electricity for EvsVansClass I (up to 1.305 tonnes)Battery Electric Vehiclemiles</v>
          </cell>
          <cell r="K647" t="str">
            <v>Class I (up to 1.305 tonnes) Battery Electric Vehicle miles</v>
          </cell>
          <cell r="L647">
            <v>5.8489999999999993E-2</v>
          </cell>
        </row>
        <row r="648">
          <cell r="J648" t="str">
            <v>Scope 2UK electricity for EvsVansClass I (up to 1.305 tonnes)Battery Electric Vehicletonne.km</v>
          </cell>
          <cell r="K648" t="str">
            <v>UK electricity for Evs Class I (up to 1.305 tonnes) Battery Electric Vehicle tonne.km</v>
          </cell>
          <cell r="L648">
            <v>0.17250000000000001</v>
          </cell>
        </row>
        <row r="649">
          <cell r="J649" t="str">
            <v>Scope 2UK electricity for EvsVansClass II (1.305 to 1.74 tonnes)Plug-in Hybrid Electric Vehiclekm</v>
          </cell>
          <cell r="K649" t="str">
            <v>UK electricity for Evs Class II (1.305 to 1.74 tonnes) Plug-in Hybrid Electric Vehicle km</v>
          </cell>
        </row>
        <row r="650">
          <cell r="J650" t="str">
            <v>Scope 2UK electricity for EvsVansClass II (1.305 to 1.74 tonnes)Plug-in Hybrid Electric Vehiclemiles</v>
          </cell>
          <cell r="K650" t="str">
            <v>Class II (1.305 to 1.74 tonnes) Plug-in Hybrid Electric Vehicle miles</v>
          </cell>
        </row>
        <row r="651">
          <cell r="J651" t="str">
            <v>Scope 2UK electricity for EvsVansClass II (1.305 to 1.74 tonnes)Plug-in Hybrid Electric Vehicletonne.km</v>
          </cell>
          <cell r="K651" t="str">
            <v>UK electricity for Evs Class II (1.305 to 1.74 tonnes) Plug-in Hybrid Electric Vehicle tonne.km</v>
          </cell>
        </row>
        <row r="652">
          <cell r="J652" t="str">
            <v>Scope 2UK electricity for EvsVansClass II (1.305 to 1.74 tonnes)Battery Electric Vehiclekm</v>
          </cell>
          <cell r="K652" t="str">
            <v>UK electricity for Evs Class II (1.305 to 1.74 tonnes) Battery Electric Vehicle km</v>
          </cell>
          <cell r="L652">
            <v>5.0160000000000003E-2</v>
          </cell>
        </row>
        <row r="653">
          <cell r="J653" t="str">
            <v>Scope 2UK electricity for EvsVansClass II (1.305 to 1.74 tonnes)Battery Electric Vehiclemiles</v>
          </cell>
          <cell r="K653" t="str">
            <v>Class II (1.305 to 1.74 tonnes) Battery Electric Vehicle miles</v>
          </cell>
          <cell r="L653">
            <v>8.072E-2</v>
          </cell>
        </row>
        <row r="654">
          <cell r="J654" t="str">
            <v>Scope 2UK electricity for EvsVansClass II (1.305 to 1.74 tonnes)Battery Electric Vehicletonne.km</v>
          </cell>
          <cell r="K654" t="str">
            <v>UK electricity for Evs Class II (1.305 to 1.74 tonnes) Battery Electric Vehicle tonne.km</v>
          </cell>
          <cell r="L654">
            <v>0.22578000000000001</v>
          </cell>
        </row>
        <row r="655">
          <cell r="J655" t="str">
            <v>Scope 2UK electricity for EvsVansClass III (1.74 to 3.5 tonnes)Plug-in Hybrid Electric Vehiclekm</v>
          </cell>
          <cell r="K655" t="str">
            <v>UK electricity for Evs Class III (1.74 to 3.5 tonnes) Plug-in Hybrid Electric Vehicle km</v>
          </cell>
        </row>
        <row r="656">
          <cell r="J656" t="str">
            <v>Scope 2UK electricity for EvsVansClass III (1.74 to 3.5 tonnes)Plug-in Hybrid Electric Vehiclemiles</v>
          </cell>
          <cell r="K656" t="str">
            <v>Class III (1.74 to 3.5 tonnes) Plug-in Hybrid Electric Vehicle miles</v>
          </cell>
        </row>
        <row r="657">
          <cell r="J657" t="str">
            <v>Scope 2UK electricity for EvsVansClass III (1.74 to 3.5 tonnes)Plug-in Hybrid Electric Vehicletonne.km</v>
          </cell>
          <cell r="K657" t="str">
            <v>UK electricity for Evs Class III (1.74 to 3.5 tonnes) Plug-in Hybrid Electric Vehicle tonne.km</v>
          </cell>
        </row>
        <row r="658">
          <cell r="J658" t="str">
            <v>Scope 2UK electricity for EvsVansClass III (1.74 to 3.5 tonnes)Battery Electric Vehiclekm</v>
          </cell>
          <cell r="K658" t="str">
            <v>UK electricity for Evs Class III (1.74 to 3.5 tonnes) Battery Electric Vehicle km</v>
          </cell>
          <cell r="L658">
            <v>7.0370000000000002E-2</v>
          </cell>
        </row>
        <row r="659">
          <cell r="J659" t="str">
            <v>Scope 2UK electricity for EvsVansClass III (1.74 to 3.5 tonnes)Battery Electric Vehiclemiles</v>
          </cell>
          <cell r="K659" t="str">
            <v>Class III (1.74 to 3.5 tonnes) Battery Electric Vehicle miles</v>
          </cell>
          <cell r="L659">
            <v>0.11325</v>
          </cell>
        </row>
        <row r="660">
          <cell r="J660" t="str">
            <v>Scope 2UK electricity for EvsVansClass III (1.74 to 3.5 tonnes)Battery Electric Vehicletonne.km</v>
          </cell>
          <cell r="K660" t="str">
            <v>UK electricity for Evs Class III (1.74 to 3.5 tonnes) Battery Electric Vehicle tonne.km</v>
          </cell>
          <cell r="L660">
            <v>0.21071000000000001</v>
          </cell>
        </row>
        <row r="661">
          <cell r="J661" t="str">
            <v>Scope 2UK electricity for EvsVansAverage (up to 3.5 tonnes)Plug-in Hybrid Electric Vehiclekm</v>
          </cell>
          <cell r="K661" t="str">
            <v>UK electricity for Evs Average (up to 3.5 tonnes) Plug-in Hybrid Electric Vehicle km</v>
          </cell>
        </row>
        <row r="662">
          <cell r="J662" t="str">
            <v>Scope 2UK electricity for EvsVansAverage (up to 3.5 tonnes)Plug-in Hybrid Electric Vehiclemiles</v>
          </cell>
          <cell r="K662" t="str">
            <v>Average (up to 3.5 tonnes) Plug-in Hybrid Electric Vehicle miles</v>
          </cell>
        </row>
        <row r="663">
          <cell r="J663" t="str">
            <v>Scope 2UK electricity for EvsVansAverage (up to 3.5 tonnes)Plug-in Hybrid Electric Vehicletonne.km</v>
          </cell>
          <cell r="K663" t="str">
            <v>UK electricity for Evs Average (up to 3.5 tonnes) Plug-in Hybrid Electric Vehicle tonne.km</v>
          </cell>
        </row>
        <row r="664">
          <cell r="J664" t="str">
            <v>Scope 2UK electricity for EvsVansAverage (up to 3.5 tonnes)Battery Electric Vehiclekm</v>
          </cell>
          <cell r="K664" t="str">
            <v>UK electricity for Evs Average (up to 3.5 tonnes) Battery Electric Vehicle km</v>
          </cell>
          <cell r="L664">
            <v>5.0200000000000002E-2</v>
          </cell>
        </row>
        <row r="665">
          <cell r="J665" t="str">
            <v>Scope 2UK electricity for EvsVansAverage (up to 3.5 tonnes)Battery Electric Vehiclemiles</v>
          </cell>
          <cell r="K665" t="str">
            <v>Average (up to 3.5 tonnes) Battery Electric Vehicle miles</v>
          </cell>
          <cell r="L665">
            <v>8.0780000000000005E-2</v>
          </cell>
        </row>
        <row r="666">
          <cell r="J666" t="str">
            <v>Scope 2UK electricity for EvsVansAverage (up to 3.5 tonnes)Battery Electric Vehicletonne.km</v>
          </cell>
          <cell r="K666" t="str">
            <v>UK electricity for Evs Average (up to 3.5 tonnes) Battery Electric Vehicle tonne.km</v>
          </cell>
          <cell r="L666">
            <v>0.22551000000000002</v>
          </cell>
        </row>
        <row r="667">
          <cell r="J667" t="str">
            <v>Scope 2Heat and steamHeat and steamOnsite heat and steamkWh</v>
          </cell>
          <cell r="K667" t="str">
            <v>Onsite heat and steam</v>
          </cell>
          <cell r="L667">
            <v>0.17072999999999999</v>
          </cell>
        </row>
        <row r="668">
          <cell r="J668" t="str">
            <v>Scope 2Heat and steamHeat and steamDistrict heat and steamkWh</v>
          </cell>
          <cell r="K668" t="str">
            <v>District heat and steam</v>
          </cell>
          <cell r="L668">
            <v>0.17072999999999999</v>
          </cell>
        </row>
        <row r="669">
          <cell r="J669" t="str">
            <v>Scope 3Water supplyWater supplyWater supplycubic metres</v>
          </cell>
          <cell r="K669" t="str">
            <v>Water supply cubic metres</v>
          </cell>
          <cell r="L669">
            <v>0.14899999999999999</v>
          </cell>
        </row>
        <row r="670">
          <cell r="J670" t="str">
            <v>Scope 3Water supplyWater supplyWater supplymillion litres</v>
          </cell>
          <cell r="K670" t="str">
            <v>Water supply million litres</v>
          </cell>
          <cell r="L670">
            <v>149</v>
          </cell>
        </row>
        <row r="671">
          <cell r="J671" t="str">
            <v>Scope 3Water treatmentWater treatmentWater treatmentcubic metres</v>
          </cell>
          <cell r="K671" t="str">
            <v>Water treatment cubic metres</v>
          </cell>
          <cell r="L671">
            <v>0.27200000000000002</v>
          </cell>
        </row>
        <row r="672">
          <cell r="J672" t="str">
            <v>Scope 3Water treatmentWater treatmentWater treatmentmillion litres</v>
          </cell>
          <cell r="K672" t="str">
            <v>Water treatment million litres</v>
          </cell>
          <cell r="L672">
            <v>272</v>
          </cell>
        </row>
        <row r="673">
          <cell r="J673" t="str">
            <v>Scope 3Material useConstructionAggregatesPrimary material productiontonnes</v>
          </cell>
          <cell r="K673" t="str">
            <v>Aggregates</v>
          </cell>
          <cell r="L673">
            <v>7.7589015999999997</v>
          </cell>
        </row>
        <row r="674">
          <cell r="J674" t="str">
            <v>Scope 3Material useConstructionAggregatesRe-usedtonnes</v>
          </cell>
          <cell r="K674" t="str">
            <v>Aggregates</v>
          </cell>
          <cell r="L674">
            <v>2.21</v>
          </cell>
        </row>
        <row r="675">
          <cell r="J675" t="str">
            <v>Scope 3Material useConstructionAggregatesOpen-loop sourcetonnes</v>
          </cell>
          <cell r="K675" t="str">
            <v>Aggregates</v>
          </cell>
          <cell r="L675">
            <v>3.1991415999999999</v>
          </cell>
        </row>
        <row r="676">
          <cell r="J676" t="str">
            <v>Scope 3Material useConstructionAggregatesClosed-loop sourcetonnes</v>
          </cell>
          <cell r="K676" t="str">
            <v>Aggregates</v>
          </cell>
          <cell r="L676">
            <v>3.1991415999999999</v>
          </cell>
        </row>
        <row r="677">
          <cell r="J677" t="str">
            <v>Scope 3Material useConstructionAverage constructionPrimary material productiontonnes</v>
          </cell>
          <cell r="K677" t="str">
            <v>Average construction</v>
          </cell>
          <cell r="L677">
            <v>79.973672608544746</v>
          </cell>
        </row>
        <row r="678">
          <cell r="J678" t="str">
            <v>Scope 3Material useConstructionAverage constructionRe-usedtonnes</v>
          </cell>
          <cell r="K678" t="str">
            <v>Average construction</v>
          </cell>
          <cell r="L678" t="str">
            <v/>
          </cell>
        </row>
        <row r="679">
          <cell r="J679" t="str">
            <v>Scope 3Material useConstructionAverage constructionOpen-loop sourcetonnes</v>
          </cell>
          <cell r="K679" t="str">
            <v>Average construction</v>
          </cell>
          <cell r="L679" t="str">
            <v/>
          </cell>
        </row>
        <row r="680">
          <cell r="J680" t="str">
            <v>Scope 3Material useConstructionAverage constructionClosed-loop sourcetonnes</v>
          </cell>
          <cell r="K680" t="str">
            <v>Average construction</v>
          </cell>
          <cell r="L680" t="str">
            <v/>
          </cell>
        </row>
        <row r="681">
          <cell r="J681" t="str">
            <v>Scope 3Material useConstructionAsbestosPrimary material productiontonnes</v>
          </cell>
          <cell r="K681" t="str">
            <v>Asbestos</v>
          </cell>
          <cell r="L681">
            <v>27</v>
          </cell>
        </row>
        <row r="682">
          <cell r="J682" t="str">
            <v>Scope 3Material useConstructionAsbestosRe-usedtonnes</v>
          </cell>
          <cell r="K682" t="str">
            <v>Asbestos</v>
          </cell>
          <cell r="L682" t="str">
            <v/>
          </cell>
        </row>
        <row r="683">
          <cell r="J683" t="str">
            <v>Scope 3Material useConstructionAsbestosOpen-loop sourcetonnes</v>
          </cell>
          <cell r="K683" t="str">
            <v>Asbestos</v>
          </cell>
          <cell r="L683" t="str">
            <v/>
          </cell>
        </row>
        <row r="684">
          <cell r="J684" t="str">
            <v>Scope 3Material useConstructionAsbestosClosed-loop sourcetonnes</v>
          </cell>
          <cell r="K684" t="str">
            <v>Asbestos</v>
          </cell>
          <cell r="L684" t="str">
            <v/>
          </cell>
        </row>
        <row r="685">
          <cell r="J685" t="str">
            <v>Scope 3Material useConstructionAsphaltPrimary material productiontonnes</v>
          </cell>
          <cell r="K685" t="str">
            <v>Asphalt</v>
          </cell>
          <cell r="L685">
            <v>39.212491828577981</v>
          </cell>
        </row>
        <row r="686">
          <cell r="J686" t="str">
            <v>Scope 3Material useConstructionAsphaltRe-usedtonnes</v>
          </cell>
          <cell r="K686" t="str">
            <v>Asphalt</v>
          </cell>
          <cell r="L686">
            <v>1.7382608695652175</v>
          </cell>
        </row>
        <row r="687">
          <cell r="J687" t="str">
            <v>Scope 3Material useConstructionAsphaltOpen-loop sourcetonnes</v>
          </cell>
          <cell r="K687" t="str">
            <v>Asphalt</v>
          </cell>
          <cell r="L687" t="str">
            <v/>
          </cell>
        </row>
        <row r="688">
          <cell r="J688" t="str">
            <v>Scope 3Material useConstructionAsphaltClosed-loop sourcetonnes</v>
          </cell>
          <cell r="K688" t="str">
            <v>Asphalt</v>
          </cell>
          <cell r="L688">
            <v>28.659141600000002</v>
          </cell>
        </row>
        <row r="689">
          <cell r="J689" t="str">
            <v>Scope 3Material useConstructionBricksPrimary material productiontonnes</v>
          </cell>
          <cell r="K689" t="str">
            <v>Bricks</v>
          </cell>
          <cell r="L689">
            <v>241.7589016</v>
          </cell>
        </row>
        <row r="690">
          <cell r="J690" t="str">
            <v>Scope 3Material useConstructionBricksRe-usedtonnes</v>
          </cell>
          <cell r="K690" t="str">
            <v>Bricks</v>
          </cell>
          <cell r="L690" t="str">
            <v/>
          </cell>
        </row>
        <row r="691">
          <cell r="J691" t="str">
            <v>Scope 3Material useConstructionBricksOpen-loop sourcetonnes</v>
          </cell>
          <cell r="K691" t="str">
            <v>Bricks</v>
          </cell>
          <cell r="L691">
            <v>3.1991415999999999</v>
          </cell>
        </row>
        <row r="692">
          <cell r="J692" t="str">
            <v>Scope 3Material useConstructionBricksClosed-loop sourcetonnes</v>
          </cell>
          <cell r="K692" t="str">
            <v>Bricks</v>
          </cell>
          <cell r="L692" t="str">
            <v/>
          </cell>
        </row>
        <row r="693">
          <cell r="J693" t="str">
            <v>Scope 3Material useConstructionConcretePrimary material productiontonnes</v>
          </cell>
          <cell r="K693" t="str">
            <v>Concrete</v>
          </cell>
          <cell r="L693">
            <v>131.7589016</v>
          </cell>
        </row>
        <row r="694">
          <cell r="J694" t="str">
            <v>Scope 3Material useConstructionConcreteRe-usedtonnes</v>
          </cell>
          <cell r="K694" t="str">
            <v>Concrete</v>
          </cell>
          <cell r="L694" t="str">
            <v/>
          </cell>
        </row>
        <row r="695">
          <cell r="J695" t="str">
            <v>Scope 3Material useConstructionConcreteOpen-loop sourcetonnes</v>
          </cell>
          <cell r="K695" t="str">
            <v>Concrete</v>
          </cell>
          <cell r="L695">
            <v>3.1991415999999999</v>
          </cell>
        </row>
        <row r="696">
          <cell r="J696" t="str">
            <v>Scope 3Material useConstructionConcreteClosed-loop sourcetonnes</v>
          </cell>
          <cell r="K696" t="str">
            <v>Concrete</v>
          </cell>
          <cell r="L696">
            <v>3.1991415999999999</v>
          </cell>
        </row>
        <row r="697">
          <cell r="J697" t="str">
            <v>Scope 3Material useConstructionInsulationPrimary material productiontonnes</v>
          </cell>
          <cell r="K697" t="str">
            <v>Insulation</v>
          </cell>
          <cell r="L697">
            <v>1861.7589015999999</v>
          </cell>
        </row>
        <row r="698">
          <cell r="J698" t="str">
            <v>Scope 3Material useConstructionInsulationRe-usedtonnes</v>
          </cell>
          <cell r="K698" t="str">
            <v>Insulation</v>
          </cell>
          <cell r="L698" t="str">
            <v/>
          </cell>
        </row>
        <row r="699">
          <cell r="J699" t="str">
            <v>Scope 3Material useConstructionInsulationOpen-loop sourcetonnes</v>
          </cell>
          <cell r="K699" t="str">
            <v>Insulation</v>
          </cell>
          <cell r="L699" t="str">
            <v/>
          </cell>
        </row>
        <row r="700">
          <cell r="J700" t="str">
            <v>Scope 3Material useConstructionInsulationClosed-loop sourcetonnes</v>
          </cell>
          <cell r="K700" t="str">
            <v>Insulation</v>
          </cell>
          <cell r="L700">
            <v>1852.0887747714219</v>
          </cell>
        </row>
        <row r="701">
          <cell r="J701" t="str">
            <v>Scope 3Material useConstructionMetalsPrimary material productiontonnes</v>
          </cell>
          <cell r="K701" t="str">
            <v>Metals</v>
          </cell>
          <cell r="L701">
            <v>3975.823373347368</v>
          </cell>
        </row>
        <row r="702">
          <cell r="J702" t="str">
            <v>Scope 3Material useConstructionMetalsRe-usedtonnes</v>
          </cell>
          <cell r="K702" t="str">
            <v>Metals</v>
          </cell>
          <cell r="L702" t="str">
            <v/>
          </cell>
        </row>
        <row r="703">
          <cell r="J703" t="str">
            <v>Scope 3Material useConstructionMetalsOpen-loop sourcetonnes</v>
          </cell>
          <cell r="K703" t="str">
            <v>Metals</v>
          </cell>
          <cell r="L703" t="str">
            <v/>
          </cell>
        </row>
        <row r="704">
          <cell r="J704" t="str">
            <v>Scope 3Material useConstructionMetalsClosed-loop sourcetonnes</v>
          </cell>
          <cell r="K704" t="str">
            <v>Metals</v>
          </cell>
          <cell r="L704">
            <v>1571.2703707999999</v>
          </cell>
        </row>
        <row r="705">
          <cell r="J705" t="str">
            <v>Scope 3Material useConstructionSoilsPrimary material productiontonnes</v>
          </cell>
          <cell r="K705" t="str">
            <v>Soils</v>
          </cell>
          <cell r="L705" t="str">
            <v/>
          </cell>
        </row>
        <row r="706">
          <cell r="J706" t="str">
            <v>Scope 3Material useConstructionSoilsRe-usedtonnes</v>
          </cell>
          <cell r="K706" t="str">
            <v>Soils</v>
          </cell>
          <cell r="L706" t="str">
            <v/>
          </cell>
        </row>
        <row r="707">
          <cell r="J707" t="str">
            <v>Scope 3Material useConstructionSoilsOpen-loop sourcetonnes</v>
          </cell>
          <cell r="K707" t="str">
            <v>Soils</v>
          </cell>
          <cell r="L707" t="str">
            <v/>
          </cell>
        </row>
        <row r="708">
          <cell r="J708" t="str">
            <v>Scope 3Material useConstructionSoilsClosed-loop sourcetonnes</v>
          </cell>
          <cell r="K708" t="str">
            <v>Soils</v>
          </cell>
          <cell r="L708">
            <v>0.98914159999999995</v>
          </cell>
        </row>
        <row r="709">
          <cell r="J709" t="str">
            <v>Scope 3Material useConstructionMineral oilPrimary material productiontonnes</v>
          </cell>
          <cell r="K709" t="str">
            <v>Mineral oil</v>
          </cell>
          <cell r="L709">
            <v>1401</v>
          </cell>
        </row>
        <row r="710">
          <cell r="J710" t="str">
            <v>Scope 3Material useConstructionMineral oilRe-usedtonnes</v>
          </cell>
          <cell r="K710" t="str">
            <v>Mineral oil</v>
          </cell>
          <cell r="L710" t="str">
            <v/>
          </cell>
        </row>
        <row r="711">
          <cell r="J711" t="str">
            <v>Scope 3Material useConstructionMineral oilOpen-loop sourcetonnes</v>
          </cell>
          <cell r="K711" t="str">
            <v>Mineral oil</v>
          </cell>
          <cell r="L711" t="str">
            <v/>
          </cell>
        </row>
        <row r="712">
          <cell r="J712" t="str">
            <v>Scope 3Material useConstructionMineral oilClosed-loop sourcetonnes</v>
          </cell>
          <cell r="K712" t="str">
            <v>Mineral oil</v>
          </cell>
          <cell r="L712">
            <v>676</v>
          </cell>
        </row>
        <row r="713">
          <cell r="J713" t="str">
            <v>Scope 3Material useConstructionPlasterboardPrimary material productiontonnes</v>
          </cell>
          <cell r="K713" t="str">
            <v>Plasterboard</v>
          </cell>
          <cell r="L713">
            <v>120.05000000000001</v>
          </cell>
        </row>
        <row r="714">
          <cell r="J714" t="str">
            <v>Scope 3Material useConstructionPlasterboardRe-usedtonnes</v>
          </cell>
          <cell r="K714" t="str">
            <v>Plasterboard</v>
          </cell>
          <cell r="L714" t="str">
            <v/>
          </cell>
        </row>
        <row r="715">
          <cell r="J715" t="str">
            <v>Scope 3Material useConstructionPlasterboardOpen-loop sourcetonnes</v>
          </cell>
          <cell r="K715" t="str">
            <v>Plasterboard</v>
          </cell>
          <cell r="L715" t="str">
            <v/>
          </cell>
        </row>
        <row r="716">
          <cell r="J716" t="str">
            <v>Scope 3Material useConstructionPlasterboardClosed-loop sourcetonnes</v>
          </cell>
          <cell r="K716" t="str">
            <v>Plasterboard</v>
          </cell>
          <cell r="L716">
            <v>32.17</v>
          </cell>
        </row>
        <row r="717">
          <cell r="J717" t="str">
            <v>Scope 3Material useConstructionTyresPrimary material productiontonnes</v>
          </cell>
          <cell r="K717" t="str">
            <v>Tyres</v>
          </cell>
          <cell r="L717">
            <v>3335.5718997142853</v>
          </cell>
        </row>
        <row r="718">
          <cell r="J718" t="str">
            <v>Scope 3Material useConstructionTyresRe-usedtonnes</v>
          </cell>
          <cell r="K718" t="str">
            <v>Tyres</v>
          </cell>
          <cell r="L718">
            <v>731.21788984800003</v>
          </cell>
        </row>
        <row r="719">
          <cell r="J719" t="str">
            <v>Scope 3Material useConstructionTyresOpen-loop sourcetonnes</v>
          </cell>
          <cell r="K719" t="str">
            <v>Tyres</v>
          </cell>
          <cell r="L719">
            <v>308.400153768</v>
          </cell>
        </row>
        <row r="720">
          <cell r="J720" t="str">
            <v>Scope 3Material useConstructionTyresClosed-loop sourcetonnes</v>
          </cell>
          <cell r="K720" t="str">
            <v>Tyres</v>
          </cell>
          <cell r="L720" t="str">
            <v/>
          </cell>
        </row>
        <row r="721">
          <cell r="J721" t="str">
            <v>Scope 3Material useConstructionWoodPrimary material productiontonnes</v>
          </cell>
          <cell r="K721" t="str">
            <v>Wood</v>
          </cell>
          <cell r="L721">
            <v>312.61178017290251</v>
          </cell>
        </row>
        <row r="722">
          <cell r="J722" t="str">
            <v>Scope 3Material useConstructionWoodRe-usedtonnes</v>
          </cell>
          <cell r="K722" t="str">
            <v>Wood</v>
          </cell>
          <cell r="L722">
            <v>38.542879110746853</v>
          </cell>
        </row>
        <row r="723">
          <cell r="J723" t="str">
            <v>Scope 3Material useConstructionWoodOpen-loop sourcetonnes</v>
          </cell>
          <cell r="K723" t="str">
            <v>Wood</v>
          </cell>
          <cell r="L723">
            <v>259.131511627907</v>
          </cell>
        </row>
        <row r="724">
          <cell r="J724" t="str">
            <v>Scope 3Material useConstructionWoodClosed-loop sourcetonnes</v>
          </cell>
          <cell r="K724" t="str">
            <v>Wood</v>
          </cell>
          <cell r="L724">
            <v>112.96968372342414</v>
          </cell>
        </row>
        <row r="725">
          <cell r="J725" t="str">
            <v>Scope 3Material useOtherBooksPrimary material productiontonnes</v>
          </cell>
          <cell r="K725" t="str">
            <v>Books</v>
          </cell>
          <cell r="L725" t="str">
            <v/>
          </cell>
        </row>
        <row r="726">
          <cell r="J726" t="str">
            <v>Scope 3Material useOtherBooksRe-usedtonnes</v>
          </cell>
          <cell r="K726" t="str">
            <v>Books</v>
          </cell>
          <cell r="L726" t="str">
            <v/>
          </cell>
        </row>
        <row r="727">
          <cell r="J727" t="str">
            <v>Scope 3Material useOtherBooksOpen-loop sourcetonnes</v>
          </cell>
          <cell r="K727" t="str">
            <v>Books</v>
          </cell>
          <cell r="L727" t="str">
            <v/>
          </cell>
        </row>
        <row r="728">
          <cell r="J728" t="str">
            <v>Scope 3Material useOtherBooksClosed-loop sourcetonnes</v>
          </cell>
          <cell r="K728" t="str">
            <v>Books</v>
          </cell>
          <cell r="L728" t="str">
            <v/>
          </cell>
        </row>
        <row r="729">
          <cell r="J729" t="str">
            <v>Scope 3Material useOtherGlassPrimary material productiontonnes</v>
          </cell>
          <cell r="K729" t="str">
            <v>Glass</v>
          </cell>
          <cell r="L729">
            <v>1402.7666666666664</v>
          </cell>
        </row>
        <row r="730">
          <cell r="J730" t="str">
            <v>Scope 3Material useOtherGlassRe-usedtonnes</v>
          </cell>
          <cell r="K730" t="str">
            <v>Glass</v>
          </cell>
          <cell r="L730" t="str">
            <v/>
          </cell>
        </row>
        <row r="731">
          <cell r="J731" t="str">
            <v>Scope 3Material useOtherGlassOpen-loop sourcetonnes</v>
          </cell>
          <cell r="K731" t="str">
            <v>Glass</v>
          </cell>
          <cell r="L731">
            <v>24.76</v>
          </cell>
        </row>
        <row r="732">
          <cell r="J732" t="str">
            <v>Scope 3Material useOtherGlassClosed-loop sourcetonnes</v>
          </cell>
          <cell r="K732" t="str">
            <v>Glass</v>
          </cell>
          <cell r="L732">
            <v>823.18953918534748</v>
          </cell>
        </row>
        <row r="733">
          <cell r="J733" t="str">
            <v>Scope 3Material useOtherClothingPrimary material productiontonnes</v>
          </cell>
          <cell r="K733" t="str">
            <v>Clothing</v>
          </cell>
          <cell r="L733">
            <v>22310</v>
          </cell>
        </row>
        <row r="734">
          <cell r="J734" t="str">
            <v>Scope 3Material useOtherClothingRe-usedtonnes</v>
          </cell>
          <cell r="K734" t="str">
            <v>Clothing</v>
          </cell>
          <cell r="L734">
            <v>152.24999999999997</v>
          </cell>
        </row>
        <row r="735">
          <cell r="J735" t="str">
            <v>Scope 3Material useOtherClothingOpen-loop sourcetonnes</v>
          </cell>
          <cell r="K735" t="str">
            <v>Clothing</v>
          </cell>
          <cell r="L735">
            <v>152.24999999999997</v>
          </cell>
        </row>
        <row r="736">
          <cell r="J736" t="str">
            <v>Scope 3Material useOtherClothingClosed-loop sourcetonnes</v>
          </cell>
          <cell r="K736" t="str">
            <v>Clothing</v>
          </cell>
          <cell r="L736" t="str">
            <v/>
          </cell>
        </row>
        <row r="737">
          <cell r="J737" t="str">
            <v>Scope 3Material useOtherFood and drinkPrimary material productiontonnes</v>
          </cell>
          <cell r="K737" t="str">
            <v>Food and drink</v>
          </cell>
          <cell r="L737">
            <v>3701.4035930512041</v>
          </cell>
        </row>
        <row r="738">
          <cell r="J738" t="str">
            <v>Scope 3Material useOtherFood and drinkRe-usedtonnes</v>
          </cell>
          <cell r="K738" t="str">
            <v>Food and drink</v>
          </cell>
          <cell r="L738" t="str">
            <v/>
          </cell>
        </row>
        <row r="739">
          <cell r="J739" t="str">
            <v>Scope 3Material useOtherFood and drinkOpen-loop sourcetonnes</v>
          </cell>
          <cell r="K739" t="str">
            <v>Food and drink</v>
          </cell>
          <cell r="L739" t="str">
            <v/>
          </cell>
        </row>
        <row r="740">
          <cell r="J740" t="str">
            <v>Scope 3Material useOtherFood and drinkClosed-loop sourcetonnes</v>
          </cell>
          <cell r="K740" t="str">
            <v>Food and drink</v>
          </cell>
          <cell r="L740" t="str">
            <v/>
          </cell>
        </row>
        <row r="741">
          <cell r="J741" t="str">
            <v>Scope 3Material useOrganicCompost derived from garden wastePrimary material productiontonnes</v>
          </cell>
          <cell r="K741" t="str">
            <v>Compost derived from garden waste</v>
          </cell>
          <cell r="L741">
            <v>113.3089069767442</v>
          </cell>
        </row>
        <row r="742">
          <cell r="J742" t="str">
            <v>Scope 3Material useOrganicCompost derived from food and garden wastePrimary material productiontonnes</v>
          </cell>
          <cell r="K742" t="str">
            <v>Compost derived from food and garden waste</v>
          </cell>
          <cell r="L742">
            <v>116.1255319767442</v>
          </cell>
        </row>
        <row r="743">
          <cell r="J743" t="str">
            <v>Scope 3Material useElectrical itemsElectrical items - fridges and freezersPrimary material productiontonnes</v>
          </cell>
          <cell r="K743" t="str">
            <v>Electrical items - fridges and freezers</v>
          </cell>
          <cell r="L743">
            <v>4363.3333333333339</v>
          </cell>
        </row>
        <row r="744">
          <cell r="J744" t="str">
            <v>Scope 3Material useElectrical itemsElectrical items - fridges and freezersRe-usedtonnes</v>
          </cell>
          <cell r="K744" t="str">
            <v>Electrical items - fridges and freezers</v>
          </cell>
          <cell r="L744" t="str">
            <v/>
          </cell>
        </row>
        <row r="745">
          <cell r="J745" t="str">
            <v>Scope 3Material useElectrical itemsElectrical items - fridges and freezersOpen-loop sourcetonnes</v>
          </cell>
          <cell r="K745" t="str">
            <v>Electrical items - fridges and freezers</v>
          </cell>
          <cell r="L745" t="str">
            <v/>
          </cell>
        </row>
        <row r="746">
          <cell r="J746" t="str">
            <v>Scope 3Material useElectrical itemsElectrical items - fridges and freezersClosed-loop sourcetonnes</v>
          </cell>
          <cell r="K746" t="str">
            <v>Electrical items - fridges and freezers</v>
          </cell>
          <cell r="L746" t="str">
            <v/>
          </cell>
        </row>
        <row r="747">
          <cell r="J747" t="str">
            <v>Scope 3Material useElectrical itemsElectrical items - largePrimary material productiontonnes</v>
          </cell>
          <cell r="K747" t="str">
            <v>Electrical items - large</v>
          </cell>
          <cell r="L747">
            <v>3267</v>
          </cell>
        </row>
        <row r="748">
          <cell r="J748" t="str">
            <v>Scope 3Material useElectrical itemsElectrical items - largeRe-usedtonnes</v>
          </cell>
          <cell r="K748" t="str">
            <v>Electrical items - large</v>
          </cell>
          <cell r="L748" t="str">
            <v/>
          </cell>
        </row>
        <row r="749">
          <cell r="J749" t="str">
            <v>Scope 3Material useElectrical itemsElectrical items - largeOpen-loop sourcetonnes</v>
          </cell>
          <cell r="K749" t="str">
            <v>Electrical items - large</v>
          </cell>
          <cell r="L749" t="str">
            <v/>
          </cell>
        </row>
        <row r="750">
          <cell r="J750" t="str">
            <v>Scope 3Material useElectrical itemsElectrical items - largeClosed-loop sourcetonnes</v>
          </cell>
          <cell r="K750" t="str">
            <v>Electrical items - large</v>
          </cell>
          <cell r="L750" t="str">
            <v/>
          </cell>
        </row>
        <row r="751">
          <cell r="J751" t="str">
            <v>Scope 3Material useElectrical itemsElectrical items - ITPrimary material productiontonnes</v>
          </cell>
          <cell r="K751" t="str">
            <v>Electrical items - IT</v>
          </cell>
          <cell r="L751">
            <v>24865.47556489753</v>
          </cell>
        </row>
        <row r="752">
          <cell r="J752" t="str">
            <v>Scope 3Material useElectrical itemsElectrical items - ITRe-usedtonnes</v>
          </cell>
          <cell r="K752" t="str">
            <v>Electrical items - IT</v>
          </cell>
          <cell r="L752" t="str">
            <v/>
          </cell>
        </row>
        <row r="753">
          <cell r="J753" t="str">
            <v>Scope 3Material useElectrical itemsElectrical items - ITOpen-loop sourcetonnes</v>
          </cell>
          <cell r="K753" t="str">
            <v>Electrical items - IT</v>
          </cell>
          <cell r="L753" t="str">
            <v/>
          </cell>
        </row>
        <row r="754">
          <cell r="J754" t="str">
            <v>Scope 3Material useElectrical itemsElectrical items - ITClosed-loop sourcetonnes</v>
          </cell>
          <cell r="K754" t="str">
            <v>Electrical items - IT</v>
          </cell>
          <cell r="L754" t="str">
            <v/>
          </cell>
        </row>
        <row r="755">
          <cell r="J755" t="str">
            <v>Scope 3Material useElectrical itemsElectrical items - smallPrimary material productiontonnes</v>
          </cell>
          <cell r="K755" t="str">
            <v>Electrical items - small</v>
          </cell>
          <cell r="L755">
            <v>5647.9456339952421</v>
          </cell>
        </row>
        <row r="756">
          <cell r="J756" t="str">
            <v>Scope 3Material useElectrical itemsElectrical items - smallRe-usedtonnes</v>
          </cell>
          <cell r="K756" t="str">
            <v>Electrical items - small</v>
          </cell>
          <cell r="L756" t="str">
            <v/>
          </cell>
        </row>
        <row r="757">
          <cell r="J757" t="str">
            <v>Scope 3Material useElectrical itemsElectrical items - smallOpen-loop sourcetonnes</v>
          </cell>
          <cell r="K757" t="str">
            <v>Electrical items - small</v>
          </cell>
          <cell r="L757" t="str">
            <v/>
          </cell>
        </row>
        <row r="758">
          <cell r="J758" t="str">
            <v>Scope 3Material useElectrical itemsElectrical items - smallClosed-loop sourcetonnes</v>
          </cell>
          <cell r="K758" t="str">
            <v>Electrical items - small</v>
          </cell>
          <cell r="L758" t="str">
            <v/>
          </cell>
        </row>
        <row r="759">
          <cell r="J759" t="str">
            <v>Scope 3Material useElectrical itemsBatteries - AlkalinePrimary material productiontonnes</v>
          </cell>
          <cell r="K759" t="str">
            <v>Batteries - Alkaline</v>
          </cell>
          <cell r="L759">
            <v>4633.478260869565</v>
          </cell>
        </row>
        <row r="760">
          <cell r="J760" t="str">
            <v>Scope 3Material useElectrical itemsBatteries - AlkalineRe-usedtonnes</v>
          </cell>
          <cell r="K760" t="str">
            <v>Batteries - Alkaline</v>
          </cell>
          <cell r="L760" t="str">
            <v/>
          </cell>
        </row>
        <row r="761">
          <cell r="J761" t="str">
            <v>Scope 3Material useElectrical itemsBatteries - AlkalineOpen-loop sourcetonnes</v>
          </cell>
          <cell r="K761" t="str">
            <v>Batteries - Alkaline</v>
          </cell>
          <cell r="L761" t="str">
            <v/>
          </cell>
        </row>
        <row r="762">
          <cell r="J762" t="str">
            <v>Scope 3Material useElectrical itemsBatteries - AlkalineClosed-loop sourcetonnes</v>
          </cell>
          <cell r="K762" t="str">
            <v>Batteries - Alkaline</v>
          </cell>
          <cell r="L762" t="str">
            <v/>
          </cell>
        </row>
        <row r="763">
          <cell r="J763" t="str">
            <v>Scope 3Material useElectrical itemsBatteries - Li ionPrimary material productiontonnes</v>
          </cell>
          <cell r="K763" t="str">
            <v>Batteries - Li ion</v>
          </cell>
          <cell r="L763">
            <v>6308</v>
          </cell>
        </row>
        <row r="764">
          <cell r="J764" t="str">
            <v>Scope 3Material useElectrical itemsBatteries - Li ionRe-usedtonnes</v>
          </cell>
          <cell r="K764" t="str">
            <v>Batteries - Li ion</v>
          </cell>
          <cell r="L764" t="str">
            <v/>
          </cell>
        </row>
        <row r="765">
          <cell r="J765" t="str">
            <v>Scope 3Material useElectrical itemsBatteries - Li ionOpen-loop sourcetonnes</v>
          </cell>
          <cell r="K765" t="str">
            <v>Batteries - Li ion</v>
          </cell>
          <cell r="L765" t="str">
            <v/>
          </cell>
        </row>
        <row r="766">
          <cell r="J766" t="str">
            <v>Scope 3Material useElectrical itemsBatteries - Li ionClosed-loop sourcetonnes</v>
          </cell>
          <cell r="K766" t="str">
            <v>Batteries - Li ion</v>
          </cell>
          <cell r="L766" t="str">
            <v/>
          </cell>
        </row>
        <row r="767">
          <cell r="J767" t="str">
            <v>Scope 3Material useElectrical itemsBatteries - NiMhPrimary material productiontonnes</v>
          </cell>
          <cell r="K767" t="str">
            <v>Batteries - NiMh</v>
          </cell>
          <cell r="L767">
            <v>28380</v>
          </cell>
        </row>
        <row r="768">
          <cell r="J768" t="str">
            <v>Scope 3Material useElectrical itemsBatteries - NiMhRe-usedtonnes</v>
          </cell>
          <cell r="K768" t="str">
            <v>Batteries - NiMh</v>
          </cell>
          <cell r="L768" t="str">
            <v/>
          </cell>
        </row>
        <row r="769">
          <cell r="J769" t="str">
            <v>Scope 3Material useElectrical itemsBatteries - NiMhOpen-loop sourcetonnes</v>
          </cell>
          <cell r="K769" t="str">
            <v>Batteries - NiMh</v>
          </cell>
          <cell r="L769" t="str">
            <v/>
          </cell>
        </row>
        <row r="770">
          <cell r="J770" t="str">
            <v>Scope 3Material useElectrical itemsBatteries - NiMhClosed-loop sourcetonnes</v>
          </cell>
          <cell r="K770" t="str">
            <v>Batteries - NiMh</v>
          </cell>
          <cell r="L770" t="str">
            <v/>
          </cell>
        </row>
        <row r="771">
          <cell r="J771" t="str">
            <v>Scope 3Material useMetalMetal: aluminium cans and foil (excl. forming)Primary material productiontonnes</v>
          </cell>
          <cell r="K771" t="str">
            <v>Metal: aluminium cans and foil (excl. forming)</v>
          </cell>
          <cell r="L771">
            <v>9122.6364000000012</v>
          </cell>
        </row>
        <row r="772">
          <cell r="J772" t="str">
            <v>Scope 3Material useMetalMetal: aluminium cans and foil (excl. forming)Closed-loop sourcetonnes</v>
          </cell>
          <cell r="K772" t="str">
            <v>Metal: aluminium cans and foil (excl. forming)</v>
          </cell>
          <cell r="L772">
            <v>999.39628000000005</v>
          </cell>
        </row>
        <row r="773">
          <cell r="J773" t="str">
            <v>Scope 3Material useMetalMetal: mixed cansPrimary material productiontonnes</v>
          </cell>
          <cell r="K773" t="str">
            <v>Metal: mixed cans</v>
          </cell>
          <cell r="L773">
            <v>5268.5564000000004</v>
          </cell>
        </row>
        <row r="774">
          <cell r="J774" t="str">
            <v>Scope 3Material useMetalMetal: mixed cansClosed-loop sourcetonnes</v>
          </cell>
          <cell r="K774" t="str">
            <v>Metal: mixed cans</v>
          </cell>
          <cell r="L774">
            <v>1473.7899568</v>
          </cell>
        </row>
        <row r="775">
          <cell r="J775" t="str">
            <v>Scope 3Material useMetalMetal: scrap metalPrimary material productiontonnes</v>
          </cell>
          <cell r="K775" t="str">
            <v>Metal: scrap metal</v>
          </cell>
          <cell r="L775">
            <v>3682.6829001536098</v>
          </cell>
        </row>
        <row r="776">
          <cell r="J776" t="str">
            <v>Scope 3Material useMetalMetal: scrap metalClosed-loop sourcetonnes</v>
          </cell>
          <cell r="K776" t="str">
            <v>Metal: scrap metal</v>
          </cell>
          <cell r="L776">
            <v>1633.1778227342547</v>
          </cell>
        </row>
        <row r="777">
          <cell r="J777" t="str">
            <v>Scope 3Material useMetalMetal: steel cansPrimary material productiontonnes</v>
          </cell>
          <cell r="K777" t="str">
            <v>Metal: steel cans</v>
          </cell>
          <cell r="L777">
            <v>3100.6363999999999</v>
          </cell>
        </row>
        <row r="778">
          <cell r="J778" t="str">
            <v>Scope 3Material useMetalMetal: steel cansClosed-loop sourcetonnes</v>
          </cell>
          <cell r="K778" t="str">
            <v>Metal: steel cans</v>
          </cell>
          <cell r="L778">
            <v>1740.6363999999999</v>
          </cell>
        </row>
        <row r="779">
          <cell r="J779" t="str">
            <v>Scope 3Material usePlasticPlastics: average plasticsPrimary material productiontonnes</v>
          </cell>
          <cell r="K779" t="str">
            <v>Plastics: average plastics</v>
          </cell>
          <cell r="L779">
            <v>3116.2915638696181</v>
          </cell>
        </row>
        <row r="780">
          <cell r="J780" t="str">
            <v>Scope 3Material usePlasticPlastics: average plasticsOpen-loop sourcetonnes</v>
          </cell>
          <cell r="K780" t="str">
            <v>Plastics: average plastics</v>
          </cell>
          <cell r="L780">
            <v>599.99999999999989</v>
          </cell>
        </row>
        <row r="781">
          <cell r="J781" t="str">
            <v>Scope 3Material usePlasticPlastics: average plasticsClosed-loop sourcetonnes</v>
          </cell>
          <cell r="K781" t="str">
            <v>Plastics: average plastics</v>
          </cell>
          <cell r="L781">
            <v>2326.530279895238</v>
          </cell>
        </row>
        <row r="782">
          <cell r="J782" t="str">
            <v>Scope 3Material usePlasticPlastics: average plastic filmPrimary material productiontonnes</v>
          </cell>
          <cell r="K782" t="str">
            <v>Plastics: average plastic film</v>
          </cell>
          <cell r="L782">
            <v>2574.1647528352833</v>
          </cell>
        </row>
        <row r="783">
          <cell r="J783" t="str">
            <v>Scope 3Material usePlasticPlastics: average plastic filmOpen-loop sourcetonnes</v>
          </cell>
          <cell r="K783" t="str">
            <v>Plastics: average plastic film</v>
          </cell>
          <cell r="L783">
            <v>600</v>
          </cell>
        </row>
        <row r="784">
          <cell r="J784" t="str">
            <v>Scope 3Material usePlasticPlastics: average plastic filmClosed-loop sourcetonnes</v>
          </cell>
          <cell r="K784" t="str">
            <v>Plastics: average plastic film</v>
          </cell>
          <cell r="L784">
            <v>1894.6286272087464</v>
          </cell>
        </row>
        <row r="785">
          <cell r="J785" t="str">
            <v>Scope 3Material usePlasticPlastics: average plastic rigidPrimary material productiontonnes</v>
          </cell>
          <cell r="K785" t="str">
            <v>Plastics: average plastic rigid</v>
          </cell>
          <cell r="L785">
            <v>3276.7069334313005</v>
          </cell>
        </row>
        <row r="786">
          <cell r="J786" t="str">
            <v>Scope 3Material usePlasticPlastics: average plastic rigidOpen-loop sourcetonnes</v>
          </cell>
          <cell r="K786" t="str">
            <v>Plastics: average plastic rigid</v>
          </cell>
          <cell r="L786">
            <v>600</v>
          </cell>
        </row>
        <row r="787">
          <cell r="J787" t="str">
            <v>Scope 3Material usePlasticPlastics: average plastic rigidClosed-loop sourcetonnes</v>
          </cell>
          <cell r="K787" t="str">
            <v>Plastics: average plastic rigid</v>
          </cell>
          <cell r="L787">
            <v>2748.8329795793861</v>
          </cell>
        </row>
        <row r="788">
          <cell r="J788" t="str">
            <v>Scope 3Material usePlasticPlastics: HDPE (incl. forming)Primary material productiontonnes</v>
          </cell>
          <cell r="K788" t="str">
            <v>Plastics: HDPE (incl. forming)</v>
          </cell>
          <cell r="L788">
            <v>3269.8388922118374</v>
          </cell>
        </row>
        <row r="789">
          <cell r="J789" t="str">
            <v>Scope 3Material usePlasticPlastics: HDPE (incl. forming)Open-loop sourcetonnes</v>
          </cell>
          <cell r="K789" t="str">
            <v>Plastics: HDPE (incl. forming)</v>
          </cell>
          <cell r="L789">
            <v>600</v>
          </cell>
        </row>
        <row r="790">
          <cell r="J790" t="str">
            <v>Scope 3Material usePlasticPlastics: HDPE (incl. forming)Closed-loop sourcetonnes</v>
          </cell>
          <cell r="K790" t="str">
            <v>Plastics: HDPE (incl. forming)</v>
          </cell>
          <cell r="L790">
            <v>2350.6163417001762</v>
          </cell>
        </row>
        <row r="791">
          <cell r="J791" t="str">
            <v>Scope 3Material usePlasticPlastics: LDPE and LLDPE (incl. forming)Primary material productiontonnes</v>
          </cell>
          <cell r="K791" t="str">
            <v>Plastics: LDPE and LLDPE (incl. forming)</v>
          </cell>
          <cell r="L791">
            <v>2600.6363999999999</v>
          </cell>
        </row>
        <row r="792">
          <cell r="J792" t="str">
            <v>Scope 3Material usePlasticPlastics: LDPE and LLDPE (incl. forming)Open-loop sourcetonnes</v>
          </cell>
          <cell r="K792" t="str">
            <v>Plastics: LDPE and LLDPE (incl. forming)</v>
          </cell>
          <cell r="L792">
            <v>600</v>
          </cell>
        </row>
        <row r="793">
          <cell r="J793" t="str">
            <v>Scope 3Material usePlasticPlastics: LDPE and LLDPE (incl. forming)Closed-loop sourcetonnes</v>
          </cell>
          <cell r="K793" t="str">
            <v>Plastics: LDPE and LLDPE (incl. forming)</v>
          </cell>
          <cell r="L793">
            <v>1797.2226780767996</v>
          </cell>
        </row>
        <row r="794">
          <cell r="J794" t="str">
            <v>Scope 3Material usePlasticPlastics: PET (incl. forming)Primary material productiontonnes</v>
          </cell>
          <cell r="K794" t="str">
            <v>Plastics: PET (incl. forming)</v>
          </cell>
          <cell r="L794">
            <v>4032.3924975609766</v>
          </cell>
        </row>
        <row r="795">
          <cell r="J795" t="str">
            <v>Scope 3Material usePlasticPlastics: PET (incl. forming)Open-loop sourcetonnes</v>
          </cell>
          <cell r="K795" t="str">
            <v>Plastics: PET (incl. forming)</v>
          </cell>
          <cell r="L795">
            <v>600</v>
          </cell>
        </row>
        <row r="796">
          <cell r="J796" t="str">
            <v>Scope 3Material usePlasticPlastics: PET (incl. forming)Closed-loop sourcetonnes</v>
          </cell>
          <cell r="K796" t="str">
            <v>Plastics: PET (incl. forming)</v>
          </cell>
          <cell r="L796">
            <v>3125.2715672888985</v>
          </cell>
        </row>
        <row r="797">
          <cell r="J797" t="str">
            <v>Scope 3Material usePlasticPlastics: PP (incl. forming)Primary material productiontonnes</v>
          </cell>
          <cell r="K797" t="str">
            <v>Plastics: PP (incl. forming)</v>
          </cell>
          <cell r="L797">
            <v>3104.7269923344943</v>
          </cell>
        </row>
        <row r="798">
          <cell r="J798" t="str">
            <v>Scope 3Material usePlasticPlastics: PP (incl. forming)Open-loop sourcetonnes</v>
          </cell>
          <cell r="K798" t="str">
            <v>Plastics: PP (incl. forming)</v>
          </cell>
          <cell r="L798">
            <v>600</v>
          </cell>
        </row>
        <row r="799">
          <cell r="J799" t="str">
            <v>Scope 3Material usePlasticPlastics: PP (incl. forming)Closed-loop sourcetonnes</v>
          </cell>
          <cell r="K799" t="str">
            <v>Plastics: PP (incl. forming)</v>
          </cell>
          <cell r="L799">
            <v>2541.3132704112945</v>
          </cell>
        </row>
        <row r="800">
          <cell r="J800" t="str">
            <v>Scope 3Material usePlasticPlastics: PS (incl. forming)Primary material productiontonnes</v>
          </cell>
          <cell r="K800" t="str">
            <v>Plastics: PS (incl. forming)</v>
          </cell>
          <cell r="L800">
            <v>3777.9489000000003</v>
          </cell>
        </row>
        <row r="801">
          <cell r="J801" t="str">
            <v>Scope 3Material usePlasticPlastics: PS (incl. forming)Open-loop sourcetonnes</v>
          </cell>
          <cell r="K801" t="str">
            <v>Plastics: PS (incl. forming)</v>
          </cell>
          <cell r="L801">
            <v>600</v>
          </cell>
        </row>
        <row r="802">
          <cell r="J802" t="str">
            <v>Scope 3Material usePlasticPlastics: PS (incl. forming)Closed-loop sourcetonnes</v>
          </cell>
          <cell r="K802" t="str">
            <v>Plastics: PS (incl. forming)</v>
          </cell>
          <cell r="L802">
            <v>3198.9573171428574</v>
          </cell>
        </row>
        <row r="803">
          <cell r="J803" t="str">
            <v>Scope 3Material usePlasticPlastics: PVC (incl. forming)Primary material productiontonnes</v>
          </cell>
          <cell r="K803" t="str">
            <v>Plastics: PVC (incl. forming)</v>
          </cell>
          <cell r="L803">
            <v>3413.0841611940295</v>
          </cell>
        </row>
        <row r="804">
          <cell r="J804" t="str">
            <v>Scope 3Material usePlasticPlastics: PVC (incl. forming)Open-loop sourcetonnes</v>
          </cell>
          <cell r="K804" t="str">
            <v>Plastics: PVC (incl. forming)</v>
          </cell>
          <cell r="L804">
            <v>600</v>
          </cell>
        </row>
        <row r="805">
          <cell r="J805" t="str">
            <v>Scope 3Material usePlasticPlastics: PVC (incl. forming)Closed-loop sourcetonnes</v>
          </cell>
          <cell r="K805" t="str">
            <v>Plastics: PVC (incl. forming)</v>
          </cell>
          <cell r="L805">
            <v>2489.6704392708298</v>
          </cell>
        </row>
        <row r="806">
          <cell r="J806" t="str">
            <v>Scope 3Material usePaperPaper and board: boardPrimary material productiontonnes</v>
          </cell>
          <cell r="K806" t="str">
            <v>Paper and board: board</v>
          </cell>
          <cell r="L806">
            <v>821.23388921466801</v>
          </cell>
        </row>
        <row r="807">
          <cell r="J807" t="str">
            <v>Scope 3Material usePaperPaper and board: boardOpen-loop sourcetonnes</v>
          </cell>
          <cell r="K807" t="str">
            <v>Paper and board: board</v>
          </cell>
          <cell r="L807" t="str">
            <v/>
          </cell>
        </row>
        <row r="808">
          <cell r="J808" t="str">
            <v>Scope 3Material usePaperPaper and board: boardClosed-loop sourcetonnes</v>
          </cell>
          <cell r="K808" t="str">
            <v>Paper and board: board</v>
          </cell>
          <cell r="L808">
            <v>718.53527585893062</v>
          </cell>
        </row>
        <row r="809">
          <cell r="J809" t="str">
            <v>Scope 3Material usePaperPaper and board: mixedPrimary material productiontonnes</v>
          </cell>
          <cell r="K809" t="str">
            <v>Paper and board: mixed</v>
          </cell>
          <cell r="L809">
            <v>881.18936143085875</v>
          </cell>
        </row>
        <row r="810">
          <cell r="J810" t="str">
            <v>Scope 3Material usePaperPaper and board: mixedOpen-loop sourcetonnes</v>
          </cell>
          <cell r="K810" t="str">
            <v>Paper and board: mixed</v>
          </cell>
          <cell r="L810" t="str">
            <v/>
          </cell>
        </row>
        <row r="811">
          <cell r="J811" t="str">
            <v>Scope 3Material usePaperPaper and board: mixedClosed-loop sourcetonnes</v>
          </cell>
          <cell r="K811" t="str">
            <v>Paper and board: mixed</v>
          </cell>
          <cell r="L811">
            <v>731.27672749000294</v>
          </cell>
        </row>
        <row r="812">
          <cell r="J812" t="str">
            <v>Scope 3Material usePaperPaper and board: paperPrimary material productiontonnes</v>
          </cell>
          <cell r="K812" t="str">
            <v>Paper and board: paper</v>
          </cell>
          <cell r="L812">
            <v>919.39628000000005</v>
          </cell>
        </row>
        <row r="813">
          <cell r="J813" t="str">
            <v>Scope 3Material usePaperPaper and board: paperOpen-loop sourcetonnes</v>
          </cell>
          <cell r="K813" t="str">
            <v>Paper and board: paper</v>
          </cell>
          <cell r="L813" t="str">
            <v/>
          </cell>
        </row>
        <row r="814">
          <cell r="J814" t="str">
            <v>Scope 3Material usePaperPaper and board: paperClosed-loop sourcetonnes</v>
          </cell>
          <cell r="K814" t="str">
            <v>Paper and board: paper</v>
          </cell>
          <cell r="L814">
            <v>739.39628000000005</v>
          </cell>
        </row>
        <row r="815">
          <cell r="J815" t="str">
            <v>Scope 3Transmission and distributionT&amp;D- UK electricityElectricity: UKkWh</v>
          </cell>
          <cell r="K815" t="str">
            <v>Electricity: UK</v>
          </cell>
          <cell r="L815">
            <v>1.8790000000000001E-2</v>
          </cell>
        </row>
        <row r="816">
          <cell r="J816" t="str">
            <v>Scope 3Transmission and distributionDistribution - district heat &amp; steam5% losskWh</v>
          </cell>
          <cell r="K816" t="str">
            <v>5% loss</v>
          </cell>
          <cell r="L816">
            <v>8.9899999999999997E-3</v>
          </cell>
        </row>
        <row r="817">
          <cell r="J817" t="str">
            <v>Scope 3UK electricity T&amp;D for EVsCars (by market segment)MiniPlug-in Hybrid Electric Vehiclekm</v>
          </cell>
          <cell r="K817" t="str">
            <v>Mini km</v>
          </cell>
        </row>
        <row r="818">
          <cell r="J818" t="str">
            <v>Scope 3UK electricity T&amp;D for EVsCars (by market segment)MiniPlug-in Hybrid Electric Vehiclemiles</v>
          </cell>
          <cell r="K818" t="str">
            <v>Mini miles</v>
          </cell>
        </row>
        <row r="819">
          <cell r="J819" t="str">
            <v>Scope 3UK electricity T&amp;D for EVsCars (by market segment)MiniBattery Electric Vehiclekm</v>
          </cell>
          <cell r="K819" t="str">
            <v>Mini km</v>
          </cell>
          <cell r="L819">
            <v>3.5600000000000002E-3</v>
          </cell>
        </row>
        <row r="820">
          <cell r="J820" t="str">
            <v>Scope 3UK electricity T&amp;D for EVsCars (by market segment)MiniBattery Electric Vehiclemiles</v>
          </cell>
          <cell r="K820" t="str">
            <v>Mini miles</v>
          </cell>
          <cell r="L820">
            <v>5.7499999999999999E-3</v>
          </cell>
        </row>
        <row r="821">
          <cell r="J821" t="str">
            <v>Scope 3UK electricity T&amp;D for EVsCars (by market segment)SuperminiPlug-in Hybrid Electric Vehiclekm</v>
          </cell>
          <cell r="K821" t="str">
            <v>Supermini km</v>
          </cell>
          <cell r="L821">
            <v>2.7100000000000002E-3</v>
          </cell>
        </row>
        <row r="822">
          <cell r="J822" t="str">
            <v>Scope 3UK electricity T&amp;D for EVsCars (by market segment)SuperminiPlug-in Hybrid Electric Vehiclemiles</v>
          </cell>
          <cell r="K822" t="str">
            <v>Supermini miles</v>
          </cell>
          <cell r="L822">
            <v>4.3599999999999993E-3</v>
          </cell>
        </row>
        <row r="823">
          <cell r="J823" t="str">
            <v>Scope 3UK electricity T&amp;D for EVsCars (by market segment)SuperminiBattery Electric Vehiclekm</v>
          </cell>
          <cell r="K823" t="str">
            <v>Supermini km</v>
          </cell>
          <cell r="L823">
            <v>3.7400000000000003E-3</v>
          </cell>
        </row>
        <row r="824">
          <cell r="J824" t="str">
            <v>Scope 3UK electricity T&amp;D for EVsCars (by market segment)SuperminiBattery Electric Vehiclemiles</v>
          </cell>
          <cell r="K824" t="str">
            <v>Supermini miles</v>
          </cell>
          <cell r="L824">
            <v>6.0400000000000002E-3</v>
          </cell>
        </row>
        <row r="825">
          <cell r="J825" t="str">
            <v>Scope 3UK electricity T&amp;D for EVsCars (by market segment)Lower mediumPlug-in Hybrid Electric Vehiclekm</v>
          </cell>
          <cell r="K825" t="str">
            <v>Lower medium km</v>
          </cell>
          <cell r="L825">
            <v>1.74E-3</v>
          </cell>
        </row>
        <row r="826">
          <cell r="J826" t="str">
            <v>Scope 3UK electricity T&amp;D for EVsCars (by market segment)Lower mediumPlug-in Hybrid Electric Vehiclemiles</v>
          </cell>
          <cell r="K826" t="str">
            <v>Lower medium miles</v>
          </cell>
          <cell r="L826">
            <v>2.8E-3</v>
          </cell>
        </row>
        <row r="827">
          <cell r="J827" t="str">
            <v>Scope 3UK electricity T&amp;D for EVsCars (by market segment)Lower mediumBattery Electric Vehiclekm</v>
          </cell>
          <cell r="K827" t="str">
            <v>Lower medium km</v>
          </cell>
          <cell r="L827">
            <v>4.28E-3</v>
          </cell>
        </row>
        <row r="828">
          <cell r="J828" t="str">
            <v>Scope 3UK electricity T&amp;D for EVsCars (by market segment)Lower mediumBattery Electric Vehiclemiles</v>
          </cell>
          <cell r="K828" t="str">
            <v>Lower medium miles</v>
          </cell>
          <cell r="L828">
            <v>6.8799999999999998E-3</v>
          </cell>
        </row>
        <row r="829">
          <cell r="J829" t="str">
            <v>Scope 3UK electricity T&amp;D for EVsCars (by market segment)Upper mediumPlug-in Hybrid Electric Vehiclekm</v>
          </cell>
          <cell r="K829" t="str">
            <v>Upper medium km</v>
          </cell>
          <cell r="L829">
            <v>1.7600000000000001E-3</v>
          </cell>
        </row>
        <row r="830">
          <cell r="J830" t="str">
            <v>Scope 3UK electricity T&amp;D for EVsCars (by market segment)Upper mediumPlug-in Hybrid Electric Vehiclemiles</v>
          </cell>
          <cell r="K830" t="str">
            <v>Upper medium miles</v>
          </cell>
          <cell r="L830">
            <v>2.8300000000000001E-3</v>
          </cell>
        </row>
        <row r="831">
          <cell r="J831" t="str">
            <v>Scope 3UK electricity T&amp;D for EVsCars (by market segment)Upper mediumBattery Electric Vehiclekm</v>
          </cell>
          <cell r="K831" t="str">
            <v>Upper medium km</v>
          </cell>
          <cell r="L831">
            <v>3.15E-3</v>
          </cell>
        </row>
        <row r="832">
          <cell r="J832" t="str">
            <v>Scope 3UK electricity T&amp;D for EVsCars (by market segment)Upper mediumBattery Electric Vehiclemiles</v>
          </cell>
          <cell r="K832" t="str">
            <v>Upper medium miles</v>
          </cell>
          <cell r="L832">
            <v>5.0799999999999994E-3</v>
          </cell>
        </row>
        <row r="833">
          <cell r="J833" t="str">
            <v>Scope 3UK electricity T&amp;D for EVsCars (by market segment)ExecutivePlug-in Hybrid Electric Vehiclekm</v>
          </cell>
          <cell r="K833" t="str">
            <v>Executive km</v>
          </cell>
          <cell r="L833">
            <v>1.8E-3</v>
          </cell>
        </row>
        <row r="834">
          <cell r="J834" t="str">
            <v>Scope 3UK electricity T&amp;D for EVsCars (by market segment)ExecutivePlug-in Hybrid Electric Vehiclemiles</v>
          </cell>
          <cell r="K834" t="str">
            <v>Executive miles</v>
          </cell>
          <cell r="L834">
            <v>2.8900000000000002E-3</v>
          </cell>
        </row>
        <row r="835">
          <cell r="J835" t="str">
            <v>Scope 3UK electricity T&amp;D for EVsCars (by market segment)ExecutiveBattery Electric Vehiclekm</v>
          </cell>
          <cell r="K835" t="str">
            <v>Executive km</v>
          </cell>
          <cell r="L835">
            <v>4.1700000000000001E-3</v>
          </cell>
        </row>
        <row r="836">
          <cell r="J836" t="str">
            <v>Scope 3UK electricity T&amp;D for EVsCars (by market segment)ExecutiveBattery Electric Vehiclemiles</v>
          </cell>
          <cell r="K836" t="str">
            <v>Executive miles</v>
          </cell>
          <cell r="L836">
            <v>6.6999999999999994E-3</v>
          </cell>
        </row>
        <row r="837">
          <cell r="J837" t="str">
            <v>Scope 3UK electricity T&amp;D for EVsCars (by market segment)LuxuryPlug-in Hybrid Electric Vehiclekm</v>
          </cell>
          <cell r="K837" t="str">
            <v>Luxury km</v>
          </cell>
          <cell r="L837">
            <v>2E-3</v>
          </cell>
        </row>
        <row r="838">
          <cell r="J838" t="str">
            <v>Scope 3UK electricity T&amp;D for EVsCars (by market segment)LuxuryPlug-in Hybrid Electric Vehiclemiles</v>
          </cell>
          <cell r="K838" t="str">
            <v>Luxury miles</v>
          </cell>
          <cell r="L838">
            <v>3.2200000000000002E-3</v>
          </cell>
        </row>
        <row r="839">
          <cell r="J839" t="str">
            <v>Scope 3UK electricity T&amp;D for EVsCars (by market segment)LuxuryBattery Electric Vehiclekm</v>
          </cell>
          <cell r="K839" t="str">
            <v>Luxury km</v>
          </cell>
          <cell r="L839">
            <v>4.8699999999999993E-3</v>
          </cell>
        </row>
        <row r="840">
          <cell r="J840" t="str">
            <v>Scope 3UK electricity T&amp;D for EVsCars (by market segment)LuxuryBattery Electric Vehiclemiles</v>
          </cell>
          <cell r="K840" t="str">
            <v>Luxury miles</v>
          </cell>
          <cell r="L840">
            <v>7.8300000000000002E-3</v>
          </cell>
        </row>
        <row r="841">
          <cell r="J841" t="str">
            <v>Scope 3UK electricity T&amp;D for EVsCars (by market segment)SportsPlug-in Hybrid Electric Vehiclekm</v>
          </cell>
          <cell r="K841" t="str">
            <v>Sports km</v>
          </cell>
          <cell r="L841">
            <v>1.5E-3</v>
          </cell>
        </row>
        <row r="842">
          <cell r="J842" t="str">
            <v>Scope 3UK electricity T&amp;D for EVsCars (by market segment)SportsPlug-in Hybrid Electric Vehiclemiles</v>
          </cell>
          <cell r="K842" t="str">
            <v>Sports miles</v>
          </cell>
          <cell r="L842">
            <v>2.4100000000000002E-3</v>
          </cell>
        </row>
        <row r="843">
          <cell r="J843" t="str">
            <v>Scope 3UK electricity T&amp;D for EVsCars (by market segment)SportsBattery Electric Vehiclekm</v>
          </cell>
          <cell r="K843" t="str">
            <v>Sports km</v>
          </cell>
          <cell r="L843">
            <v>6.0800000000000003E-3</v>
          </cell>
        </row>
        <row r="844">
          <cell r="J844" t="str">
            <v>Scope 3UK electricity T&amp;D for EVsCars (by market segment)SportsBattery Electric Vehiclemiles</v>
          </cell>
          <cell r="K844" t="str">
            <v>Sports miles</v>
          </cell>
          <cell r="L844">
            <v>9.7799999999999988E-3</v>
          </cell>
        </row>
        <row r="845">
          <cell r="J845" t="str">
            <v>Scope 3UK electricity T&amp;D for EVsCars (by market segment)Dual purpose 4X4Plug-in Hybrid Electric Vehiclekm</v>
          </cell>
          <cell r="K845" t="str">
            <v>Dual purpose 4X4 km</v>
          </cell>
          <cell r="L845">
            <v>2.4599999999999999E-3</v>
          </cell>
        </row>
        <row r="846">
          <cell r="J846" t="str">
            <v>Scope 3UK electricity T&amp;D for EVsCars (by market segment)Dual purpose 4X4Plug-in Hybrid Electric Vehiclemiles</v>
          </cell>
          <cell r="K846" t="str">
            <v>Dual purpose 4X4 miles</v>
          </cell>
          <cell r="L846">
            <v>3.9499999999999995E-3</v>
          </cell>
        </row>
        <row r="847">
          <cell r="J847" t="str">
            <v>Scope 3UK electricity T&amp;D for EVsCars (by market segment)Dual purpose 4X4Battery Electric Vehiclekm</v>
          </cell>
          <cell r="K847" t="str">
            <v>Dual purpose 4X4 km</v>
          </cell>
          <cell r="L847">
            <v>5.5500000000000002E-3</v>
          </cell>
        </row>
        <row r="848">
          <cell r="J848" t="str">
            <v>Scope 3UK electricity T&amp;D for EVsCars (by market segment)Dual purpose 4X4Battery Electric Vehiclemiles</v>
          </cell>
          <cell r="K848" t="str">
            <v>Dual purpose 4X4 miles</v>
          </cell>
          <cell r="L848">
            <v>8.9199999999999991E-3</v>
          </cell>
        </row>
        <row r="849">
          <cell r="J849" t="str">
            <v>Scope 3UK electricity T&amp;D for EVsCars (by market segment)MPVPlug-in Hybrid Electric Vehiclekm</v>
          </cell>
          <cell r="K849" t="str">
            <v>MPV km</v>
          </cell>
        </row>
        <row r="850">
          <cell r="J850" t="str">
            <v>Scope 3UK electricity T&amp;D for EVsCars (by market segment)MPVPlug-in Hybrid Electric Vehiclemiles</v>
          </cell>
          <cell r="K850" t="str">
            <v>MPV miles</v>
          </cell>
        </row>
        <row r="851">
          <cell r="J851" t="str">
            <v>Scope 3UK electricity T&amp;D for EVsCars (by market segment)MPVBattery Electric Vehiclekm</v>
          </cell>
          <cell r="K851" t="str">
            <v>MPV km</v>
          </cell>
          <cell r="L851">
            <v>5.62E-3</v>
          </cell>
        </row>
        <row r="852">
          <cell r="J852" t="str">
            <v>Scope 3UK electricity T&amp;D for EVsCars (by market segment)MPVBattery Electric Vehiclemiles</v>
          </cell>
          <cell r="K852" t="str">
            <v>MPV miles</v>
          </cell>
          <cell r="L852">
            <v>9.0399999999999994E-3</v>
          </cell>
        </row>
        <row r="853">
          <cell r="J853" t="str">
            <v>Scope 3UK electricity T&amp;D for EVsCars (by size)Small carPlug-in Hybrid Electric Vehiclekm</v>
          </cell>
          <cell r="K853" t="str">
            <v>Small car km</v>
          </cell>
          <cell r="L853">
            <v>2.7100000000000002E-3</v>
          </cell>
        </row>
        <row r="854">
          <cell r="J854" t="str">
            <v>Scope 3UK electricity T&amp;D for EVsCars (by size)Small carPlug-in Hybrid Electric Vehiclemiles</v>
          </cell>
          <cell r="K854" t="str">
            <v>Small car miles</v>
          </cell>
          <cell r="L854">
            <v>4.3599999999999993E-3</v>
          </cell>
        </row>
        <row r="855">
          <cell r="J855" t="str">
            <v>Scope 3UK electricity T&amp;D for EVsCars (by size)Small carBattery Electric Vehiclekm</v>
          </cell>
          <cell r="K855" t="str">
            <v>Small car km</v>
          </cell>
          <cell r="L855">
            <v>3.7000000000000002E-3</v>
          </cell>
        </row>
        <row r="856">
          <cell r="J856" t="str">
            <v>Scope 3UK electricity T&amp;D for EVsCars (by size)Small carBattery Electric Vehiclemiles</v>
          </cell>
          <cell r="K856" t="str">
            <v>Small car miles</v>
          </cell>
          <cell r="L856">
            <v>5.9700000000000005E-3</v>
          </cell>
        </row>
        <row r="857">
          <cell r="J857" t="str">
            <v>Scope 3UK electricity T&amp;D for EVsCars (by size)Medium carPlug-in Hybrid Electric Vehiclekm</v>
          </cell>
          <cell r="K857" t="str">
            <v>Medium car km</v>
          </cell>
          <cell r="L857">
            <v>1.75E-3</v>
          </cell>
        </row>
        <row r="858">
          <cell r="J858" t="str">
            <v>Scope 3UK electricity T&amp;D for EVsCars (by size)Medium carPlug-in Hybrid Electric Vehiclemiles</v>
          </cell>
          <cell r="K858" t="str">
            <v>Medium car miles</v>
          </cell>
          <cell r="L858">
            <v>2.82E-3</v>
          </cell>
        </row>
        <row r="859">
          <cell r="J859" t="str">
            <v>Scope 3UK electricity T&amp;D for EVsCars (by size)Medium carBattery Electric Vehiclekm</v>
          </cell>
          <cell r="K859" t="str">
            <v>Medium car km</v>
          </cell>
          <cell r="L859">
            <v>4.28E-3</v>
          </cell>
        </row>
        <row r="860">
          <cell r="J860" t="str">
            <v>Scope 3UK electricity T&amp;D for EVsCars (by size)Medium carBattery Electric Vehiclemiles</v>
          </cell>
          <cell r="K860" t="str">
            <v>Medium car miles</v>
          </cell>
          <cell r="L860">
            <v>6.8699999999999994E-3</v>
          </cell>
        </row>
        <row r="861">
          <cell r="J861" t="str">
            <v>Scope 3UK electricity T&amp;D for EVsCars (by size)Large carPlug-in Hybrid Electric Vehiclekm</v>
          </cell>
          <cell r="K861" t="str">
            <v>Large car km</v>
          </cell>
          <cell r="L861">
            <v>2.2899999999999999E-3</v>
          </cell>
        </row>
        <row r="862">
          <cell r="J862" t="str">
            <v>Scope 3UK electricity T&amp;D for EVsCars (by size)Large carPlug-in Hybrid Electric Vehiclemiles</v>
          </cell>
          <cell r="K862" t="str">
            <v>Large car miles</v>
          </cell>
          <cell r="L862">
            <v>3.6800000000000001E-3</v>
          </cell>
        </row>
        <row r="863">
          <cell r="J863" t="str">
            <v>Scope 3UK electricity T&amp;D for EVsCars (by size)Large carBattery Electric Vehiclekm</v>
          </cell>
          <cell r="K863" t="str">
            <v>Large car km</v>
          </cell>
          <cell r="L863">
            <v>4.9299999999999995E-3</v>
          </cell>
        </row>
        <row r="864">
          <cell r="J864" t="str">
            <v>Scope 3UK electricity T&amp;D for EVsCars (by size)Large carBattery Electric Vehiclemiles</v>
          </cell>
          <cell r="K864" t="str">
            <v>Large car miles</v>
          </cell>
          <cell r="L864">
            <v>7.9400000000000009E-3</v>
          </cell>
        </row>
        <row r="865">
          <cell r="J865" t="str">
            <v>Scope 3UK electricity T&amp;D for EVsCars (by size)Average carPlug-in Hybrid Electric Vehiclekm</v>
          </cell>
          <cell r="K865" t="str">
            <v>Average car km</v>
          </cell>
          <cell r="L865">
            <v>2.1099999999999999E-3</v>
          </cell>
        </row>
        <row r="866">
          <cell r="J866" t="str">
            <v>Scope 3UK electricity T&amp;D for EVsCars (by size)Average carPlug-in Hybrid Electric Vehiclemiles</v>
          </cell>
          <cell r="K866" t="str">
            <v>Average car miles</v>
          </cell>
          <cell r="L866">
            <v>3.3900000000000002E-3</v>
          </cell>
        </row>
        <row r="867">
          <cell r="J867" t="str">
            <v>Scope 3UK electricity T&amp;D for EVsCars (by size)Average carBattery Electric Vehiclekm</v>
          </cell>
          <cell r="K867" t="str">
            <v>Average car km</v>
          </cell>
          <cell r="L867">
            <v>4.4599999999999996E-3</v>
          </cell>
        </row>
        <row r="868">
          <cell r="J868" t="str">
            <v>Scope 3UK electricity T&amp;D for EVsCars (by size)Average carBattery Electric Vehiclemiles</v>
          </cell>
          <cell r="K868" t="str">
            <v>Average car miles</v>
          </cell>
          <cell r="L868">
            <v>7.1699999999999993E-3</v>
          </cell>
        </row>
        <row r="869">
          <cell r="J869" t="str">
            <v>Scope 3UK electricity T&amp;D for EVsVansClass I (up to 1.305 tonnes)Plug-in Hybrid Electric Vehiclekm</v>
          </cell>
          <cell r="K869" t="str">
            <v>Class I (up to 1.305 tonnes) km</v>
          </cell>
        </row>
        <row r="870">
          <cell r="J870" t="str">
            <v>Scope 3UK electricity T&amp;D for EVsVansClass I (up to 1.305 tonnes)Plug-in Hybrid Electric Vehiclemiles</v>
          </cell>
          <cell r="K870" t="str">
            <v>Class I (up to 1.305 tonnes) miles</v>
          </cell>
        </row>
        <row r="871">
          <cell r="J871" t="str">
            <v>Scope 3UK electricity T&amp;D for EVsVansClass I (up to 1.305 tonnes)Plug-in Hybrid Electric Vehicletonne.km</v>
          </cell>
          <cell r="K871" t="str">
            <v>Class I (up to 1.305 tonnes) tonne.km</v>
          </cell>
        </row>
        <row r="872">
          <cell r="J872" t="str">
            <v>Scope 3UK electricity T&amp;D for EVsVansClass I (up to 1.305 tonnes)Battery Electric Vehiclekm</v>
          </cell>
          <cell r="K872" t="str">
            <v>Class I (up to 1.305 tonnes) km</v>
          </cell>
          <cell r="L872">
            <v>3.2100000000000002E-3</v>
          </cell>
        </row>
        <row r="873">
          <cell r="J873" t="str">
            <v>Scope 3UK electricity T&amp;D for EVsVansClass I (up to 1.305 tonnes)Battery Electric Vehiclemiles</v>
          </cell>
          <cell r="K873" t="str">
            <v>Class I (up to 1.305 tonnes) miles</v>
          </cell>
          <cell r="L873">
            <v>5.1700000000000001E-3</v>
          </cell>
        </row>
        <row r="874">
          <cell r="J874" t="str">
            <v>Scope 3UK electricity T&amp;D for EVsVansClass I (up to 1.305 tonnes)Battery Electric Vehicletonne.km</v>
          </cell>
          <cell r="K874" t="str">
            <v>Class I (up to 1.305 tonnes) tonne.km</v>
          </cell>
          <cell r="L874">
            <v>1.5269999999999999E-2</v>
          </cell>
        </row>
        <row r="875">
          <cell r="J875" t="str">
            <v>Scope 3UK electricity T&amp;D for EVsVansClass II (1.305 to 1.74 tonnes)Plug-in Hybrid Electric Vehiclekm</v>
          </cell>
          <cell r="K875" t="str">
            <v>Class II (1.305 to 1.74 tonnes) km</v>
          </cell>
        </row>
        <row r="876">
          <cell r="J876" t="str">
            <v>Scope 3UK electricity T&amp;D for EVsVansClass II (1.305 to 1.74 tonnes)Plug-in Hybrid Electric Vehiclemiles</v>
          </cell>
          <cell r="K876" t="str">
            <v>Class II (1.305 to 1.74 tonnes) miles</v>
          </cell>
        </row>
        <row r="877">
          <cell r="J877" t="str">
            <v>Scope 3UK electricity T&amp;D for EVsVansClass II (1.305 to 1.74 tonnes)Plug-in Hybrid Electric Vehicletonne.km</v>
          </cell>
          <cell r="K877" t="str">
            <v>Class II (1.305 to 1.74 tonnes) tonne.km</v>
          </cell>
        </row>
        <row r="878">
          <cell r="J878" t="str">
            <v>Scope 3UK electricity T&amp;D for EVsVansClass II (1.305 to 1.74 tonnes)Battery Electric Vehiclekm</v>
          </cell>
          <cell r="K878" t="str">
            <v>Class II (1.305 to 1.74 tonnes) km</v>
          </cell>
          <cell r="L878">
            <v>4.4399999999999995E-3</v>
          </cell>
        </row>
        <row r="879">
          <cell r="J879" t="str">
            <v>Scope 3UK electricity T&amp;D for EVsVansClass II (1.305 to 1.74 tonnes)Battery Electric Vehiclemiles</v>
          </cell>
          <cell r="K879" t="str">
            <v>Class II (1.305 to 1.74 tonnes) miles</v>
          </cell>
          <cell r="L879">
            <v>7.1499999999999992E-3</v>
          </cell>
        </row>
        <row r="880">
          <cell r="J880" t="str">
            <v>Scope 3UK electricity T&amp;D for EVsVansClass II (1.305 to 1.74 tonnes)Battery Electric Vehicletonne.km</v>
          </cell>
          <cell r="K880" t="str">
            <v>Class II (1.305 to 1.74 tonnes) tonne.km</v>
          </cell>
          <cell r="L880">
            <v>1.9980000000000001E-2</v>
          </cell>
        </row>
        <row r="881">
          <cell r="J881" t="str">
            <v>Scope 3UK electricity T&amp;D for EVsVansClass III (1.74 to 3.5 tonnes)Plug-in Hybrid Electric Vehiclekm</v>
          </cell>
          <cell r="K881" t="str">
            <v>Class III (1.74 to 3.5 tonnes) km</v>
          </cell>
        </row>
        <row r="882">
          <cell r="J882" t="str">
            <v>Scope 3UK electricity T&amp;D for EVsVansClass III (1.74 to 3.5 tonnes)Plug-in Hybrid Electric Vehiclemiles</v>
          </cell>
          <cell r="K882" t="str">
            <v>Class III (1.74 to 3.5 tonnes) miles</v>
          </cell>
        </row>
        <row r="883">
          <cell r="J883" t="str">
            <v>Scope 3UK electricity T&amp;D for EVsVansClass III (1.74 to 3.5 tonnes)Plug-in Hybrid Electric Vehicletonne.km</v>
          </cell>
          <cell r="K883" t="str">
            <v>Class III (1.74 to 3.5 tonnes) tonne.km</v>
          </cell>
        </row>
        <row r="884">
          <cell r="J884" t="str">
            <v>Scope 3UK electricity T&amp;D for EVsVansClass III (1.74 to 3.5 tonnes)Battery Electric Vehiclekm</v>
          </cell>
          <cell r="K884" t="str">
            <v>Class III (1.74 to 3.5 tonnes) km</v>
          </cell>
          <cell r="L884">
            <v>6.2300000000000003E-3</v>
          </cell>
        </row>
        <row r="885">
          <cell r="J885" t="str">
            <v>Scope 3UK electricity T&amp;D for EVsVansClass III (1.74 to 3.5 tonnes)Battery Electric Vehiclemiles</v>
          </cell>
          <cell r="K885" t="str">
            <v>Class III (1.74 to 3.5 tonnes) miles</v>
          </cell>
          <cell r="L885">
            <v>1.0019999999999999E-2</v>
          </cell>
        </row>
        <row r="886">
          <cell r="J886" t="str">
            <v>Scope 3UK electricity T&amp;D for EVsVansClass III (1.74 to 3.5 tonnes)Battery Electric Vehicletonne.km</v>
          </cell>
          <cell r="K886" t="str">
            <v>Class III (1.74 to 3.5 tonnes) tonne.km</v>
          </cell>
          <cell r="L886">
            <v>1.865E-2</v>
          </cell>
        </row>
        <row r="887">
          <cell r="J887" t="str">
            <v>Scope 3UK electricity T&amp;D for EVsVansAverage (up to 3.5 tonnes)Plug-in Hybrid Electric Vehiclekm</v>
          </cell>
          <cell r="K887" t="str">
            <v>Average (up to 3.5 tonnes) km</v>
          </cell>
        </row>
        <row r="888">
          <cell r="J888" t="str">
            <v>Scope 3UK electricity T&amp;D for EVsVansAverage (up to 3.5 tonnes)Plug-in Hybrid Electric Vehiclemiles</v>
          </cell>
          <cell r="K888" t="str">
            <v>Average (up to 3.5 tonnes) miles</v>
          </cell>
        </row>
        <row r="889">
          <cell r="J889" t="str">
            <v>Scope 3UK electricity T&amp;D for EVsVansAverage (up to 3.5 tonnes)Plug-in Hybrid Electric Vehicletonne.km</v>
          </cell>
          <cell r="K889" t="str">
            <v>Average (up to 3.5 tonnes) tonne.km</v>
          </cell>
        </row>
        <row r="890">
          <cell r="J890" t="str">
            <v>Scope 3UK electricity T&amp;D for EVsVansAverage (up to 3.5 tonnes)Battery Electric Vehiclekm</v>
          </cell>
          <cell r="K890" t="str">
            <v>Average (up to 3.5 tonnes) km</v>
          </cell>
          <cell r="L890">
            <v>4.45E-3</v>
          </cell>
        </row>
        <row r="891">
          <cell r="J891" t="str">
            <v>Scope 3UK electricity T&amp;D for EVsVansAverage (up to 3.5 tonnes)Battery Electric Vehiclemiles</v>
          </cell>
          <cell r="K891" t="str">
            <v>Average (up to 3.5 tonnes) miles</v>
          </cell>
          <cell r="L891">
            <v>7.1599999999999997E-3</v>
          </cell>
        </row>
        <row r="892">
          <cell r="J892" t="str">
            <v>Scope 3UK electricity T&amp;D for EVsVansAverage (up to 3.5 tonnes)Battery Electric Vehicletonne.km</v>
          </cell>
          <cell r="K892" t="str">
            <v>Average (up to 3.5 tonnes) tonne.km</v>
          </cell>
          <cell r="L892">
            <v>1.9960000000000002E-2</v>
          </cell>
        </row>
        <row r="893">
          <cell r="J893" t="str">
            <v>Scope 3WTT- fuelsWTT- gaseous fuelsButaneEnergy - Gross CVkWh</v>
          </cell>
          <cell r="K893" t="str">
            <v>Butane kWh (Gross CV)</v>
          </cell>
          <cell r="L893">
            <v>2.5090000000000001E-2</v>
          </cell>
        </row>
        <row r="894">
          <cell r="J894" t="str">
            <v>Scope 3WTT- fuelsWTT- gaseous fuelsButaneEnergy - Net CVkWh</v>
          </cell>
          <cell r="K894" t="str">
            <v>Butane kWh (Net CV)</v>
          </cell>
          <cell r="L894">
            <v>2.7189999999999999E-2</v>
          </cell>
        </row>
        <row r="895">
          <cell r="J895" t="str">
            <v>Scope 3WTT- fuelsWTT- gaseous fuelsButanelitres</v>
          </cell>
          <cell r="K895" t="str">
            <v>Butane litres</v>
          </cell>
          <cell r="L895">
            <v>0.19686000000000001</v>
          </cell>
        </row>
        <row r="896">
          <cell r="J896" t="str">
            <v>Scope 3WTT- fuelsWTT- gaseous fuelsButaneTonnestonnes</v>
          </cell>
          <cell r="K896" t="str">
            <v>Butane tonnes</v>
          </cell>
          <cell r="L896">
            <v>342.14737000000002</v>
          </cell>
        </row>
        <row r="897">
          <cell r="J897" t="str">
            <v>Scope 3WTT- fuelsWTT- gaseous fuelsCNGEnergy - Gross CVkWh</v>
          </cell>
          <cell r="K897" t="str">
            <v>CNG kWh (Gross CV)</v>
          </cell>
          <cell r="L897">
            <v>3.9120000000000002E-2</v>
          </cell>
        </row>
        <row r="898">
          <cell r="J898" t="str">
            <v>Scope 3WTT- fuelsWTT- gaseous fuelsCNGEnergy - Net CVkWh</v>
          </cell>
          <cell r="K898" t="str">
            <v>CNG kWh (Net CV)</v>
          </cell>
          <cell r="L898">
            <v>4.335E-2</v>
          </cell>
        </row>
        <row r="899">
          <cell r="J899" t="str">
            <v>Scope 3WTT- fuelsWTT- gaseous fuelsCNGlitres</v>
          </cell>
          <cell r="K899" t="str">
            <v>CNG litres</v>
          </cell>
          <cell r="L899">
            <v>9.4869999999999996E-2</v>
          </cell>
        </row>
        <row r="900">
          <cell r="J900" t="str">
            <v>Scope 3WTT- fuelsWTT- gaseous fuelsCNGTonnestonnes</v>
          </cell>
          <cell r="K900" t="str">
            <v>CNG tonnes</v>
          </cell>
          <cell r="L900">
            <v>542.11184000000003</v>
          </cell>
        </row>
        <row r="901">
          <cell r="J901" t="str">
            <v>Scope 3WTT- fuelsWTT- gaseous fuelsLNGEnergy - Gross CVkWh</v>
          </cell>
          <cell r="K901" t="str">
            <v>LNG kWh (Gross CV)</v>
          </cell>
          <cell r="L901">
            <v>6.3670000000000004E-2</v>
          </cell>
        </row>
        <row r="902">
          <cell r="J902" t="str">
            <v>Scope 3WTT- fuelsWTT- gaseous fuelsLNGEnergy - Net CVkWh</v>
          </cell>
          <cell r="K902" t="str">
            <v>LNG kWh (Net CV)</v>
          </cell>
          <cell r="L902">
            <v>7.0550000000000002E-2</v>
          </cell>
        </row>
        <row r="903">
          <cell r="J903" t="str">
            <v>Scope 3WTT- fuelsWTT- gaseous fuelsLNGlitres</v>
          </cell>
          <cell r="K903" t="str">
            <v>LNG litres</v>
          </cell>
          <cell r="L903">
            <v>0.39924999999999999</v>
          </cell>
        </row>
        <row r="904">
          <cell r="J904" t="str">
            <v>Scope 3WTT- fuelsWTT- gaseous fuelsLNGTonnestonnes</v>
          </cell>
          <cell r="K904" t="str">
            <v>LNG tonnes</v>
          </cell>
          <cell r="L904">
            <v>882.34788000000003</v>
          </cell>
        </row>
        <row r="905">
          <cell r="J905" t="str">
            <v>Scope 3WTT- fuelsWTT- gaseous fuelsLPGEnergy - Gross CVkWh</v>
          </cell>
          <cell r="K905" t="str">
            <v>LPG kWh (Gross CV)</v>
          </cell>
          <cell r="L905">
            <v>2.5319999999999999E-2</v>
          </cell>
        </row>
        <row r="906">
          <cell r="J906" t="str">
            <v>Scope 3WTT- fuelsWTT- gaseous fuelsLPGEnergy - Net CVkWh</v>
          </cell>
          <cell r="K906" t="str">
            <v>LPG kWh (Net CV)</v>
          </cell>
          <cell r="L906">
            <v>2.7189999999999999E-2</v>
          </cell>
        </row>
        <row r="907">
          <cell r="J907" t="str">
            <v>Scope 3WTT- fuelsWTT- gaseous fuelsLPGlitres</v>
          </cell>
          <cell r="K907" t="str">
            <v>LPG litres</v>
          </cell>
          <cell r="L907">
            <v>0.18382999999999999</v>
          </cell>
        </row>
        <row r="908">
          <cell r="J908" t="str">
            <v>Scope 3WTT- fuelsWTT- gaseous fuelsLPGTonnestonnes</v>
          </cell>
          <cell r="K908" t="str">
            <v>LPG tonnes</v>
          </cell>
          <cell r="L908">
            <v>347.0093</v>
          </cell>
        </row>
        <row r="909">
          <cell r="J909" t="str">
            <v>Scope 3WTT- fuelsWTT- gaseous fuelsNatural GasEnergy - Gross CVkWh</v>
          </cell>
          <cell r="K909" t="str">
            <v>Natural Gas kWh (Gross CV)</v>
          </cell>
          <cell r="L909">
            <v>3.1350000000000003E-2</v>
          </cell>
        </row>
        <row r="910">
          <cell r="J910" t="str">
            <v>Scope 3WTT- fuelsWTT- gaseous fuelsNatural GasEnergy - Net CVkWh</v>
          </cell>
          <cell r="K910" t="str">
            <v>Natural Gas kWh (Net CV)</v>
          </cell>
          <cell r="L910">
            <v>3.474E-2</v>
          </cell>
        </row>
        <row r="911">
          <cell r="J911" t="str">
            <v>Scope 3WTT- fuelsWTT- gaseous fuelsNatural Gascubic metres</v>
          </cell>
          <cell r="K911" t="str">
            <v>Natural Gas cubic metres</v>
          </cell>
          <cell r="L911">
            <v>0.34593000000000002</v>
          </cell>
        </row>
        <row r="912">
          <cell r="J912" t="str">
            <v>Scope 3WTT- fuelsWTT- gaseous fuelsNatural GasTonnestonnes</v>
          </cell>
          <cell r="K912" t="str">
            <v>Natural Gas tonnes</v>
          </cell>
          <cell r="L912">
            <v>434.42892000000001</v>
          </cell>
        </row>
        <row r="913">
          <cell r="J913" t="str">
            <v>Scope 3WTT- fuelsWTT- gaseous fuelsOther Petroleum GasEnergy - Gross CVkWh</v>
          </cell>
          <cell r="K913" t="str">
            <v>Other Petroleum Gas kWh (Gross CV)</v>
          </cell>
          <cell r="L913">
            <v>2.164E-2</v>
          </cell>
        </row>
        <row r="914">
          <cell r="J914" t="str">
            <v>Scope 3WTT- fuelsWTT- gaseous fuelsOther Petroleum GasEnergy - Net CVkWh</v>
          </cell>
          <cell r="K914" t="str">
            <v>Other Petroleum Gas kWh (Net CV)</v>
          </cell>
          <cell r="L914">
            <v>2.3519999999999999E-2</v>
          </cell>
        </row>
        <row r="915">
          <cell r="J915" t="str">
            <v>Scope 3WTT- fuelsWTT- gaseous fuelsOther Petroleum Gaslitres</v>
          </cell>
          <cell r="K915" t="str">
            <v>Other Petroleum Gas litres</v>
          </cell>
          <cell r="L915">
            <v>0.11154</v>
          </cell>
        </row>
        <row r="916">
          <cell r="J916" t="str">
            <v>Scope 3WTT- fuelsWTT- gaseous fuelsOther Petroleum GasTonnestonnes</v>
          </cell>
          <cell r="K916" t="str">
            <v>Other Petroleum Gas tonnes</v>
          </cell>
          <cell r="L916">
            <v>304.50970000000001</v>
          </cell>
        </row>
        <row r="917">
          <cell r="J917" t="str">
            <v>Scope 3WTT- fuelsWTT- gaseous fuelsPropaneEnergy - Gross CVkWh</v>
          </cell>
          <cell r="K917" t="str">
            <v>Propane kWh (Gross CV)</v>
          </cell>
          <cell r="L917">
            <v>2.503E-2</v>
          </cell>
        </row>
        <row r="918">
          <cell r="J918" t="str">
            <v>Scope 3WTT- fuelsWTT- gaseous fuelsPropaneEnergy - Net CVkWh</v>
          </cell>
          <cell r="K918" t="str">
            <v>Propane kWh (Net CV)</v>
          </cell>
          <cell r="L918">
            <v>2.7189999999999999E-2</v>
          </cell>
        </row>
        <row r="919">
          <cell r="J919" t="str">
            <v>Scope 3WTT- fuelsWTT- gaseous fuelsPropanelitres</v>
          </cell>
          <cell r="K919" t="str">
            <v>Propane litres</v>
          </cell>
          <cell r="L919">
            <v>0.18046000000000001</v>
          </cell>
        </row>
        <row r="920">
          <cell r="J920" t="str">
            <v>Scope 3WTT- fuelsWTT- gaseous fuelsPropaneTonnestonnes</v>
          </cell>
          <cell r="K920" t="str">
            <v>Propane tonnes</v>
          </cell>
          <cell r="L920">
            <v>350.45558</v>
          </cell>
        </row>
        <row r="921">
          <cell r="J921" t="str">
            <v>Scope 3WTT- fuelsWTT- liquid fuelsAviation SpiritEnergy - Gross CVkWh</v>
          </cell>
          <cell r="K921" t="str">
            <v>Aviation Spirit kWh (Gross CV)</v>
          </cell>
          <cell r="L921">
            <v>6.2239999999999997E-2</v>
          </cell>
        </row>
        <row r="922">
          <cell r="J922" t="str">
            <v>Scope 3WTT- fuelsWTT- liquid fuelsAviation SpiritEnergy - Net CVkWh</v>
          </cell>
          <cell r="K922" t="str">
            <v>Aviation Spirit kWh (Net CV)</v>
          </cell>
          <cell r="L922">
            <v>6.5519999999999995E-2</v>
          </cell>
        </row>
        <row r="923">
          <cell r="J923" t="str">
            <v>Scope 3WTT- fuelsWTT- liquid fuelsAviation Spiritlitres</v>
          </cell>
          <cell r="K923" t="str">
            <v>Aviation Spirit litres</v>
          </cell>
          <cell r="L923">
            <v>0.59511999999999998</v>
          </cell>
        </row>
        <row r="924">
          <cell r="J924" t="str">
            <v>Scope 3WTT- fuelsWTT- liquid fuelsAviation SpiritTonnestonnes</v>
          </cell>
          <cell r="K924" t="str">
            <v>Aviation Spirit tonnes</v>
          </cell>
          <cell r="L924">
            <v>815.31014000000005</v>
          </cell>
        </row>
        <row r="925">
          <cell r="J925" t="str">
            <v>Scope 3WTT- fuelsWTT- liquid fuelsAviation Turbine FuelEnergy - Gross CVkWh</v>
          </cell>
          <cell r="K925" t="str">
            <v>Aviation Turbine Fuel kWh (Gross CV)</v>
          </cell>
          <cell r="L925">
            <v>5.1299999999999998E-2</v>
          </cell>
        </row>
        <row r="926">
          <cell r="J926" t="str">
            <v>Scope 3WTT- fuelsWTT- liquid fuelsAviation Turbine FuelEnergy - Net CVkWh</v>
          </cell>
          <cell r="K926" t="str">
            <v>Aviation Turbine Fuel kWh (Net CV)</v>
          </cell>
          <cell r="L926">
            <v>5.3999999999999999E-2</v>
          </cell>
        </row>
        <row r="927">
          <cell r="J927" t="str">
            <v>Scope 3WTT- fuelsWTT- liquid fuelsAviation Turbine Fuellitres</v>
          </cell>
          <cell r="K927" t="str">
            <v>Aviation Turbine Fuel litres</v>
          </cell>
          <cell r="L927">
            <v>0.52685999999999999</v>
          </cell>
        </row>
        <row r="928">
          <cell r="J928" t="str">
            <v>Scope 3WTT- fuelsWTT- liquid fuelsAviation Turbine FuelTonnestonnes</v>
          </cell>
          <cell r="K928" t="str">
            <v>Aviation Turbine Fuel tonnes</v>
          </cell>
          <cell r="L928">
            <v>658.57015999999999</v>
          </cell>
        </row>
        <row r="929">
          <cell r="J929" t="str">
            <v>Scope 3WTT- fuelsWTT- liquid fuelsBurning OilEnergy - Gross CVkWh</v>
          </cell>
          <cell r="K929" t="str">
            <v>Burning Oil kWh (Gross CV)</v>
          </cell>
          <cell r="L929">
            <v>5.1299999999999998E-2</v>
          </cell>
        </row>
        <row r="930">
          <cell r="J930" t="str">
            <v>Scope 3WTT- fuelsWTT- liquid fuelsBurning OilEnergy - Net CVkWh</v>
          </cell>
          <cell r="K930" t="str">
            <v>Burning Oil kWh (Net CV)</v>
          </cell>
          <cell r="L930">
            <v>5.3999999999999999E-2</v>
          </cell>
        </row>
        <row r="931">
          <cell r="J931" t="str">
            <v>Scope 3WTT- fuelsWTT- liquid fuelsBurning Oillitres</v>
          </cell>
          <cell r="K931" t="str">
            <v>Burning Oil litres</v>
          </cell>
          <cell r="L931">
            <v>0.52807000000000004</v>
          </cell>
        </row>
        <row r="932">
          <cell r="J932" t="str">
            <v>Scope 3WTT- fuelsWTT- liquid fuelsBurning OilTonnestonnes</v>
          </cell>
          <cell r="K932" t="str">
            <v>Burning Oil tonnes</v>
          </cell>
          <cell r="L932">
            <v>657.97242000000006</v>
          </cell>
        </row>
        <row r="933">
          <cell r="J933" t="str">
            <v>Scope 3WTT- fuelsWTT- liquid fuelsDiesel (average biofuel blend)Energy - Gross CVkWh</v>
          </cell>
          <cell r="K933" t="str">
            <v>Diesel (average biofuel blend) kWh (Gross CV)</v>
          </cell>
          <cell r="L933">
            <v>5.7500000000000002E-2</v>
          </cell>
        </row>
        <row r="934">
          <cell r="J934" t="str">
            <v>Scope 3WTT- fuelsWTT- liquid fuelsDiesel (average biofuel blend)Energy - Net CVkWh</v>
          </cell>
          <cell r="K934" t="str">
            <v>Diesel (average biofuel blend) kWh (Net CV)</v>
          </cell>
          <cell r="L934">
            <v>6.1089999999999998E-2</v>
          </cell>
        </row>
        <row r="935">
          <cell r="J935" t="str">
            <v>Scope 3WTT- fuelsWTT- liquid fuelsDiesel (average biofuel blend)litres</v>
          </cell>
          <cell r="K935" t="str">
            <v>Diesel (average biofuel blend) litres</v>
          </cell>
          <cell r="L935">
            <v>0.60985999999999996</v>
          </cell>
        </row>
        <row r="936">
          <cell r="J936" t="str">
            <v>Scope 3WTT- fuelsWTT- liquid fuelsDiesel (average biofuel blend)Tonnestonnes</v>
          </cell>
          <cell r="K936" t="str">
            <v>Diesel (average biofuel blend) tonnes</v>
          </cell>
          <cell r="L936">
            <v>720.72856999999999</v>
          </cell>
        </row>
        <row r="937">
          <cell r="J937" t="str">
            <v>Scope 3WTT- fuelsWTT- liquid fuelsDiesel (100% mineral diesel)Energy - Gross CVkWh</v>
          </cell>
          <cell r="K937" t="str">
            <v>Diesel (100% mineral diesel) kWh (Gross CV)</v>
          </cell>
          <cell r="L937">
            <v>5.8880000000000002E-2</v>
          </cell>
        </row>
        <row r="938">
          <cell r="J938" t="str">
            <v>Scope 3WTT- fuelsWTT- liquid fuelsDiesel (100% mineral diesel)Energy - Net CVkWh</v>
          </cell>
          <cell r="K938" t="str">
            <v>Diesel (100% mineral diesel) kWh (Net CV)</v>
          </cell>
          <cell r="L938">
            <v>6.2640000000000001E-2</v>
          </cell>
        </row>
        <row r="939">
          <cell r="J939" t="str">
            <v>Scope 3WTT- fuelsWTT- liquid fuelsDiesel (100% mineral diesel)litres</v>
          </cell>
          <cell r="K939" t="str">
            <v>Diesel (100% mineral diesel) litres</v>
          </cell>
          <cell r="L939">
            <v>0.62873999999999997</v>
          </cell>
        </row>
        <row r="940">
          <cell r="J940" t="str">
            <v>Scope 3WTT- fuelsWTT- liquid fuelsDiesel (100% mineral diesel)Tonnestonnes</v>
          </cell>
          <cell r="K940" t="str">
            <v>Diesel (100% mineral diesel) tonnes</v>
          </cell>
          <cell r="L940">
            <v>745.68124999999998</v>
          </cell>
        </row>
        <row r="941">
          <cell r="J941" t="str">
            <v>Scope 3WTT- fuelsWTT- liquid fuelsFuel OilEnergy - Gross CVkWh</v>
          </cell>
          <cell r="K941" t="str">
            <v>Fuel Oil kWh (Gross CV)</v>
          </cell>
          <cell r="L941">
            <v>5.8880000000000002E-2</v>
          </cell>
        </row>
        <row r="942">
          <cell r="J942" t="str">
            <v>Scope 3WTT- fuelsWTT- liquid fuelsFuel OilEnergy - Net CVkWh</v>
          </cell>
          <cell r="K942" t="str">
            <v>Fuel Oil kWh (Net CV)</v>
          </cell>
          <cell r="L942">
            <v>6.2640000000000001E-2</v>
          </cell>
        </row>
        <row r="943">
          <cell r="J943" t="str">
            <v>Scope 3WTT- fuelsWTT- liquid fuelsFuel Oillitres</v>
          </cell>
          <cell r="K943" t="str">
            <v>Fuel Oil litres</v>
          </cell>
          <cell r="L943">
            <v>0.69723000000000002</v>
          </cell>
        </row>
        <row r="944">
          <cell r="J944" t="str">
            <v>Scope 3WTT- fuelsWTT- liquid fuelsFuel OilTonnestonnes</v>
          </cell>
          <cell r="K944" t="str">
            <v>Fuel Oil tonnes</v>
          </cell>
          <cell r="L944">
            <v>709.08076000000005</v>
          </cell>
        </row>
        <row r="945">
          <cell r="J945" t="str">
            <v>Scope 3WTT- fuelsWTT- liquid fuelsGas OilEnergy - Gross CVkWh</v>
          </cell>
          <cell r="K945" t="str">
            <v>Gas Oil kWh (Gross CV)</v>
          </cell>
          <cell r="L945">
            <v>5.8880000000000002E-2</v>
          </cell>
        </row>
        <row r="946">
          <cell r="J946" t="str">
            <v>Scope 3WTT- fuelsWTT- liquid fuelsGas OilEnergy - Net CVkWh</v>
          </cell>
          <cell r="K946" t="str">
            <v>Gas Oil kWh (Net CV)</v>
          </cell>
          <cell r="L946">
            <v>6.2640000000000001E-2</v>
          </cell>
        </row>
        <row r="947">
          <cell r="J947" t="str">
            <v>Scope 3WTT- fuelsWTT- liquid fuelsGas Oillitres</v>
          </cell>
          <cell r="K947" t="str">
            <v>Gas Oil litres</v>
          </cell>
          <cell r="L947">
            <v>0.63253000000000004</v>
          </cell>
        </row>
        <row r="948">
          <cell r="J948" t="str">
            <v>Scope 3WTT- fuelsWTT- liquid fuelsGas OilTonnestonnes</v>
          </cell>
          <cell r="K948" t="str">
            <v>Gas Oil tonnes</v>
          </cell>
          <cell r="L948">
            <v>740.69721000000004</v>
          </cell>
        </row>
        <row r="949">
          <cell r="J949" t="str">
            <v>Scope 3WTT- fuelsWTT- liquid fuelsLubricantsEnergy - Gross CVkWh</v>
          </cell>
          <cell r="K949" t="str">
            <v>Lubricants kWh (Gross CV)</v>
          </cell>
          <cell r="L949">
            <v>6.8430000000000005E-2</v>
          </cell>
        </row>
        <row r="950">
          <cell r="J950" t="str">
            <v>Scope 3WTT- fuelsWTT- liquid fuelsLubricantsEnergy - Net CVkWh</v>
          </cell>
          <cell r="K950" t="str">
            <v>Lubricants kWh (Net CV)</v>
          </cell>
          <cell r="L950">
            <v>7.2800000000000004E-2</v>
          </cell>
        </row>
        <row r="951">
          <cell r="J951" t="str">
            <v>Scope 3WTT- fuelsWTT- liquid fuelsLubricantslitres</v>
          </cell>
          <cell r="K951" t="str">
            <v>Lubricants litres</v>
          </cell>
        </row>
        <row r="952">
          <cell r="J952" t="str">
            <v>Scope 3WTT- fuelsWTT- liquid fuelsLubricantsTonnestonnes</v>
          </cell>
          <cell r="K952" t="str">
            <v>Lubricants tonnes</v>
          </cell>
          <cell r="L952">
            <v>824.04840000000002</v>
          </cell>
        </row>
        <row r="953">
          <cell r="J953" t="str">
            <v>Scope 3WTT- fuelsWTT- liquid fuelsNaphthaEnergy - Gross CVkWh</v>
          </cell>
          <cell r="K953" t="str">
            <v>Naphtha kWh (Gross CV)</v>
          </cell>
          <cell r="L953">
            <v>4.8219999999999999E-2</v>
          </cell>
        </row>
        <row r="954">
          <cell r="J954" t="str">
            <v>Scope 3WTT- fuelsWTT- liquid fuelsNaphthaEnergy - Net CVkWh</v>
          </cell>
          <cell r="K954" t="str">
            <v>Naphtha kWh (Net CV)</v>
          </cell>
          <cell r="L954">
            <v>5.076E-2</v>
          </cell>
        </row>
        <row r="955">
          <cell r="J955" t="str">
            <v>Scope 3WTT- fuelsWTT- liquid fuelsNaphthalitres</v>
          </cell>
          <cell r="K955" t="str">
            <v>Naphtha litres</v>
          </cell>
        </row>
        <row r="956">
          <cell r="J956" t="str">
            <v>Scope 3WTT- fuelsWTT- liquid fuelsNaphthaTonnestonnes</v>
          </cell>
          <cell r="K956" t="str">
            <v>Naphtha tonnes</v>
          </cell>
          <cell r="L956">
            <v>640.80917999999997</v>
          </cell>
        </row>
        <row r="957">
          <cell r="J957" t="str">
            <v>Scope 3WTT- fuelsWTT- liquid fuelsPetrol (average biofuel blend)Energy - Gross CVkWh</v>
          </cell>
          <cell r="K957" t="str">
            <v>Petrol (average biofuel blend) kWh (Gross CV)</v>
          </cell>
          <cell r="L957">
            <v>6.4250000000000002E-2</v>
          </cell>
        </row>
        <row r="958">
          <cell r="J958" t="str">
            <v>Scope 3WTT- fuelsWTT- liquid fuelsPetrol (average biofuel blend)Energy - Net CVkWh</v>
          </cell>
          <cell r="K958" t="str">
            <v>Petrol (average biofuel blend) kWh (Net CV)</v>
          </cell>
          <cell r="L958">
            <v>6.7739999999999995E-2</v>
          </cell>
        </row>
        <row r="959">
          <cell r="J959" t="str">
            <v>Scope 3WTT- fuelsWTT- liquid fuelsPetrol (average biofuel blend)litres</v>
          </cell>
          <cell r="K959" t="str">
            <v>Petrol (average biofuel blend) litres</v>
          </cell>
          <cell r="L959">
            <v>0.61328000000000005</v>
          </cell>
        </row>
        <row r="960">
          <cell r="J960" t="str">
            <v>Scope 3WTT- fuelsWTT- liquid fuelsPetrol (average biofuel blend)Tonnestonnes</v>
          </cell>
          <cell r="K960" t="str">
            <v>Petrol (average biofuel blend) tonnes</v>
          </cell>
          <cell r="L960">
            <v>824.12159999999994</v>
          </cell>
        </row>
        <row r="961">
          <cell r="J961" t="str">
            <v>Scope 3WTT- fuelsWTT- liquid fuelsPetrol (100% mineral petrol)Energy - Gross CVkWh</v>
          </cell>
          <cell r="K961" t="str">
            <v>Petrol (100% mineral petrol) kWh (Gross CV)</v>
          </cell>
          <cell r="L961">
            <v>6.2239999999999997E-2</v>
          </cell>
        </row>
        <row r="962">
          <cell r="J962" t="str">
            <v>Scope 3WTT- fuelsWTT- liquid fuelsPetrol (100% mineral petrol)Energy - Net CVkWh</v>
          </cell>
          <cell r="K962" t="str">
            <v>Petrol (100% mineral petrol) kWh (Net CV)</v>
          </cell>
          <cell r="L962">
            <v>6.5519999999999995E-2</v>
          </cell>
        </row>
        <row r="963">
          <cell r="J963" t="str">
            <v>Scope 3WTT- fuelsWTT- liquid fuelsPetrol (100% mineral petrol)litres</v>
          </cell>
          <cell r="K963" t="str">
            <v>Petrol (100% mineral petrol) litres</v>
          </cell>
          <cell r="L963">
            <v>0.60282999999999998</v>
          </cell>
        </row>
        <row r="964">
          <cell r="J964" t="str">
            <v>Scope 3WTT- fuelsWTT- liquid fuelsPetrol (100% mineral petrol)Tonnestonnes</v>
          </cell>
          <cell r="K964" t="str">
            <v>Petrol (100% mineral petrol) tonnes</v>
          </cell>
          <cell r="L964">
            <v>812.61051999999995</v>
          </cell>
        </row>
        <row r="965">
          <cell r="J965" t="str">
            <v>Scope 3WTT- fuelsWTT- liquid fuelsProcessed fuel oils - residual oilEnergy - Gross CVkWh</v>
          </cell>
          <cell r="K965" t="str">
            <v>Processed fuel oils - residual oil kWh (Gross CV)</v>
          </cell>
          <cell r="L965">
            <v>6.9409999999999999E-2</v>
          </cell>
        </row>
        <row r="966">
          <cell r="J966" t="str">
            <v>Scope 3WTT- fuelsWTT- liquid fuelsProcessed fuel oils - residual oilEnergy - Net CVkWh</v>
          </cell>
          <cell r="K966" t="str">
            <v>Processed fuel oils - residual oil kWh (Net CV)</v>
          </cell>
          <cell r="L966">
            <v>7.3840000000000003E-2</v>
          </cell>
        </row>
        <row r="967">
          <cell r="J967" t="str">
            <v>Scope 3WTT- fuelsWTT- liquid fuelsProcessed fuel oils - residual oillitres</v>
          </cell>
          <cell r="K967" t="str">
            <v>Processed fuel oils - residual oil litres</v>
          </cell>
          <cell r="L967">
            <v>0.82184999999999997</v>
          </cell>
        </row>
        <row r="968">
          <cell r="J968" t="str">
            <v>Scope 3WTT- fuelsWTT- liquid fuelsProcessed fuel oils - residual oilTonnestonnes</v>
          </cell>
          <cell r="K968" t="str">
            <v>Processed fuel oils - residual oil tonnes</v>
          </cell>
          <cell r="L968">
            <v>835.81881999999996</v>
          </cell>
        </row>
        <row r="969">
          <cell r="J969" t="str">
            <v>Scope 3WTT- fuelsWTT- liquid fuelsProcessed fuel oils - distillate oilEnergy - Gross CVkWh</v>
          </cell>
          <cell r="K969" t="str">
            <v>Processed fuel oils - distillate oil kWh (Gross CV)</v>
          </cell>
          <cell r="L969">
            <v>6.59E-2</v>
          </cell>
        </row>
        <row r="970">
          <cell r="J970" t="str">
            <v>Scope 3WTT- fuelsWTT- liquid fuelsProcessed fuel oils - distillate oilEnergy - Net CVkWh</v>
          </cell>
          <cell r="K970" t="str">
            <v>Processed fuel oils - distillate oil kWh (Net CV)</v>
          </cell>
          <cell r="L970">
            <v>7.0099999999999996E-2</v>
          </cell>
        </row>
        <row r="971">
          <cell r="J971" t="str">
            <v>Scope 3WTT- fuelsWTT- liquid fuelsProcessed fuel oils - distillate oillitres</v>
          </cell>
          <cell r="K971" t="str">
            <v>Processed fuel oils - distillate oil litres</v>
          </cell>
          <cell r="L971">
            <v>0.70791000000000004</v>
          </cell>
        </row>
        <row r="972">
          <cell r="J972" t="str">
            <v>Scope 3WTT- fuelsWTT- liquid fuelsProcessed fuel oils - distillate oilTonnestonnes</v>
          </cell>
          <cell r="K972" t="str">
            <v>Processed fuel oils - distillate oil tonnes</v>
          </cell>
          <cell r="L972">
            <v>828.96367999999995</v>
          </cell>
        </row>
        <row r="973">
          <cell r="J973" t="str">
            <v>Scope 3WTT- fuelsWTT- liquid fuelsRefinery MiscellaneousEnergy - Gross CVkWh</v>
          </cell>
          <cell r="K973" t="str">
            <v>Refinery Miscellaneous kWh (Gross CV)</v>
          </cell>
          <cell r="L973">
            <v>2.9049999999999999E-2</v>
          </cell>
        </row>
        <row r="974">
          <cell r="J974" t="str">
            <v>Scope 3WTT- fuelsWTT- liquid fuelsRefinery MiscellaneousEnergy - Net CVkWh</v>
          </cell>
          <cell r="K974" t="str">
            <v>Refinery Miscellaneous kWh (Net CV)</v>
          </cell>
          <cell r="L974">
            <v>3.058E-2</v>
          </cell>
        </row>
        <row r="975">
          <cell r="J975" t="str">
            <v>Scope 3WTT- fuelsWTT- liquid fuelsRefinery Miscellaneouslitres</v>
          </cell>
          <cell r="K975" t="str">
            <v>Refinery Miscellaneous litres</v>
          </cell>
        </row>
        <row r="976">
          <cell r="J976" t="str">
            <v>Scope 3WTT- fuelsWTT- liquid fuelsRefinery MiscellaneousTonnestonnes</v>
          </cell>
          <cell r="K976" t="str">
            <v>Refinery Miscellaneous tonnes</v>
          </cell>
          <cell r="L976">
            <v>346.79113999999998</v>
          </cell>
        </row>
        <row r="977">
          <cell r="J977" t="str">
            <v>Scope 3WTT- fuelsWTT- liquid fuelsWaste oilsEnergy - Gross CVkWh</v>
          </cell>
          <cell r="K977" t="str">
            <v>Waste oils kWh (Gross CV)</v>
          </cell>
          <cell r="L977">
            <v>6.5629999999999994E-2</v>
          </cell>
        </row>
        <row r="978">
          <cell r="J978" t="str">
            <v>Scope 3WTT- fuelsWTT- liquid fuelsWaste oilsEnergy - Net CVkWh</v>
          </cell>
          <cell r="K978" t="str">
            <v>Waste oils kWh (Net CV)</v>
          </cell>
          <cell r="L978">
            <v>7.0290000000000005E-2</v>
          </cell>
        </row>
        <row r="979">
          <cell r="J979" t="str">
            <v>Scope 3WTT- fuelsWTT- liquid fuelsWaste oilslitres</v>
          </cell>
          <cell r="K979" t="str">
            <v>Waste oils litres</v>
          </cell>
        </row>
        <row r="980">
          <cell r="J980" t="str">
            <v>Scope 3WTT- fuelsWTT- liquid fuelsWaste oilsTonnestonnes</v>
          </cell>
          <cell r="K980" t="str">
            <v>Waste oils tonnes</v>
          </cell>
          <cell r="L980">
            <v>824.04840000000002</v>
          </cell>
        </row>
        <row r="981">
          <cell r="J981" t="str">
            <v>Scope 3WTT- fuelsWTT- liquid fuelsMarine gas oilEnergy - Gross CVkWh</v>
          </cell>
          <cell r="K981" t="str">
            <v>Marine gas oil kWh (Gross CV)</v>
          </cell>
          <cell r="L981">
            <v>5.8880000000000002E-2</v>
          </cell>
        </row>
        <row r="982">
          <cell r="J982" t="str">
            <v>Scope 3WTT- fuelsWTT- liquid fuelsMarine gas oilEnergy - Net CVkWh</v>
          </cell>
          <cell r="K982" t="str">
            <v>Marine gas oil kWh (Net CV)</v>
          </cell>
          <cell r="L982">
            <v>6.2640000000000001E-2</v>
          </cell>
        </row>
        <row r="983">
          <cell r="J983" t="str">
            <v>Scope 3WTT- fuelsWTT- liquid fuelsMarine gas oillitres</v>
          </cell>
          <cell r="K983" t="str">
            <v>Marine gas oil litres</v>
          </cell>
          <cell r="L983">
            <v>0.63253000000000004</v>
          </cell>
        </row>
        <row r="984">
          <cell r="J984" t="str">
            <v>Scope 3WTT- fuelsWTT- liquid fuelsMarine gas oilTonnestonnes</v>
          </cell>
          <cell r="K984" t="str">
            <v>Marine gas oil tonnes</v>
          </cell>
          <cell r="L984">
            <v>740.69721000000004</v>
          </cell>
        </row>
        <row r="985">
          <cell r="J985" t="str">
            <v>Scope 3WTT- fuelsWTT- liquid fuelsMarine fuel oilEnergy - Gross CVkWh</v>
          </cell>
          <cell r="K985" t="str">
            <v>Marine fuel oil kWh (Gross CV)</v>
          </cell>
          <cell r="L985">
            <v>5.8880000000000002E-2</v>
          </cell>
        </row>
        <row r="986">
          <cell r="J986" t="str">
            <v>Scope 3WTT- fuelsWTT- liquid fuelsMarine fuel oilEnergy - Net CVkWh</v>
          </cell>
          <cell r="K986" t="str">
            <v>Marine fuel oil kWh (Net CV)</v>
          </cell>
          <cell r="L986">
            <v>6.2640000000000001E-2</v>
          </cell>
        </row>
        <row r="987">
          <cell r="J987" t="str">
            <v>Scope 3WTT- fuelsWTT- liquid fuelsMarine fuel oillitres</v>
          </cell>
          <cell r="K987" t="str">
            <v>Marine fuel oil litres</v>
          </cell>
          <cell r="L987">
            <v>0.69723000000000002</v>
          </cell>
        </row>
        <row r="988">
          <cell r="J988" t="str">
            <v>Scope 3WTT- fuelsWTT- liquid fuelsMarine fuel oilTonnestonnes</v>
          </cell>
          <cell r="K988" t="str">
            <v>Marine fuel oil tonnes</v>
          </cell>
          <cell r="L988">
            <v>709.08076000000005</v>
          </cell>
        </row>
        <row r="989">
          <cell r="J989" t="str">
            <v>Scope 3WTT- fuelsWTT- solid fuelsCoal (industrial)Energy - Gross CVkWh</v>
          </cell>
          <cell r="K989" t="str">
            <v>Coal (industrial) kWh (Gross CV)</v>
          </cell>
          <cell r="L989">
            <v>5.2920000000000002E-2</v>
          </cell>
        </row>
        <row r="990">
          <cell r="J990" t="str">
            <v>Scope 3WTT- fuelsWTT- solid fuelsCoal (industrial)Energy - Net CVkWh</v>
          </cell>
          <cell r="K990" t="str">
            <v>Coal (industrial) kWh (Net CV)</v>
          </cell>
          <cell r="L990">
            <v>5.5710000000000003E-2</v>
          </cell>
        </row>
        <row r="991">
          <cell r="J991" t="str">
            <v>Scope 3WTT- fuelsWTT- solid fuelsCoal (industrial)Tonnestonnes</v>
          </cell>
          <cell r="K991" t="str">
            <v>Coal (industrial) tonnes</v>
          </cell>
          <cell r="L991">
            <v>393.14028999999999</v>
          </cell>
        </row>
        <row r="992">
          <cell r="J992" t="str">
            <v>Scope 3WTT- fuelsWTT- solid fuelsCoal (electricity generation)Energy - Gross CVkWh</v>
          </cell>
          <cell r="K992" t="str">
            <v>Coal (electricity generation) kWh (Gross CV)</v>
          </cell>
          <cell r="L992">
            <v>5.2920000000000002E-2</v>
          </cell>
        </row>
        <row r="993">
          <cell r="J993" t="str">
            <v>Scope 3WTT- fuelsWTT- solid fuelsCoal (electricity generation)Energy - Net CVkWh</v>
          </cell>
          <cell r="K993" t="str">
            <v>Coal (electricity generation) kWh (Net CV)</v>
          </cell>
          <cell r="L993">
            <v>5.5710000000000003E-2</v>
          </cell>
        </row>
        <row r="994">
          <cell r="J994" t="str">
            <v>Scope 3WTT- fuelsWTT- solid fuelsCoal (electricity generation)Tonnestonnes</v>
          </cell>
          <cell r="K994" t="str">
            <v>Coal (electricity generation) tonnes</v>
          </cell>
          <cell r="L994">
            <v>372.27789000000001</v>
          </cell>
        </row>
        <row r="995">
          <cell r="J995" t="str">
            <v>Scope 3WTT- fuelsWTT- solid fuelsCoal (domestic)Energy - Gross CVkWh</v>
          </cell>
          <cell r="K995" t="str">
            <v>Coal (domestic) kWh (Gross CV)</v>
          </cell>
          <cell r="L995">
            <v>5.2920000000000002E-2</v>
          </cell>
        </row>
        <row r="996">
          <cell r="J996" t="str">
            <v>Scope 3WTT- fuelsWTT- solid fuelsCoal (domestic)Energy - Net CVkWh</v>
          </cell>
          <cell r="K996" t="str">
            <v>Coal (domestic) kWh (Net CV)</v>
          </cell>
          <cell r="L996">
            <v>5.5710000000000003E-2</v>
          </cell>
        </row>
        <row r="997">
          <cell r="J997" t="str">
            <v>Scope 3WTT- fuelsWTT- solid fuelsCoal (domestic)Tonnestonnes</v>
          </cell>
          <cell r="K997" t="str">
            <v>Coal (domestic) tonnes</v>
          </cell>
          <cell r="L997">
            <v>442.78949999999998</v>
          </cell>
        </row>
        <row r="998">
          <cell r="J998" t="str">
            <v>Scope 3WTT- fuelsWTT- solid fuelsCoking CoalEnergy - Gross CVkWh</v>
          </cell>
          <cell r="K998" t="str">
            <v>Coking Coal kWh (Gross CV)</v>
          </cell>
          <cell r="L998">
            <v>5.2920000000000002E-2</v>
          </cell>
        </row>
        <row r="999">
          <cell r="J999" t="str">
            <v>Scope 3WTT- fuelsWTT- solid fuelsCoking CoalEnergy - Net CVkWh</v>
          </cell>
          <cell r="K999" t="str">
            <v>Coking Coal kWh (Net CV)</v>
          </cell>
          <cell r="L999">
            <v>5.5710000000000003E-2</v>
          </cell>
        </row>
        <row r="1000">
          <cell r="J1000" t="str">
            <v>Scope 3WTT- fuelsWTT- solid fuelsCoking CoalTonnestonnes</v>
          </cell>
          <cell r="K1000" t="str">
            <v>Coking Coal tonnes</v>
          </cell>
          <cell r="L1000">
            <v>467.96717999999998</v>
          </cell>
        </row>
        <row r="1001">
          <cell r="J1001" t="str">
            <v>Scope 3WTT- fuelsWTT- solid fuelsPetroleum CokeEnergy - Gross CVkWh</v>
          </cell>
          <cell r="K1001" t="str">
            <v>Petroleum Coke kWh (Gross CV)</v>
          </cell>
          <cell r="L1001">
            <v>4.0189999999999997E-2</v>
          </cell>
        </row>
        <row r="1002">
          <cell r="J1002" t="str">
            <v>Scope 3WTT- fuelsWTT- solid fuelsPetroleum CokeEnergy - Net CVkWh</v>
          </cell>
          <cell r="K1002" t="str">
            <v>Petroleum Coke kWh (Net CV)</v>
          </cell>
          <cell r="L1002">
            <v>4.231E-2</v>
          </cell>
        </row>
        <row r="1003">
          <cell r="J1003" t="str">
            <v>Scope 3WTT- fuelsWTT- solid fuelsPetroleum CokeTonnestonnes</v>
          </cell>
          <cell r="K1003" t="str">
            <v>Petroleum Coke tonnes</v>
          </cell>
          <cell r="L1003">
            <v>399.24907000000002</v>
          </cell>
        </row>
        <row r="1004">
          <cell r="J1004" t="str">
            <v>Scope 3WTT- fuelsWTT- solid fuelsCoal (electricity generation - home produced coal only)Energy - Gross CVkWh</v>
          </cell>
          <cell r="K1004" t="str">
            <v>Coal (electricity generation - home produced coal only) kWh (Gross CV)</v>
          </cell>
          <cell r="L1004">
            <v>5.2920000000000002E-2</v>
          </cell>
        </row>
        <row r="1005">
          <cell r="J1005" t="str">
            <v>Scope 3WTT- fuelsWTT- solid fuelsCoal (electricity generation - home produced coal only)Energy - Net CVkWh</v>
          </cell>
          <cell r="K1005" t="str">
            <v>Coal (electricity generation - home produced coal only) kWh (Net CV)</v>
          </cell>
          <cell r="L1005">
            <v>5.5710000000000003E-2</v>
          </cell>
        </row>
        <row r="1006">
          <cell r="J1006" t="str">
            <v>Scope 3WTT- fuelsWTT- solid fuelsCoal (electricity generation - home produced coal only)Tonnestonnes</v>
          </cell>
          <cell r="K1006" t="str">
            <v>Coal (electricity generation - home produced coal only) tonnes</v>
          </cell>
          <cell r="L1006">
            <v>371.69625000000002</v>
          </cell>
        </row>
        <row r="1007">
          <cell r="J1007" t="str">
            <v>Scope 3WTT- UK &amp; overseas elecWTT- UK electricity (generation)Electricity: UKkWh</v>
          </cell>
          <cell r="K1007" t="str">
            <v>Electricity: UK</v>
          </cell>
          <cell r="L1007">
            <v>5.5289999999999999E-2</v>
          </cell>
        </row>
        <row r="1008">
          <cell r="J1008" t="str">
            <v>Scope 3WTT- UK &amp; overseas elecWTT- UK electricity (T&amp;D)Electricity: UKkWh</v>
          </cell>
          <cell r="K1008" t="str">
            <v>Electricity: UK</v>
          </cell>
          <cell r="L1008">
            <v>4.8900000000000002E-3</v>
          </cell>
        </row>
        <row r="1009">
          <cell r="J1009" t="str">
            <v>Scope 3WTT- UK &amp; overseas elecWTT- overseas electricity (generation)Electricity: AustraliakWh</v>
          </cell>
          <cell r="K1009" t="str">
            <v>Electricity: Australia</v>
          </cell>
          <cell r="L1009">
            <v>0.17557057435409401</v>
          </cell>
        </row>
        <row r="1010">
          <cell r="J1010" t="str">
            <v>Scope 3WTT- UK &amp; overseas elecWTT- overseas electricity (generation)Electricity: AustriakWh</v>
          </cell>
          <cell r="K1010" t="str">
            <v>Electricity: Austria</v>
          </cell>
          <cell r="L1010">
            <v>4.8688115249468554E-2</v>
          </cell>
        </row>
        <row r="1011">
          <cell r="J1011" t="str">
            <v>Scope 3WTT- UK &amp; overseas elecWTT- overseas electricity (generation)Electricity: BelgiumkWh</v>
          </cell>
          <cell r="K1011" t="str">
            <v>Electricity: Belgium</v>
          </cell>
          <cell r="L1011">
            <v>3.6729787103975717E-2</v>
          </cell>
        </row>
        <row r="1012">
          <cell r="J1012" t="str">
            <v>Scope 3WTT- UK &amp; overseas elecWTT- overseas electricity (generation)Electricity: BrazilkWh</v>
          </cell>
          <cell r="K1012" t="str">
            <v>Electricity: Brazil</v>
          </cell>
          <cell r="L1012">
            <v>1.3222926340034646E-2</v>
          </cell>
        </row>
        <row r="1013">
          <cell r="J1013" t="str">
            <v>Scope 3WTT- UK &amp; overseas elecWTT- overseas electricity (generation)Electricity: BulgariakWh</v>
          </cell>
          <cell r="K1013" t="str">
            <v>Electricity: Bulgaria</v>
          </cell>
          <cell r="L1013">
            <v>0.13229040580463705</v>
          </cell>
        </row>
        <row r="1014">
          <cell r="J1014" t="str">
            <v>Scope 3WTT- UK &amp; overseas elecWTT- overseas electricity (generation)Electricity: CanadakWh</v>
          </cell>
          <cell r="K1014" t="str">
            <v>Electricity: Canada</v>
          </cell>
          <cell r="L1014">
            <v>3.2681401283119305E-2</v>
          </cell>
        </row>
        <row r="1015">
          <cell r="J1015" t="str">
            <v>Scope 3WTT- UK &amp; overseas elecWTT- overseas electricity (generation)Electricity: Chinese TaipeikWh</v>
          </cell>
          <cell r="K1015" t="str">
            <v>Electricity: Chinese Taipei</v>
          </cell>
          <cell r="L1015">
            <v>0.12443441221757312</v>
          </cell>
        </row>
        <row r="1016">
          <cell r="J1016" t="str">
            <v>Scope 3WTT- UK &amp; overseas elecWTT- overseas electricity (generation)Electricity: CroatiakWh</v>
          </cell>
          <cell r="K1016" t="str">
            <v>Electricity: Croatia</v>
          </cell>
          <cell r="L1016">
            <v>6.488368711790185E-2</v>
          </cell>
        </row>
        <row r="1017">
          <cell r="J1017" t="str">
            <v>Scope 3WTT- UK &amp; overseas elecWTT- overseas electricity (generation)Electricity: CypruskWh</v>
          </cell>
          <cell r="K1017" t="str">
            <v>Electricity: Cyprus</v>
          </cell>
          <cell r="L1017">
            <v>0.15909541054499227</v>
          </cell>
        </row>
        <row r="1018">
          <cell r="J1018" t="str">
            <v>Scope 3WTT- UK &amp; overseas elecWTT- overseas electricity (generation)Electricity: Czech RepublickWh</v>
          </cell>
          <cell r="K1018" t="str">
            <v>Electricity: Czech Republic</v>
          </cell>
          <cell r="L1018">
            <v>0.1247670686040237</v>
          </cell>
        </row>
        <row r="1019">
          <cell r="J1019" t="str">
            <v>Scope 3WTT- UK &amp; overseas elecWTT- overseas electricity (generation)Electricity: DenmarkkWh</v>
          </cell>
          <cell r="K1019" t="str">
            <v>Electricity: Denmark</v>
          </cell>
          <cell r="L1019">
            <v>5.3074227658925922E-2</v>
          </cell>
        </row>
        <row r="1020">
          <cell r="J1020" t="str">
            <v>Scope 3WTT- UK &amp; overseas elecWTT- overseas electricity (generation)Electricity: EgyptkWh</v>
          </cell>
          <cell r="K1020" t="str">
            <v>Electricity: Egypt</v>
          </cell>
          <cell r="L1020">
            <v>0.10204406409442107</v>
          </cell>
        </row>
        <row r="1021">
          <cell r="J1021" t="str">
            <v>Scope 3WTT- UK &amp; overseas elecWTT- overseas electricity (generation)Electricity: EstoniakWh</v>
          </cell>
          <cell r="K1021" t="str">
            <v>Electricity: Estonia</v>
          </cell>
          <cell r="L1021">
            <v>0.24319010481097136</v>
          </cell>
        </row>
        <row r="1022">
          <cell r="J1022" t="str">
            <v>Scope 3WTT- UK &amp; overseas elecWTT- overseas electricity (generation)Electricity: FinlandkWh</v>
          </cell>
          <cell r="K1022" t="str">
            <v>Electricity: Finland</v>
          </cell>
          <cell r="L1022">
            <v>3.7185331608377066E-2</v>
          </cell>
        </row>
        <row r="1023">
          <cell r="J1023" t="str">
            <v>Scope 3WTT- UK &amp; overseas elecWTT- overseas electricity (generation)Electricity: FrancekWh</v>
          </cell>
          <cell r="K1023" t="str">
            <v>Electricity: France</v>
          </cell>
          <cell r="L1023">
            <v>7.6479153913277323E-3</v>
          </cell>
        </row>
        <row r="1024">
          <cell r="J1024" t="str">
            <v>Scope 3WTT- UK &amp; overseas elecWTT- overseas electricity (generation)Electricity: GermanykWh</v>
          </cell>
          <cell r="K1024" t="str">
            <v>Electricity: Germany</v>
          </cell>
          <cell r="L1024">
            <v>0.10426539717934014</v>
          </cell>
        </row>
        <row r="1025">
          <cell r="J1025" t="str">
            <v>Scope 3WTT- UK &amp; overseas elecWTT- overseas electricity (generation)Electricity: GibraltarkWh</v>
          </cell>
          <cell r="K1025" t="str">
            <v>Electricity: Gibraltar</v>
          </cell>
          <cell r="L1025">
            <v>0.16559418879113821</v>
          </cell>
        </row>
        <row r="1026">
          <cell r="J1026" t="str">
            <v>Scope 3WTT- UK &amp; overseas elecWTT- overseas electricity (generation)Electricity: GreecekWh</v>
          </cell>
          <cell r="K1026" t="str">
            <v>Electricity: Greece</v>
          </cell>
          <cell r="L1026">
            <v>0.16049380264690793</v>
          </cell>
        </row>
        <row r="1027">
          <cell r="J1027" t="str">
            <v>Scope 3WTT- UK &amp; overseas elecWTT- overseas electricity (generation)Electricity: Hong Kong, ChinakWh</v>
          </cell>
          <cell r="K1027" t="str">
            <v>Electricity: Hong Kong, China</v>
          </cell>
          <cell r="L1027">
            <v>0.17197974262875321</v>
          </cell>
        </row>
        <row r="1028">
          <cell r="J1028" t="str">
            <v>Scope 3WTT- UK &amp; overseas elecWTT- overseas electricity (generation)Electricity: HungarykWh</v>
          </cell>
          <cell r="K1028" t="str">
            <v>Electricity: Hungary</v>
          </cell>
          <cell r="L1028">
            <v>6.3207144025490936E-2</v>
          </cell>
        </row>
        <row r="1029">
          <cell r="J1029" t="str">
            <v>Scope 3WTT- UK &amp; overseas elecWTT- overseas electricity (generation)Electricity: IcelandkWh</v>
          </cell>
          <cell r="K1029" t="str">
            <v>Electricity: Iceland</v>
          </cell>
          <cell r="L1029">
            <v>3.634644502975035E-5</v>
          </cell>
        </row>
        <row r="1030">
          <cell r="J1030" t="str">
            <v>Scope 3WTT- UK &amp; overseas elecWTT- overseas electricity (generation)Electricity: IndiakWh</v>
          </cell>
          <cell r="K1030" t="str">
            <v>Electricity: India</v>
          </cell>
          <cell r="L1030">
            <v>0.16748248934972632</v>
          </cell>
        </row>
        <row r="1031">
          <cell r="J1031" t="str">
            <v>Scope 3WTT- UK &amp; overseas elecWTT- overseas electricity (generation)Electricity: IndonesiakWh</v>
          </cell>
          <cell r="K1031" t="str">
            <v>Electricity: Indonesia</v>
          </cell>
          <cell r="L1031">
            <v>0.16906862719363108</v>
          </cell>
        </row>
        <row r="1032">
          <cell r="J1032" t="str">
            <v>Scope 3WTT- UK &amp; overseas elecWTT- overseas electricity (generation)Electricity: IrelandkWh</v>
          </cell>
          <cell r="K1032" t="str">
            <v>Electricity: Ireland</v>
          </cell>
          <cell r="L1032">
            <v>7.2665919899779191E-2</v>
          </cell>
        </row>
        <row r="1033">
          <cell r="J1033" t="str">
            <v>Scope 3WTT- UK &amp; overseas elecWTT- overseas electricity (generation)Electricity: IsraelkWh</v>
          </cell>
          <cell r="K1033" t="str">
            <v>Electricity: Israel</v>
          </cell>
          <cell r="L1033">
            <v>0.16023439541836332</v>
          </cell>
        </row>
        <row r="1034">
          <cell r="J1034" t="str">
            <v>Scope 3WTT- UK &amp; overseas elecWTT- overseas electricity (generation)Electricity: ItalykWh</v>
          </cell>
          <cell r="K1034" t="str">
            <v>Electricity: Italy</v>
          </cell>
          <cell r="L1034">
            <v>8.74481442872935E-2</v>
          </cell>
        </row>
        <row r="1035">
          <cell r="J1035" t="str">
            <v>Scope 3WTT- UK &amp; overseas elecWTT- overseas electricity (generation)Electricity: JapankWh</v>
          </cell>
          <cell r="K1035" t="str">
            <v>Electricity: Japan</v>
          </cell>
          <cell r="L1035">
            <v>0.11129418240428431</v>
          </cell>
        </row>
        <row r="1036">
          <cell r="J1036" t="str">
            <v>Scope 3WTT- UK &amp; overseas elecWTT- overseas electricity (generation)Electricity: LatviakWh</v>
          </cell>
          <cell r="K1036" t="str">
            <v>Electricity: Latvia</v>
          </cell>
          <cell r="L1036">
            <v>2.9782950220864815E-2</v>
          </cell>
        </row>
        <row r="1037">
          <cell r="J1037" t="str">
            <v>Scope 3WTT- UK &amp; overseas elecWTT- overseas electricity (generation)Electricity: LithuaniakWh</v>
          </cell>
          <cell r="K1037" t="str">
            <v>Electricity: Lithuania</v>
          </cell>
          <cell r="L1037">
            <v>6.0461628267921057E-2</v>
          </cell>
        </row>
        <row r="1038">
          <cell r="J1038" t="str">
            <v>Scope 3WTT- UK &amp; overseas elecWTT- overseas electricity (generation)Electricity: LuxembourgkWh</v>
          </cell>
          <cell r="K1038" t="str">
            <v>Electricity: Luxembourg</v>
          </cell>
          <cell r="L1038">
            <v>8.4801519091961763E-2</v>
          </cell>
        </row>
        <row r="1039">
          <cell r="J1039" t="str">
            <v>Scope 3WTT- UK &amp; overseas elecWTT- overseas electricity (generation)Electricity: MalaysiakWh</v>
          </cell>
          <cell r="K1039" t="str">
            <v>Electricity: Malaysia</v>
          </cell>
          <cell r="L1039">
            <v>0.15406518610492476</v>
          </cell>
        </row>
        <row r="1040">
          <cell r="J1040" t="str">
            <v>Scope 3WTT- UK &amp; overseas elecWTT- overseas electricity (generation)Electricity: MaltakWh</v>
          </cell>
          <cell r="K1040" t="str">
            <v>Electricity: Malta</v>
          </cell>
          <cell r="L1040">
            <v>0.1765919771394896</v>
          </cell>
        </row>
        <row r="1041">
          <cell r="J1041" t="str">
            <v>Scope 3WTT- UK &amp; overseas elecWTT- overseas electricity (generation)Electricity: MexicokWh</v>
          </cell>
          <cell r="K1041" t="str">
            <v>Electricity: Mexico</v>
          </cell>
          <cell r="L1041">
            <v>9.8891968233945651E-2</v>
          </cell>
        </row>
        <row r="1042">
          <cell r="J1042" t="str">
            <v>Scope 3WTT- UK &amp; overseas elecWTT- overseas electricity (generation)Electricity: NetherlandskWh</v>
          </cell>
          <cell r="K1042" t="str">
            <v>Electricity: Netherlands</v>
          </cell>
          <cell r="L1042">
            <v>7.8704613670947957E-2</v>
          </cell>
        </row>
        <row r="1043">
          <cell r="J1043" t="str">
            <v>Scope 3WTT- UK &amp; overseas elecWTT- overseas electricity (generation)Electricity: New ZealandkWh</v>
          </cell>
          <cell r="K1043" t="str">
            <v>Electricity: New Zealand</v>
          </cell>
          <cell r="L1043">
            <v>2.6119543928614018E-2</v>
          </cell>
        </row>
        <row r="1044">
          <cell r="J1044" t="str">
            <v>Scope 3WTT- UK &amp; overseas elecWTT- overseas electricity (generation)Electricity: NorwaykWh</v>
          </cell>
          <cell r="K1044" t="str">
            <v>Electricity: Norway</v>
          </cell>
          <cell r="L1044">
            <v>2.7461251555449427E-3</v>
          </cell>
        </row>
        <row r="1045">
          <cell r="J1045" t="str">
            <v>Scope 3WTT- UK &amp; overseas elecWTT- overseas electricity (generation)Electricity: PakistankWh</v>
          </cell>
          <cell r="K1045" t="str">
            <v>Electricity: Pakistan</v>
          </cell>
          <cell r="L1045">
            <v>8.0815037857831826E-2</v>
          </cell>
        </row>
        <row r="1046">
          <cell r="J1046" t="str">
            <v>Scope 3WTT- UK &amp; overseas elecWTT- overseas electricity (generation)Electricity: People's Rep. of ChinakWh</v>
          </cell>
          <cell r="K1046" t="str">
            <v>Electricity: People's Rep. of China</v>
          </cell>
          <cell r="L1046">
            <v>0.16386963570815244</v>
          </cell>
        </row>
        <row r="1047">
          <cell r="J1047" t="str">
            <v>Scope 3WTT- UK &amp; overseas elecWTT- overseas electricity (generation)Electricity: PhilippineskWh</v>
          </cell>
          <cell r="K1047" t="str">
            <v>Electricity: Philippines</v>
          </cell>
          <cell r="L1047">
            <v>0.11017452262154502</v>
          </cell>
        </row>
        <row r="1048">
          <cell r="J1048" t="str">
            <v>Scope 3WTT- UK &amp; overseas elecWTT- overseas electricity (generation)Electricity: PolandkWh</v>
          </cell>
          <cell r="K1048" t="str">
            <v>Electricity: Poland</v>
          </cell>
          <cell r="L1048">
            <v>0.17082215370608245</v>
          </cell>
        </row>
        <row r="1049">
          <cell r="J1049" t="str">
            <v>Scope 3WTT- UK &amp; overseas elecWTT- overseas electricity (generation)Electricity: PortugalkWh</v>
          </cell>
          <cell r="K1049" t="str">
            <v>Electricity: Portugal</v>
          </cell>
          <cell r="L1049">
            <v>5.1978498709088168E-2</v>
          </cell>
        </row>
        <row r="1050">
          <cell r="J1050" t="str">
            <v>Scope 3WTT- UK &amp; overseas elecWTT- overseas electricity (generation)Electricity: RomaniakWh</v>
          </cell>
          <cell r="K1050" t="str">
            <v>Electricity: Romania</v>
          </cell>
          <cell r="L1050">
            <v>0.10633451786982429</v>
          </cell>
        </row>
        <row r="1051">
          <cell r="J1051" t="str">
            <v>Scope 3WTT- UK &amp; overseas elecWTT- overseas electricity (generation)Electricity: Russian FederationkWh</v>
          </cell>
          <cell r="K1051" t="str">
            <v>Electricity: Russian Federation</v>
          </cell>
          <cell r="L1051">
            <v>9.7858265011412968E-2</v>
          </cell>
        </row>
        <row r="1052">
          <cell r="J1052" t="str">
            <v>Scope 3WTT- UK &amp; overseas elecWTT- overseas electricity (generation)Electricity: Saudi ArabiakWh</v>
          </cell>
          <cell r="K1052" t="str">
            <v>Electricity: Saudi Arabia</v>
          </cell>
          <cell r="L1052">
            <v>0.17159543029238331</v>
          </cell>
        </row>
        <row r="1053">
          <cell r="J1053" t="str">
            <v>Scope 3WTT- UK &amp; overseas elecWTT- overseas electricity (generation)Electricity: SingaporekWh</v>
          </cell>
          <cell r="K1053" t="str">
            <v>Electricity: Singapore</v>
          </cell>
          <cell r="L1053">
            <v>0.10932045223322208</v>
          </cell>
        </row>
        <row r="1054">
          <cell r="J1054" t="str">
            <v>Scope 3WTT- UK &amp; overseas elecWTT- overseas electricity (generation)Electricity: Slovak RepublickWh</v>
          </cell>
          <cell r="K1054" t="str">
            <v>Electricity: Slovak Republic</v>
          </cell>
          <cell r="L1054">
            <v>4.343155970644124E-2</v>
          </cell>
        </row>
        <row r="1055">
          <cell r="J1055" t="str">
            <v>Scope 3WTT- UK &amp; overseas elecWTT- overseas electricity (generation)Electricity: SloveniakWh</v>
          </cell>
          <cell r="K1055" t="str">
            <v>Electricity: Slovenia</v>
          </cell>
          <cell r="L1055">
            <v>7.2991559011045301E-2</v>
          </cell>
        </row>
        <row r="1056">
          <cell r="J1056" t="str">
            <v>Scope 3WTT- UK &amp; overseas elecWTT- overseas electricity (generation)Electricity: South AfricakWh</v>
          </cell>
          <cell r="K1056" t="str">
            <v>Electricity: South Africa</v>
          </cell>
          <cell r="L1056">
            <v>0.17813451163500615</v>
          </cell>
        </row>
        <row r="1057">
          <cell r="J1057" t="str">
            <v>Scope 3WTT- UK &amp; overseas elecWTT- overseas electricity (generation)Electricity: South KoreakWh</v>
          </cell>
          <cell r="K1057" t="str">
            <v>Electricity: South Korea</v>
          </cell>
          <cell r="L1057">
            <v>0.12357234232521178</v>
          </cell>
        </row>
        <row r="1058">
          <cell r="J1058" t="str">
            <v>Scope 3WTT- UK &amp; overseas elecWTT- overseas electricity (generation)Electricity: SpainkWh</v>
          </cell>
          <cell r="K1058" t="str">
            <v>Electricity: Spain</v>
          </cell>
          <cell r="L1058">
            <v>6.0699847632759124E-2</v>
          </cell>
        </row>
        <row r="1059">
          <cell r="J1059" t="str">
            <v>Scope 3WTT- UK &amp; overseas elecWTT- overseas electricity (generation)Electricity: SwedenkWh</v>
          </cell>
          <cell r="K1059" t="str">
            <v>Electricity: Sweden</v>
          </cell>
          <cell r="L1059">
            <v>2.463293688116013E-3</v>
          </cell>
        </row>
        <row r="1060">
          <cell r="J1060" t="str">
            <v>Scope 3WTT- UK &amp; overseas elecWTT- overseas electricity (generation)Electricity: SwitzerlandkWh</v>
          </cell>
          <cell r="K1060" t="str">
            <v>Electricity: Switzerland</v>
          </cell>
          <cell r="L1060">
            <v>6.7179586964356726E-3</v>
          </cell>
        </row>
        <row r="1061">
          <cell r="J1061" t="str">
            <v>Scope 3WTT- UK &amp; overseas elecWTT- overseas electricity (generation)Electricity: ThailandkWh</v>
          </cell>
          <cell r="K1061" t="str">
            <v>Electricity: Thailand</v>
          </cell>
          <cell r="L1061">
            <v>0.11373628109535547</v>
          </cell>
        </row>
        <row r="1062">
          <cell r="J1062" t="str">
            <v>Scope 3WTT- UK &amp; overseas elecWTT- overseas electricity (generation)Electricity: TurkeykWh</v>
          </cell>
          <cell r="K1062" t="str">
            <v>Electricity: Turkey</v>
          </cell>
          <cell r="L1062">
            <v>0.10265551091992281</v>
          </cell>
        </row>
        <row r="1063">
          <cell r="J1063" t="str">
            <v>Scope 3WTT- UK &amp; overseas elecWTT- overseas electricity (generation)Electricity: UkrainekWh</v>
          </cell>
          <cell r="K1063" t="str">
            <v>Electricity: Ukraine</v>
          </cell>
          <cell r="L1063">
            <v>0.10076938044653509</v>
          </cell>
        </row>
        <row r="1064">
          <cell r="J1064" t="str">
            <v>Scope 3WTT- UK &amp; overseas elecWTT- overseas electricity (generation)Electricity: United StateskWh</v>
          </cell>
          <cell r="K1064" t="str">
            <v>Electricity: United States</v>
          </cell>
          <cell r="L1064">
            <v>0.10657110155510525</v>
          </cell>
        </row>
        <row r="1065">
          <cell r="J1065" t="str">
            <v>Scope 3WTT- UK &amp; overseas elecWTT- overseas electricity (generation)Electricity: Africa (average)kWh</v>
          </cell>
          <cell r="K1065" t="str">
            <v>Electricity: Africa (average)</v>
          </cell>
          <cell r="L1065">
            <v>0.11873283660230118</v>
          </cell>
        </row>
        <row r="1066">
          <cell r="J1066" t="str">
            <v>Scope 3WTT- UK &amp; overseas elecWTT- overseas electricity (generation)Electricity: EU (average)kWh</v>
          </cell>
          <cell r="K1066" t="str">
            <v>Electricity: EU (average)</v>
          </cell>
          <cell r="L1066">
            <v>7.5703166175122794E-2</v>
          </cell>
        </row>
        <row r="1067">
          <cell r="J1067" t="str">
            <v>Scope 3WTT- UK &amp; overseas elecWTT- overseas electricity (generation)Electricity: Latin America (average)kWh</v>
          </cell>
          <cell r="K1067" t="str">
            <v>Electricity: Latin America (average)</v>
          </cell>
          <cell r="L1067">
            <v>3.912609837279072E-2</v>
          </cell>
        </row>
        <row r="1068">
          <cell r="J1068" t="str">
            <v>Scope 3WTT- UK &amp; overseas elecWTT- overseas electricity (generation)Electricity: Middle East (average)kWh</v>
          </cell>
          <cell r="K1068" t="str">
            <v>Electricity: Middle East (average)</v>
          </cell>
          <cell r="L1068">
            <v>0.14819372381563489</v>
          </cell>
        </row>
        <row r="1069">
          <cell r="J1069" t="str">
            <v>Scope 3WTT- UK &amp; overseas elecWTT- overseas electricity (generation)Electricity: Non-OECD Europe and Eurasia (average)kWh</v>
          </cell>
          <cell r="K1069" t="str">
            <v>Electricity: Non-OECD Europe and Eurasia (average)</v>
          </cell>
          <cell r="L1069">
            <v>0.1027847680554658</v>
          </cell>
        </row>
        <row r="1070">
          <cell r="J1070" t="str">
            <v>Scope 3WTT- UK &amp; overseas elecWTT- overseas electricity (T&amp;D)Electricity: AustraliakWh</v>
          </cell>
          <cell r="K1070" t="str">
            <v>Electricity: Australia</v>
          </cell>
          <cell r="L1070">
            <v>1.1040694645038294E-2</v>
          </cell>
        </row>
        <row r="1071">
          <cell r="J1071" t="str">
            <v>Scope 3WTT- UK &amp; overseas elecWTT- overseas electricity (T&amp;D)Electricity: AustriakWh</v>
          </cell>
          <cell r="K1071" t="str">
            <v>Electricity: Austria</v>
          </cell>
          <cell r="L1071">
            <v>2.6700819222575897E-3</v>
          </cell>
        </row>
        <row r="1072">
          <cell r="J1072" t="str">
            <v>Scope 3WTT- UK &amp; overseas elecWTT- overseas electricity (T&amp;D)Electricity: BelgiumkWh</v>
          </cell>
          <cell r="K1072" t="str">
            <v>Electricity: Belgium</v>
          </cell>
          <cell r="L1072">
            <v>1.6857398010689966E-3</v>
          </cell>
        </row>
        <row r="1073">
          <cell r="J1073" t="str">
            <v>Scope 3WTT- UK &amp; overseas elecWTT- overseas electricity (T&amp;D)Electricity: BrazilkWh</v>
          </cell>
          <cell r="K1073" t="str">
            <v>Electricity: Brazil</v>
          </cell>
          <cell r="L1073">
            <v>2.5511055137713129E-3</v>
          </cell>
        </row>
        <row r="1074">
          <cell r="J1074" t="str">
            <v>Scope 3WTT- UK &amp; overseas elecWTT- overseas electricity (T&amp;D)Electricity: BulgariakWh</v>
          </cell>
          <cell r="K1074" t="str">
            <v>Electricity: Bulgaria</v>
          </cell>
          <cell r="L1074">
            <v>1.3727063385056778E-2</v>
          </cell>
        </row>
        <row r="1075">
          <cell r="J1075" t="str">
            <v>Scope 3WTT- UK &amp; overseas elecWTT- overseas electricity (T&amp;D)Electricity: CanadakWh</v>
          </cell>
          <cell r="K1075" t="str">
            <v>Electricity: Canada</v>
          </cell>
          <cell r="L1075">
            <v>2.1253474857517562E-3</v>
          </cell>
        </row>
        <row r="1076">
          <cell r="J1076" t="str">
            <v>Scope 3WTT- UK &amp; overseas elecWTT- overseas electricity (T&amp;D)Electricity: Chinese TaipeikWh</v>
          </cell>
          <cell r="K1076" t="str">
            <v>Electricity: Chinese Taipei</v>
          </cell>
          <cell r="L1076">
            <v>4.6274066795981023E-3</v>
          </cell>
        </row>
        <row r="1077">
          <cell r="J1077" t="str">
            <v>Scope 3WTT- UK &amp; overseas elecWTT- overseas electricity (T&amp;D)Electricity: CroatiakWh</v>
          </cell>
          <cell r="K1077" t="str">
            <v>Electricity: Croatia</v>
          </cell>
          <cell r="L1077">
            <v>7.3166244788122944E-3</v>
          </cell>
        </row>
        <row r="1078">
          <cell r="J1078" t="str">
            <v>Scope 3WTT- UK &amp; overseas elecWTT- overseas electricity (T&amp;D)Electricity: CypruskWh</v>
          </cell>
          <cell r="K1078" t="str">
            <v>Electricity: Cyprus</v>
          </cell>
          <cell r="L1078">
            <v>5.3952013461094931E-3</v>
          </cell>
        </row>
        <row r="1079">
          <cell r="J1079" t="str">
            <v>Scope 3WTT- UK &amp; overseas elecWTT- overseas electricity (T&amp;D)Electricity: Czech RepublickWh</v>
          </cell>
          <cell r="K1079" t="str">
            <v>Electricity: Czech Republic</v>
          </cell>
          <cell r="L1079">
            <v>9.1836922949289496E-3</v>
          </cell>
        </row>
        <row r="1080">
          <cell r="J1080" t="str">
            <v>Scope 3WTT- UK &amp; overseas elecWTT- overseas electricity (T&amp;D)Electricity: DenmarkkWh</v>
          </cell>
          <cell r="K1080" t="str">
            <v>Electricity: Denmark</v>
          </cell>
          <cell r="L1080">
            <v>3.7615135722540651E-3</v>
          </cell>
        </row>
        <row r="1081">
          <cell r="J1081" t="str">
            <v>Scope 3WTT- UK &amp; overseas elecWTT- overseas electricity (T&amp;D)Electricity: EgyptkWh</v>
          </cell>
          <cell r="K1081" t="str">
            <v>Electricity: Egypt</v>
          </cell>
          <cell r="L1081">
            <v>2.1113182307337493E-2</v>
          </cell>
        </row>
        <row r="1082">
          <cell r="J1082" t="str">
            <v>Scope 3WTT- UK &amp; overseas elecWTT- overseas electricity (T&amp;D)Electricity: EstoniakWh</v>
          </cell>
          <cell r="K1082" t="str">
            <v>Electricity: Estonia</v>
          </cell>
          <cell r="L1082">
            <v>2.4153446716671346E-2</v>
          </cell>
        </row>
        <row r="1083">
          <cell r="J1083" t="str">
            <v>Scope 3WTT- UK &amp; overseas elecWTT- overseas electricity (T&amp;D)Electricity: FinlandkWh</v>
          </cell>
          <cell r="K1083" t="str">
            <v>Electricity: Finland</v>
          </cell>
          <cell r="L1083">
            <v>1.3585816379629767E-3</v>
          </cell>
        </row>
        <row r="1084">
          <cell r="J1084" t="str">
            <v>Scope 3WTT- UK &amp; overseas elecWTT- overseas electricity (T&amp;D)Electricity: FrancekWh</v>
          </cell>
          <cell r="K1084" t="str">
            <v>Electricity: France</v>
          </cell>
          <cell r="L1084">
            <v>6.7056284828094352E-4</v>
          </cell>
        </row>
        <row r="1085">
          <cell r="J1085" t="str">
            <v>Scope 3WTT- UK &amp; overseas elecWTT- overseas electricity (T&amp;D)Electricity: GermanykWh</v>
          </cell>
          <cell r="K1085" t="str">
            <v>Electricity: Germany</v>
          </cell>
          <cell r="L1085">
            <v>5.4194492877362556E-3</v>
          </cell>
        </row>
        <row r="1086">
          <cell r="J1086" t="str">
            <v>Scope 3WTT- UK &amp; overseas elecWTT- overseas electricity (T&amp;D)Electricity: GibraltarkWh</v>
          </cell>
          <cell r="K1086" t="str">
            <v>Electricity: Gibraltar</v>
          </cell>
          <cell r="L1086">
            <v>5.283708985495298E-3</v>
          </cell>
        </row>
        <row r="1087">
          <cell r="J1087" t="str">
            <v>Scope 3WTT- UK &amp; overseas elecWTT- overseas electricity (T&amp;D)Electricity: GreecekWh</v>
          </cell>
          <cell r="K1087" t="str">
            <v>Electricity: Greece</v>
          </cell>
          <cell r="L1087">
            <v>1.7006388302183855E-2</v>
          </cell>
        </row>
        <row r="1088">
          <cell r="J1088" t="str">
            <v>Scope 3WTT- UK &amp; overseas elecWTT- overseas electricity (T&amp;D)Electricity: Hong Kong, ChinakWh</v>
          </cell>
          <cell r="K1088" t="str">
            <v>Electricity: Hong Kong, China</v>
          </cell>
          <cell r="L1088">
            <v>6.4716783226711752E-3</v>
          </cell>
        </row>
        <row r="1089">
          <cell r="J1089" t="str">
            <v>Scope 3WTT- UK &amp; overseas elecWTT- overseas electricity (T&amp;D)Electricity: HungarykWh</v>
          </cell>
          <cell r="K1089" t="str">
            <v>Electricity: Hungary</v>
          </cell>
          <cell r="L1089">
            <v>5.3818888702728985E-3</v>
          </cell>
        </row>
        <row r="1090">
          <cell r="J1090" t="str">
            <v>Scope 3WTT- UK &amp; overseas elecWTT- overseas electricity (T&amp;D)Electricity: IcelandkWh</v>
          </cell>
          <cell r="K1090" t="str">
            <v>Electricity: Iceland</v>
          </cell>
          <cell r="L1090">
            <v>1.0895157321873442E-6</v>
          </cell>
        </row>
        <row r="1091">
          <cell r="J1091" t="str">
            <v>Scope 3WTT- UK &amp; overseas elecWTT- overseas electricity (T&amp;D)Electricity: IndiakWh</v>
          </cell>
          <cell r="K1091" t="str">
            <v>Electricity: India</v>
          </cell>
          <cell r="L1091">
            <v>3.7633705953277016E-2</v>
          </cell>
        </row>
        <row r="1092">
          <cell r="J1092" t="str">
            <v>Scope 3WTT- UK &amp; overseas elecWTT- overseas electricity (T&amp;D)Electricity: IndonesiakWh</v>
          </cell>
          <cell r="K1092" t="str">
            <v>Electricity: Indonesia</v>
          </cell>
          <cell r="L1092">
            <v>1.4489688766457984E-2</v>
          </cell>
        </row>
        <row r="1093">
          <cell r="J1093" t="str">
            <v>Scope 3WTT- UK &amp; overseas elecWTT- overseas electricity (T&amp;D)Electricity: IrelandkWh</v>
          </cell>
          <cell r="K1093" t="str">
            <v>Electricity: Ireland</v>
          </cell>
          <cell r="L1093">
            <v>5.9848684782527074E-3</v>
          </cell>
        </row>
        <row r="1094">
          <cell r="J1094" t="str">
            <v>Scope 3WTT- UK &amp; overseas elecWTT- overseas electricity (T&amp;D)Electricity: IsraelkWh</v>
          </cell>
          <cell r="K1094" t="str">
            <v>Electricity: Israel</v>
          </cell>
          <cell r="L1094">
            <v>7.0078430316500235E-3</v>
          </cell>
        </row>
        <row r="1095">
          <cell r="J1095" t="str">
            <v>Scope 3WTT- UK &amp; overseas elecWTT- overseas electricity (T&amp;D)Electricity: ItalykWh</v>
          </cell>
          <cell r="K1095" t="str">
            <v>Electricity: Italy</v>
          </cell>
          <cell r="L1095">
            <v>5.3672220178333282E-3</v>
          </cell>
        </row>
        <row r="1096">
          <cell r="J1096" t="str">
            <v>Scope 3WTT- UK &amp; overseas elecWTT- overseas electricity (T&amp;D)Electricity: JapankWh</v>
          </cell>
          <cell r="K1096" t="str">
            <v>Electricity: Japan</v>
          </cell>
          <cell r="L1096">
            <v>5.2966093117897345E-3</v>
          </cell>
        </row>
        <row r="1097">
          <cell r="J1097" t="str">
            <v>Scope 3WTT- UK &amp; overseas elecWTT- overseas electricity (T&amp;D)Electricity: LatviakWh</v>
          </cell>
          <cell r="K1097" t="str">
            <v>Electricity: Latvia</v>
          </cell>
          <cell r="L1097">
            <v>2.0038622714026598E-3</v>
          </cell>
        </row>
        <row r="1098">
          <cell r="J1098" t="str">
            <v>Scope 3WTT- UK &amp; overseas elecWTT- overseas electricity (T&amp;D)Electricity: LithuaniakWh</v>
          </cell>
          <cell r="K1098" t="str">
            <v>Electricity: Lithuania</v>
          </cell>
          <cell r="L1098">
            <v>5.433711625937445E-3</v>
          </cell>
        </row>
        <row r="1099">
          <cell r="J1099" t="str">
            <v>Scope 3WTT- UK &amp; overseas elecWTT- overseas electricity (T&amp;D)Electricity: LuxembourgkWh</v>
          </cell>
          <cell r="K1099" t="str">
            <v>Electricity: Luxembourg</v>
          </cell>
          <cell r="L1099">
            <v>2.0501209374285049E-3</v>
          </cell>
        </row>
        <row r="1100">
          <cell r="J1100" t="str">
            <v>Scope 3WTT- UK &amp; overseas elecWTT- overseas electricity (T&amp;D)Electricity: MalaysiakWh</v>
          </cell>
          <cell r="K1100" t="str">
            <v>Electricity: Malaysia</v>
          </cell>
          <cell r="L1100">
            <v>1.1841770764820122E-2</v>
          </cell>
        </row>
        <row r="1101">
          <cell r="J1101" t="str">
            <v>Scope 3WTT- UK &amp; overseas elecWTT- overseas electricity (T&amp;D)Electricity: MaltakWh</v>
          </cell>
          <cell r="K1101" t="str">
            <v>Electricity: Malta</v>
          </cell>
          <cell r="L1101">
            <v>1.055178453529452E-2</v>
          </cell>
        </row>
        <row r="1102">
          <cell r="J1102" t="str">
            <v>Scope 3WTT- UK &amp; overseas elecWTT- overseas electricity (T&amp;D)Electricity: MexicokWh</v>
          </cell>
          <cell r="K1102" t="str">
            <v>Electricity: Mexico</v>
          </cell>
          <cell r="L1102">
            <v>1.6379112072000285E-2</v>
          </cell>
        </row>
        <row r="1103">
          <cell r="J1103" t="str">
            <v>Scope 3WTT- UK &amp; overseas elecWTT- overseas electricity (T&amp;D)Electricity: NetherlandskWh</v>
          </cell>
          <cell r="K1103" t="str">
            <v>Electricity: Netherlands</v>
          </cell>
          <cell r="L1103">
            <v>3.8881645277354022E-3</v>
          </cell>
        </row>
        <row r="1104">
          <cell r="J1104" t="str">
            <v>Scope 3WTT- UK &amp; overseas elecWTT- overseas electricity (T&amp;D)Electricity: New ZealandkWh</v>
          </cell>
          <cell r="K1104" t="str">
            <v>Electricity: New Zealand</v>
          </cell>
          <cell r="L1104">
            <v>1.9908868481964127E-3</v>
          </cell>
        </row>
        <row r="1105">
          <cell r="J1105" t="str">
            <v>Scope 3WTT- UK &amp; overseas elecWTT- overseas electricity (T&amp;D)Electricity: NorwaykWh</v>
          </cell>
          <cell r="K1105" t="str">
            <v>Electricity: Norway</v>
          </cell>
          <cell r="L1105">
            <v>2.1335974570467229E-4</v>
          </cell>
        </row>
        <row r="1106">
          <cell r="J1106" t="str">
            <v>Scope 3WTT- UK &amp; overseas elecWTT- overseas electricity (T&amp;D)Electricity: PakistankWh</v>
          </cell>
          <cell r="K1106" t="str">
            <v>Electricity: Pakistan</v>
          </cell>
          <cell r="L1106">
            <v>1.5946634811905395E-2</v>
          </cell>
        </row>
        <row r="1107">
          <cell r="J1107" t="str">
            <v>Scope 3WTT- UK &amp; overseas elecWTT- overseas electricity (T&amp;D)Electricity: People's Rep. of ChinakWh</v>
          </cell>
          <cell r="K1107" t="str">
            <v>Electricity: People's Rep. of China</v>
          </cell>
          <cell r="L1107">
            <v>9.1219101715576123E-3</v>
          </cell>
        </row>
        <row r="1108">
          <cell r="J1108" t="str">
            <v>Scope 3WTT- UK &amp; overseas elecWTT- overseas electricity (T&amp;D)Electricity: PhilippineskWh</v>
          </cell>
          <cell r="K1108" t="str">
            <v>Electricity: Philippines</v>
          </cell>
          <cell r="L1108">
            <v>1.2010778179171634E-2</v>
          </cell>
        </row>
        <row r="1109">
          <cell r="J1109" t="str">
            <v>Scope 3WTT- UK &amp; overseas elecWTT- overseas electricity (T&amp;D)Electricity: PolandkWh</v>
          </cell>
          <cell r="K1109" t="str">
            <v>Electricity: Poland</v>
          </cell>
          <cell r="L1109">
            <v>1.0815575263447903E-2</v>
          </cell>
        </row>
        <row r="1110">
          <cell r="J1110" t="str">
            <v>Scope 3WTT- UK &amp; overseas elecWTT- overseas electricity (T&amp;D)Electricity: PortugalkWh</v>
          </cell>
          <cell r="K1110" t="str">
            <v>Electricity: Portugal</v>
          </cell>
          <cell r="L1110">
            <v>5.4840937935038414E-3</v>
          </cell>
        </row>
        <row r="1111">
          <cell r="J1111" t="str">
            <v>Scope 3WTT- UK &amp; overseas elecWTT- overseas electricity (T&amp;D)Electricity: RomaniakWh</v>
          </cell>
          <cell r="K1111" t="str">
            <v>Electricity: Romania</v>
          </cell>
          <cell r="L1111">
            <v>1.6467071341470012E-2</v>
          </cell>
        </row>
        <row r="1112">
          <cell r="J1112" t="str">
            <v>Scope 3WTT- UK &amp; overseas elecWTT- overseas electricity (T&amp;D)Electricity: Russian FederationkWh</v>
          </cell>
          <cell r="K1112" t="str">
            <v>Electricity: Russian Federation</v>
          </cell>
          <cell r="L1112">
            <v>1.3285018295948242E-2</v>
          </cell>
        </row>
        <row r="1113">
          <cell r="J1113" t="str">
            <v>Scope 3WTT- UK &amp; overseas elecWTT- overseas electricity (T&amp;D)Electricity: Saudi ArabiakWh</v>
          </cell>
          <cell r="K1113" t="str">
            <v>Electricity: Saudi Arabia</v>
          </cell>
          <cell r="L1113">
            <v>1.8433823780193481E-2</v>
          </cell>
        </row>
        <row r="1114">
          <cell r="J1114" t="str">
            <v>Scope 3WTT- UK &amp; overseas elecWTT- overseas electricity (T&amp;D)Electricity: SingaporekWh</v>
          </cell>
          <cell r="K1114" t="str">
            <v>Electricity: Singapore</v>
          </cell>
          <cell r="L1114">
            <v>1.233906843058262E-3</v>
          </cell>
        </row>
        <row r="1115">
          <cell r="J1115" t="str">
            <v>Scope 3WTT- UK &amp; overseas elecWTT- overseas electricity (T&amp;D)Electricity: Slovak RepublickWh</v>
          </cell>
          <cell r="K1115" t="str">
            <v>Electricity: Slovak Republic</v>
          </cell>
          <cell r="L1115">
            <v>2.0681697880585467E-3</v>
          </cell>
        </row>
        <row r="1116">
          <cell r="J1116" t="str">
            <v>Scope 3WTT- UK &amp; overseas elecWTT- overseas electricity (T&amp;D)Electricity: SloveniakWh</v>
          </cell>
          <cell r="K1116" t="str">
            <v>Electricity: Slovenia</v>
          </cell>
          <cell r="L1116">
            <v>4.6809829776824378E-3</v>
          </cell>
        </row>
        <row r="1117">
          <cell r="J1117" t="str">
            <v>Scope 3WTT- UK &amp; overseas elecWTT- overseas electricity (T&amp;D)Electricity: South AfricakWh</v>
          </cell>
          <cell r="K1117" t="str">
            <v>Electricity: South Africa</v>
          </cell>
          <cell r="L1117">
            <v>1.9716692100651568E-2</v>
          </cell>
        </row>
        <row r="1118">
          <cell r="J1118" t="str">
            <v>Scope 3WTT- UK &amp; overseas elecWTT- overseas electricity (T&amp;D)Electricity: South KoreakWh</v>
          </cell>
          <cell r="K1118" t="str">
            <v>Electricity: South Korea</v>
          </cell>
          <cell r="L1118">
            <v>4.2285255600080542E-3</v>
          </cell>
        </row>
        <row r="1119">
          <cell r="J1119" t="str">
            <v>Scope 3WTT- UK &amp; overseas elecWTT- overseas electricity (T&amp;D)Electricity: SpainkWh</v>
          </cell>
          <cell r="K1119" t="str">
            <v>Electricity: Spain</v>
          </cell>
          <cell r="L1119">
            <v>6.469746160657831E-3</v>
          </cell>
        </row>
        <row r="1120">
          <cell r="J1120" t="str">
            <v>Scope 3WTT- UK &amp; overseas elecWTT- overseas electricity (T&amp;D)Electricity: SwedenkWh</v>
          </cell>
          <cell r="K1120" t="str">
            <v>Electricity: Sweden</v>
          </cell>
          <cell r="L1120">
            <v>2.0347536967032107E-4</v>
          </cell>
        </row>
        <row r="1121">
          <cell r="J1121" t="str">
            <v>Scope 3WTT- UK &amp; overseas elecWTT- overseas electricity (T&amp;D)Electricity: SwitzerlandkWh</v>
          </cell>
          <cell r="K1121" t="str">
            <v>Electricity: Switzerland</v>
          </cell>
          <cell r="L1121">
            <v>4.926771272216764E-4</v>
          </cell>
        </row>
        <row r="1122">
          <cell r="J1122" t="str">
            <v>Scope 3WTT- UK &amp; overseas elecWTT- overseas electricity (T&amp;D)Electricity: ThailandkWh</v>
          </cell>
          <cell r="K1122" t="str">
            <v>Electricity: Thailand</v>
          </cell>
          <cell r="L1122">
            <v>7.8046722046103698E-3</v>
          </cell>
        </row>
        <row r="1123">
          <cell r="J1123" t="str">
            <v>Scope 3WTT- UK &amp; overseas elecWTT- overseas electricity (T&amp;D)Electricity: TurkeykWh</v>
          </cell>
          <cell r="K1123" t="str">
            <v>Electricity: Turkey</v>
          </cell>
          <cell r="L1123">
            <v>1.2738593897678365E-2</v>
          </cell>
        </row>
        <row r="1124">
          <cell r="J1124" t="str">
            <v>Scope 3WTT- UK &amp; overseas elecWTT- overseas electricity (T&amp;D)Electricity: UkrainekWh</v>
          </cell>
          <cell r="K1124" t="str">
            <v>Electricity: Ukraine</v>
          </cell>
          <cell r="L1124">
            <v>1.4433672648148614E-2</v>
          </cell>
        </row>
        <row r="1125">
          <cell r="J1125" t="str">
            <v>Scope 3WTT- UK &amp; overseas elecWTT- overseas electricity (T&amp;D)Electricity: United StateskWh</v>
          </cell>
          <cell r="K1125" t="str">
            <v>Electricity: United States</v>
          </cell>
          <cell r="L1125">
            <v>5.7681912812502711E-3</v>
          </cell>
        </row>
        <row r="1126">
          <cell r="J1126" t="str">
            <v>Scope 3WTT- UK &amp; overseas elecWTT- overseas electricity (T&amp;D)Electricity: Africa (average)kWh</v>
          </cell>
          <cell r="K1126" t="str">
            <v>Electricity: Africa (average)</v>
          </cell>
          <cell r="L1126">
            <v>2.1287253632501033E-2</v>
          </cell>
        </row>
        <row r="1127">
          <cell r="J1127" t="str">
            <v>Scope 3WTT- UK &amp; overseas elecWTT- overseas electricity (T&amp;D)Electricity: EU (average)kWh</v>
          </cell>
          <cell r="K1127" t="str">
            <v>Electricity: EU (average)</v>
          </cell>
          <cell r="L1127">
            <v>5.6372892567829389E-3</v>
          </cell>
        </row>
        <row r="1128">
          <cell r="J1128" t="str">
            <v>Scope 3WTT- UK &amp; overseas elecWTT- overseas electricity (T&amp;D)Electricity: Latin America (average)kWh</v>
          </cell>
          <cell r="K1128" t="str">
            <v>Electricity: Latin America (average)</v>
          </cell>
          <cell r="L1128">
            <v>7.8674894729578015E-3</v>
          </cell>
        </row>
        <row r="1129">
          <cell r="J1129" t="str">
            <v>Scope 3WTT- UK &amp; overseas elecWTT- overseas electricity (T&amp;D)Electricity: Middle East (average)kWh</v>
          </cell>
          <cell r="K1129" t="str">
            <v>Electricity: Middle East (average)</v>
          </cell>
          <cell r="L1129">
            <v>2.4185058501599323E-2</v>
          </cell>
        </row>
        <row r="1130">
          <cell r="J1130" t="str">
            <v>Scope 3WTT- UK &amp; overseas elecWTT- overseas electricity (T&amp;D)Electricity: Non-OECD Europe and Eurasia (average)kWh</v>
          </cell>
          <cell r="K1130" t="str">
            <v>Electricity: Non-OECD Europe and Eurasia (average)</v>
          </cell>
          <cell r="L1130">
            <v>1.3587993084264055E-2</v>
          </cell>
        </row>
        <row r="1131">
          <cell r="J1131" t="str">
            <v>Scope 3WTT- heat and steamWTT- heat and steamOnsite heat and steamkWh</v>
          </cell>
          <cell r="K1131" t="str">
            <v>Onsite heat and steam</v>
          </cell>
          <cell r="L1131">
            <v>3.1530000000000002E-2</v>
          </cell>
        </row>
        <row r="1132">
          <cell r="J1132" t="str">
            <v>Scope 3WTT- heat and steamWTT- heat and steamDistrict heat and steamkWh</v>
          </cell>
          <cell r="K1132" t="str">
            <v>District heat and steam</v>
          </cell>
          <cell r="L1132">
            <v>3.1530000000000002E-2</v>
          </cell>
        </row>
        <row r="1133">
          <cell r="J1133" t="str">
            <v>Scope 3WTT- heat and steamWTT- district heat &amp; steam distribution5% losskWh</v>
          </cell>
          <cell r="K1133" t="str">
            <v>5% loss</v>
          </cell>
          <cell r="L1133">
            <v>1.6594736842105301E-3</v>
          </cell>
        </row>
        <row r="1134">
          <cell r="J1134" t="str">
            <v>Scope 3WTT- business travel- airWTT- flightsDomestic, to/from UKAverage passengerWith RFpassenger.km</v>
          </cell>
          <cell r="K1134" t="str">
            <v>Domestic, to/from UK Average passenger</v>
          </cell>
          <cell r="L1134">
            <v>2.691E-2</v>
          </cell>
        </row>
        <row r="1135">
          <cell r="J1135" t="str">
            <v>Scope 3WTT- business travel- airWTT- flightsDomestic, to/from UKAverage passengerWithout RFpassenger.km</v>
          </cell>
          <cell r="K1135" t="str">
            <v>Domestic, to/from UK Average passenger</v>
          </cell>
          <cell r="L1135">
            <v>2.691E-2</v>
          </cell>
        </row>
        <row r="1136">
          <cell r="J1136" t="str">
            <v>Scope 3WTT- business travel- airWTT- flightsShort-haul, to/from UKAverage passengerWith RFpassenger.km</v>
          </cell>
          <cell r="K1136" t="str">
            <v>Short-haul, to/from UK Average passenger</v>
          </cell>
          <cell r="L1136">
            <v>1.6809999999999999E-2</v>
          </cell>
        </row>
        <row r="1137">
          <cell r="J1137" t="str">
            <v>Scope 3WTT- business travel- airWTT- flightsShort-haul, to/from UKEconomy classWith RFpassenger.km</v>
          </cell>
          <cell r="K1137" t="str">
            <v>Short-haul, to/from UK Economy class</v>
          </cell>
          <cell r="L1137">
            <v>1.6539999999999999E-2</v>
          </cell>
        </row>
        <row r="1138">
          <cell r="J1138" t="str">
            <v>Scope 3WTT- business travel- airWTT- flightsShort-haul, to/from UKBusiness classWith RFpassenger.km</v>
          </cell>
          <cell r="K1138" t="str">
            <v>Short-haul, to/from UK Business class</v>
          </cell>
          <cell r="L1138">
            <v>2.4799999999999999E-2</v>
          </cell>
        </row>
        <row r="1139">
          <cell r="J1139" t="str">
            <v>Scope 3WTT- business travel- airWTT- flightsShort-haul, to/from UKBusiness classWithout RFpassenger.km</v>
          </cell>
          <cell r="K1139" t="str">
            <v>Short-haul, to/from UK Business class</v>
          </cell>
          <cell r="L1139">
            <v>2.4799999999999999E-2</v>
          </cell>
        </row>
        <row r="1140">
          <cell r="J1140" t="str">
            <v>Scope 3WTT- business travel- airWTT- flightsShort-haul, to/from UKEconomy classWithout RFpassenger.km</v>
          </cell>
          <cell r="K1140" t="str">
            <v>Short-haul, to/from UK Economy class</v>
          </cell>
          <cell r="L1140">
            <v>1.6539999999999999E-2</v>
          </cell>
        </row>
        <row r="1141">
          <cell r="J1141" t="str">
            <v>Scope 3WTT- business travel- airWTT- flightsShort-haul, to/from UKAverage passengerWithout RFpassenger.km</v>
          </cell>
          <cell r="K1141" t="str">
            <v>Short-haul, to/from UK Average passenger</v>
          </cell>
          <cell r="L1141">
            <v>1.6809999999999999E-2</v>
          </cell>
        </row>
        <row r="1142">
          <cell r="J1142" t="str">
            <v>Scope 3WTT- business travel- airWTT- flightsLong-haul, to/from UKAverage passengerWith RFpassenger.km</v>
          </cell>
          <cell r="K1142" t="str">
            <v>Long-haul, to/from UK Average passenger</v>
          </cell>
          <cell r="L1142">
            <v>2.1139999999999999E-2</v>
          </cell>
        </row>
        <row r="1143">
          <cell r="J1143" t="str">
            <v>Scope 3WTT- business travel- airWTT- flightsLong-haul, to/from UKEconomy classWith RFpassenger.km</v>
          </cell>
          <cell r="K1143" t="str">
            <v>Long-haul, to/from UK Economy class</v>
          </cell>
          <cell r="L1143">
            <v>1.619E-2</v>
          </cell>
        </row>
        <row r="1144">
          <cell r="J1144" t="str">
            <v>Scope 3WTT- business travel- airWTT- flightsLong-haul, to/from UKPremium economy classWith RFpassenger.km</v>
          </cell>
          <cell r="K1144" t="str">
            <v>Long-haul, to/from UK Premium economy class</v>
          </cell>
          <cell r="L1144">
            <v>2.5909999999999999E-2</v>
          </cell>
        </row>
        <row r="1145">
          <cell r="J1145" t="str">
            <v>Scope 3WTT- business travel- airWTT- flightsLong-haul, to/from UKFirst classWith RFpassenger.km</v>
          </cell>
          <cell r="K1145" t="str">
            <v>Long-haul, to/from UK First class</v>
          </cell>
          <cell r="L1145">
            <v>6.4769999999999994E-2</v>
          </cell>
        </row>
        <row r="1146">
          <cell r="J1146" t="str">
            <v>Scope 3WTT- business travel- airWTT- flightsLong-haul, to/from UKBusiness classWith RFpassenger.km</v>
          </cell>
          <cell r="K1146" t="str">
            <v>Long-haul, to/from UK Business class</v>
          </cell>
          <cell r="L1146">
            <v>4.6960000000000002E-2</v>
          </cell>
        </row>
        <row r="1147">
          <cell r="J1147" t="str">
            <v>Scope 3WTT- business travel- airWTT- flightsLong-haul, to/from UKBusiness classWithout RFpassenger.km</v>
          </cell>
          <cell r="K1147" t="str">
            <v>Long-haul, to/from UK Business class</v>
          </cell>
          <cell r="L1147">
            <v>4.6960000000000002E-2</v>
          </cell>
        </row>
        <row r="1148">
          <cell r="J1148" t="str">
            <v>Scope 3WTT- business travel- airWTT- flightsLong-haul, to/from UKFirst classWithout RFpassenger.km</v>
          </cell>
          <cell r="K1148" t="str">
            <v>Long-haul, to/from UK First class</v>
          </cell>
          <cell r="L1148">
            <v>6.4769999999999994E-2</v>
          </cell>
        </row>
        <row r="1149">
          <cell r="J1149" t="str">
            <v>Scope 3WTT- business travel- airWTT- flightsLong-haul, to/from UKPremium economy classWithout RFpassenger.km</v>
          </cell>
          <cell r="K1149" t="str">
            <v>Long-haul, to/from UK Premium economy class</v>
          </cell>
          <cell r="L1149">
            <v>2.5909999999999999E-2</v>
          </cell>
        </row>
        <row r="1150">
          <cell r="J1150" t="str">
            <v>Scope 3WTT- business travel- airWTT- flightsLong-haul, to/from UKEconomy classWithout RFpassenger.km</v>
          </cell>
          <cell r="K1150" t="str">
            <v>Long-haul, to/from UK Economy class</v>
          </cell>
          <cell r="L1150">
            <v>1.619E-2</v>
          </cell>
        </row>
        <row r="1151">
          <cell r="J1151" t="str">
            <v>Scope 3WTT- business travel- airWTT- flightsLong-haul, to/from UKAverage passengerWithout RFpassenger.km</v>
          </cell>
          <cell r="K1151" t="str">
            <v>Long-haul, to/from UK Average passenger</v>
          </cell>
          <cell r="L1151">
            <v>2.1139999999999999E-2</v>
          </cell>
        </row>
        <row r="1152">
          <cell r="J1152" t="str">
            <v>Scope 3WTT- business travel- airWTT- flightsInternational, to/from non-UKAverage passengerWith RFpassenger.km</v>
          </cell>
          <cell r="K1152" t="str">
            <v>International, to/from non-UK Average passenger</v>
          </cell>
          <cell r="L1152">
            <v>2.0109999999999999E-2</v>
          </cell>
        </row>
        <row r="1153">
          <cell r="J1153" t="str">
            <v>Scope 3WTT- business travel- airWTT- flightsInternational, to/from non-UKEconomy classWith RFpassenger.km</v>
          </cell>
          <cell r="K1153" t="str">
            <v>International, to/from non-UK Economy class</v>
          </cell>
          <cell r="L1153">
            <v>1.54E-2</v>
          </cell>
        </row>
        <row r="1154">
          <cell r="J1154" t="str">
            <v>Scope 3WTT- business travel- airWTT- flightsInternational, to/from non-UKFirst classWith RFpassenger.km</v>
          </cell>
          <cell r="K1154" t="str">
            <v>International, to/from non-UK First class</v>
          </cell>
          <cell r="L1154">
            <v>6.1589999999999999E-2</v>
          </cell>
        </row>
        <row r="1155">
          <cell r="J1155" t="str">
            <v>Scope 3WTT- business travel- airWTT- flightsInternational, to/from non-UKPremium economy classWith RFpassenger.km</v>
          </cell>
          <cell r="K1155" t="str">
            <v>International, to/from non-UK Premium economy class</v>
          </cell>
          <cell r="L1155">
            <v>2.4639999999999999E-2</v>
          </cell>
        </row>
        <row r="1156">
          <cell r="J1156" t="str">
            <v>Scope 3WTT- business travel- airWTT- flightsInternational, to/from non-UKBusiness classWith RFpassenger.km</v>
          </cell>
          <cell r="K1156" t="str">
            <v>International, to/from non-UK Business class</v>
          </cell>
          <cell r="L1156">
            <v>4.4659999999999998E-2</v>
          </cell>
        </row>
        <row r="1157">
          <cell r="J1157" t="str">
            <v>Scope 3WTT- business travel- airWTT- flightsInternational, to/from non-UKBusiness classWithout RFpassenger.km</v>
          </cell>
          <cell r="K1157" t="str">
            <v>International, to/from non-UK Business class</v>
          </cell>
          <cell r="L1157">
            <v>4.4659999999999998E-2</v>
          </cell>
        </row>
        <row r="1158">
          <cell r="J1158" t="str">
            <v>Scope 3WTT- business travel- airWTT- flightsInternational, to/from non-UKPremium economy classWithout RFpassenger.km</v>
          </cell>
          <cell r="K1158" t="str">
            <v>International, to/from non-UK Premium economy class</v>
          </cell>
          <cell r="L1158">
            <v>2.4639999999999999E-2</v>
          </cell>
        </row>
        <row r="1159">
          <cell r="J1159" t="str">
            <v>Scope 3WTT- business travel- airWTT- flightsInternational, to/from non-UKFirst classWithout RFpassenger.km</v>
          </cell>
          <cell r="K1159" t="str">
            <v>International, to/from non-UK First class</v>
          </cell>
          <cell r="L1159">
            <v>6.1589999999999999E-2</v>
          </cell>
        </row>
        <row r="1160">
          <cell r="J1160" t="str">
            <v>Scope 3WTT- business travel- airWTT- flightsInternational, to/from non-UKEconomy classWithout RFpassenger.km</v>
          </cell>
          <cell r="K1160" t="str">
            <v>International, to/from non-UK Economy class</v>
          </cell>
          <cell r="L1160">
            <v>1.54E-2</v>
          </cell>
        </row>
        <row r="1161">
          <cell r="J1161" t="str">
            <v>Scope 3WTT- business travel- airWTT- flightsInternational, to/from non-UKAverage passengerWithout RFpassenger.km</v>
          </cell>
          <cell r="K1161" t="str">
            <v>International, to/from non-UK Average passenger</v>
          </cell>
          <cell r="L1161">
            <v>2.0109999999999999E-2</v>
          </cell>
        </row>
        <row r="1162">
          <cell r="J1162" t="str">
            <v>Scope 3WTT- business travel- seaWTT- ferryFoot passengerpassenger.km</v>
          </cell>
          <cell r="K1162" t="str">
            <v xml:space="preserve">Foot passenger </v>
          </cell>
          <cell r="L1162">
            <v>4.2079999999999999E-3</v>
          </cell>
        </row>
        <row r="1163">
          <cell r="J1163" t="str">
            <v>Scope 3WTT- business travel- seaWTT- ferryCar passengerpassenger.km</v>
          </cell>
          <cell r="K1163" t="str">
            <v xml:space="preserve">Car passenger </v>
          </cell>
          <cell r="L1163">
            <v>2.9086999999999998E-2</v>
          </cell>
        </row>
        <row r="1164">
          <cell r="J1164" t="str">
            <v>Scope 3WTT- business travel- seaWTT- ferryAverage (all passenger)passenger.km</v>
          </cell>
          <cell r="K1164" t="str">
            <v xml:space="preserve">Average (all passenger) </v>
          </cell>
          <cell r="L1164">
            <v>2.5347000000000001E-2</v>
          </cell>
        </row>
        <row r="1165">
          <cell r="J1165" t="str">
            <v>Scope 3WTT- pass vehs &amp; travel- landWTT- cars (by market segment)MiniDieselkm</v>
          </cell>
          <cell r="K1165" t="str">
            <v>Mini km</v>
          </cell>
          <cell r="L1165">
            <v>2.5729999999999999E-2</v>
          </cell>
        </row>
        <row r="1166">
          <cell r="J1166" t="str">
            <v>Scope 3WTT- pass vehs &amp; travel- landWTT- cars (by market segment)MiniDieselmiles</v>
          </cell>
          <cell r="K1166" t="str">
            <v>Mini miles</v>
          </cell>
          <cell r="L1166">
            <v>4.1410000000000002E-2</v>
          </cell>
        </row>
        <row r="1167">
          <cell r="J1167" t="str">
            <v>Scope 3WTT- pass vehs &amp; travel- landWTT- cars (by market segment)MiniPetrolkm</v>
          </cell>
          <cell r="K1167" t="str">
            <v>Mini km</v>
          </cell>
          <cell r="L1167">
            <v>3.8100000000000002E-2</v>
          </cell>
        </row>
        <row r="1168">
          <cell r="J1168" t="str">
            <v>Scope 3WTT- pass vehs &amp; travel- landWTT- cars (by market segment)MiniPetrolmiles</v>
          </cell>
          <cell r="K1168" t="str">
            <v>Mini miles</v>
          </cell>
          <cell r="L1168">
            <v>6.132E-2</v>
          </cell>
        </row>
        <row r="1169">
          <cell r="J1169" t="str">
            <v>Scope 3WTT- pass vehs &amp; travel- landWTT- cars (by market segment)MiniUnknownkm</v>
          </cell>
          <cell r="K1169" t="str">
            <v>Mini km</v>
          </cell>
          <cell r="L1169">
            <v>3.798E-2</v>
          </cell>
        </row>
        <row r="1170">
          <cell r="J1170" t="str">
            <v>Scope 3WTT- pass vehs &amp; travel- landWTT- cars (by market segment)MiniUnknownmiles</v>
          </cell>
          <cell r="K1170" t="str">
            <v>Mini miles</v>
          </cell>
          <cell r="L1170">
            <v>6.1120000000000001E-2</v>
          </cell>
        </row>
        <row r="1171">
          <cell r="J1171" t="str">
            <v>Scope 3WTT- pass vehs &amp; travel- landWTT- cars (by market segment)MiniPlug-in Hybrid Electric Vehiclekm</v>
          </cell>
          <cell r="K1171" t="str">
            <v>Mini km</v>
          </cell>
          <cell r="L1171" t="str">
            <v/>
          </cell>
        </row>
        <row r="1172">
          <cell r="J1172" t="str">
            <v>Scope 3WTT- pass vehs &amp; travel- landWTT- cars (by market segment)MiniPlug-in Hybrid Electric Vehiclemiles</v>
          </cell>
          <cell r="K1172" t="str">
            <v>Mini miles</v>
          </cell>
          <cell r="L1172" t="str">
            <v/>
          </cell>
        </row>
        <row r="1173">
          <cell r="J1173" t="str">
            <v>Scope 3WTT- pass vehs &amp; travel- landWTT- cars (by market segment)MiniBattery Electric Vehiclekm</v>
          </cell>
          <cell r="K1173" t="str">
            <v>Mini km</v>
          </cell>
          <cell r="L1173">
            <v>1.1440000000000001E-2</v>
          </cell>
        </row>
        <row r="1174">
          <cell r="J1174" t="str">
            <v>Scope 3WTT- pass vehs &amp; travel- landWTT- cars (by market segment)MiniBattery Electric Vehiclemiles</v>
          </cell>
          <cell r="K1174" t="str">
            <v>Mini miles</v>
          </cell>
          <cell r="L1174">
            <v>1.8410000000000003E-2</v>
          </cell>
        </row>
        <row r="1175">
          <cell r="J1175" t="str">
            <v>Scope 3WTT- pass vehs &amp; travel- landWTT- cars (by market segment)SuperminiDieselkm</v>
          </cell>
          <cell r="K1175" t="str">
            <v>Supermini km</v>
          </cell>
          <cell r="L1175">
            <v>3.1759999999999997E-2</v>
          </cell>
        </row>
        <row r="1176">
          <cell r="J1176" t="str">
            <v>Scope 3WTT- pass vehs &amp; travel- landWTT- cars (by market segment)SuperminiDieselmiles</v>
          </cell>
          <cell r="K1176" t="str">
            <v>Supermini miles</v>
          </cell>
          <cell r="L1176">
            <v>5.1119999999999999E-2</v>
          </cell>
        </row>
        <row r="1177">
          <cell r="J1177" t="str">
            <v>Scope 3WTT- pass vehs &amp; travel- landWTT- cars (by market segment)SuperminiPetrolkm</v>
          </cell>
          <cell r="K1177" t="str">
            <v>Supermini km</v>
          </cell>
          <cell r="L1177">
            <v>4.2380000000000001E-2</v>
          </cell>
        </row>
        <row r="1178">
          <cell r="J1178" t="str">
            <v>Scope 3WTT- pass vehs &amp; travel- landWTT- cars (by market segment)SuperminiPetrolmiles</v>
          </cell>
          <cell r="K1178" t="str">
            <v>Supermini miles</v>
          </cell>
          <cell r="L1178">
            <v>6.8199999999999997E-2</v>
          </cell>
        </row>
        <row r="1179">
          <cell r="J1179" t="str">
            <v>Scope 3WTT- pass vehs &amp; travel- landWTT- cars (by market segment)SuperminiUnknownkm</v>
          </cell>
          <cell r="K1179" t="str">
            <v>Supermini km</v>
          </cell>
          <cell r="L1179">
            <v>4.079E-2</v>
          </cell>
        </row>
        <row r="1180">
          <cell r="J1180" t="str">
            <v>Scope 3WTT- pass vehs &amp; travel- landWTT- cars (by market segment)SuperminiUnknownmiles</v>
          </cell>
          <cell r="K1180" t="str">
            <v>Supermini miles</v>
          </cell>
          <cell r="L1180">
            <v>6.5640000000000004E-2</v>
          </cell>
        </row>
        <row r="1181">
          <cell r="J1181" t="str">
            <v>Scope 3WTT- pass vehs &amp; travel- landWTT- cars (by market segment)SuperminiPlug-in Hybrid Electric Vehiclekm</v>
          </cell>
          <cell r="K1181" t="str">
            <v>Supermini km</v>
          </cell>
          <cell r="L1181">
            <v>1.4929999999999999E-2</v>
          </cell>
        </row>
        <row r="1182">
          <cell r="J1182" t="str">
            <v>Scope 3WTT- pass vehs &amp; travel- landWTT- cars (by market segment)SuperminiPlug-in Hybrid Electric Vehiclemiles</v>
          </cell>
          <cell r="K1182" t="str">
            <v>Supermini miles</v>
          </cell>
          <cell r="L1182">
            <v>2.402E-2</v>
          </cell>
        </row>
        <row r="1183">
          <cell r="J1183" t="str">
            <v>Scope 3WTT- pass vehs &amp; travel- landWTT- cars (by market segment)SuperminiBattery Electric Vehiclekm</v>
          </cell>
          <cell r="K1183" t="str">
            <v>Supermini km</v>
          </cell>
          <cell r="L1183">
            <v>1.2019999999999999E-2</v>
          </cell>
        </row>
        <row r="1184">
          <cell r="J1184" t="str">
            <v>Scope 3WTT- pass vehs &amp; travel- landWTT- cars (by market segment)SuperminiBattery Electric Vehiclemiles</v>
          </cell>
          <cell r="K1184" t="str">
            <v>Supermini miles</v>
          </cell>
          <cell r="L1184">
            <v>1.934E-2</v>
          </cell>
        </row>
        <row r="1185">
          <cell r="J1185" t="str">
            <v>Scope 3WTT- pass vehs &amp; travel- landWTT- cars (by market segment)Lower mediumDieselkm</v>
          </cell>
          <cell r="K1185" t="str">
            <v>Lower medium km</v>
          </cell>
          <cell r="L1185">
            <v>3.4790000000000001E-2</v>
          </cell>
        </row>
        <row r="1186">
          <cell r="J1186" t="str">
            <v>Scope 3WTT- pass vehs &amp; travel- landWTT- cars (by market segment)Lower mediumDieselmiles</v>
          </cell>
          <cell r="K1186" t="str">
            <v>Lower medium miles</v>
          </cell>
          <cell r="L1186">
            <v>5.5989999999999998E-2</v>
          </cell>
        </row>
        <row r="1187">
          <cell r="J1187" t="str">
            <v>Scope 3WTT- pass vehs &amp; travel- landWTT- cars (by market segment)Lower mediumPetrolkm</v>
          </cell>
          <cell r="K1187" t="str">
            <v>Lower medium km</v>
          </cell>
          <cell r="L1187">
            <v>4.904E-2</v>
          </cell>
        </row>
        <row r="1188">
          <cell r="J1188" t="str">
            <v>Scope 3WTT- pass vehs &amp; travel- landWTT- cars (by market segment)Lower mediumPetrolmiles</v>
          </cell>
          <cell r="K1188" t="str">
            <v>Lower medium miles</v>
          </cell>
          <cell r="L1188">
            <v>7.8920000000000004E-2</v>
          </cell>
        </row>
        <row r="1189">
          <cell r="J1189" t="str">
            <v>Scope 3WTT- pass vehs &amp; travel- landWTT- cars (by market segment)Lower mediumUnknownkm</v>
          </cell>
          <cell r="K1189" t="str">
            <v>Lower medium km</v>
          </cell>
          <cell r="L1189">
            <v>4.1919999999999999E-2</v>
          </cell>
        </row>
        <row r="1190">
          <cell r="J1190" t="str">
            <v>Scope 3WTT- pass vehs &amp; travel- landWTT- cars (by market segment)Lower mediumUnknownmiles</v>
          </cell>
          <cell r="K1190" t="str">
            <v>Lower medium miles</v>
          </cell>
          <cell r="L1190">
            <v>6.7460000000000006E-2</v>
          </cell>
        </row>
        <row r="1191">
          <cell r="J1191" t="str">
            <v>Scope 3WTT- pass vehs &amp; travel- landWTT- cars (by market segment)Lower mediumPlug-in Hybrid Electric Vehiclekm</v>
          </cell>
          <cell r="K1191" t="str">
            <v>Lower medium km</v>
          </cell>
          <cell r="L1191">
            <v>2.4409999999999998E-2</v>
          </cell>
        </row>
        <row r="1192">
          <cell r="J1192" t="str">
            <v>Scope 3WTT- pass vehs &amp; travel- landWTT- cars (by market segment)Lower mediumPlug-in Hybrid Electric Vehiclemiles</v>
          </cell>
          <cell r="K1192" t="str">
            <v>Lower medium miles</v>
          </cell>
          <cell r="L1192">
            <v>3.9280000000000002E-2</v>
          </cell>
        </row>
        <row r="1193">
          <cell r="J1193" t="str">
            <v>Scope 3WTT- pass vehs &amp; travel- landWTT- cars (by market segment)Lower mediumBattery Electric Vehiclekm</v>
          </cell>
          <cell r="K1193" t="str">
            <v>Lower medium km</v>
          </cell>
          <cell r="L1193">
            <v>1.3689999999999999E-2</v>
          </cell>
        </row>
        <row r="1194">
          <cell r="J1194" t="str">
            <v>Scope 3WTT- pass vehs &amp; travel- landWTT- cars (by market segment)Lower mediumBattery Electric Vehiclemiles</v>
          </cell>
          <cell r="K1194" t="str">
            <v>Lower medium miles</v>
          </cell>
          <cell r="L1194">
            <v>2.2030000000000001E-2</v>
          </cell>
        </row>
        <row r="1195">
          <cell r="J1195" t="str">
            <v>Scope 3WTT- pass vehs &amp; travel- landWTT- cars (by market segment)Upper mediumDieselkm</v>
          </cell>
          <cell r="K1195" t="str">
            <v>Upper medium km</v>
          </cell>
          <cell r="L1195">
            <v>3.8850000000000003E-2</v>
          </cell>
        </row>
        <row r="1196">
          <cell r="J1196" t="str">
            <v>Scope 3WTT- pass vehs &amp; travel- landWTT- cars (by market segment)Upper mediumDieselmiles</v>
          </cell>
          <cell r="K1196" t="str">
            <v>Upper medium miles</v>
          </cell>
          <cell r="L1196">
            <v>6.2520000000000006E-2</v>
          </cell>
        </row>
        <row r="1197">
          <cell r="J1197" t="str">
            <v>Scope 3WTT- pass vehs &amp; travel- landWTT- cars (by market segment)Upper mediumPetrolkm</v>
          </cell>
          <cell r="K1197" t="str">
            <v>Upper medium km</v>
          </cell>
          <cell r="L1197">
            <v>5.7090000000000002E-2</v>
          </cell>
        </row>
        <row r="1198">
          <cell r="J1198" t="str">
            <v>Scope 3WTT- pass vehs &amp; travel- landWTT- cars (by market segment)Upper mediumPetrolmiles</v>
          </cell>
          <cell r="K1198" t="str">
            <v>Upper medium miles</v>
          </cell>
          <cell r="L1198">
            <v>9.1880000000000003E-2</v>
          </cell>
        </row>
        <row r="1199">
          <cell r="J1199" t="str">
            <v>Scope 3WTT- pass vehs &amp; travel- landWTT- cars (by market segment)Upper mediumUnknownkm</v>
          </cell>
          <cell r="K1199" t="str">
            <v>Upper medium km</v>
          </cell>
          <cell r="L1199">
            <v>4.2759999999999999E-2</v>
          </cell>
        </row>
        <row r="1200">
          <cell r="J1200" t="str">
            <v>Scope 3WTT- pass vehs &amp; travel- landWTT- cars (by market segment)Upper mediumUnknownmiles</v>
          </cell>
          <cell r="K1200" t="str">
            <v>Upper medium miles</v>
          </cell>
          <cell r="L1200">
            <v>6.8820000000000006E-2</v>
          </cell>
        </row>
        <row r="1201">
          <cell r="J1201" t="str">
            <v>Scope 3WTT- pass vehs &amp; travel- landWTT- cars (by market segment)Upper mediumPlug-in Hybrid Electric Vehiclekm</v>
          </cell>
          <cell r="K1201" t="str">
            <v>Upper medium km</v>
          </cell>
          <cell r="L1201">
            <v>2.5440000000000001E-2</v>
          </cell>
        </row>
        <row r="1202">
          <cell r="J1202" t="str">
            <v>Scope 3WTT- pass vehs &amp; travel- landWTT- cars (by market segment)Upper mediumPlug-in Hybrid Electric Vehiclemiles</v>
          </cell>
          <cell r="K1202" t="str">
            <v>Upper medium miles</v>
          </cell>
          <cell r="L1202">
            <v>4.0939999999999997E-2</v>
          </cell>
        </row>
        <row r="1203">
          <cell r="J1203" t="str">
            <v>Scope 3WTT- pass vehs &amp; travel- landWTT- cars (by market segment)Upper mediumBattery Electric Vehiclekm</v>
          </cell>
          <cell r="K1203" t="str">
            <v>Upper medium km</v>
          </cell>
          <cell r="L1203">
            <v>1.0109999999999999E-2</v>
          </cell>
        </row>
        <row r="1204">
          <cell r="J1204" t="str">
            <v>Scope 3WTT- pass vehs &amp; travel- landWTT- cars (by market segment)Upper mediumBattery Electric Vehiclemiles</v>
          </cell>
          <cell r="K1204" t="str">
            <v>Upper medium miles</v>
          </cell>
          <cell r="L1204">
            <v>1.627E-2</v>
          </cell>
        </row>
        <row r="1205">
          <cell r="J1205" t="str">
            <v>Scope 3WTT- pass vehs &amp; travel- landWTT- cars (by market segment)ExecutiveDieselkm</v>
          </cell>
          <cell r="K1205" t="str">
            <v>Executive km</v>
          </cell>
          <cell r="L1205">
            <v>4.2410000000000003E-2</v>
          </cell>
        </row>
        <row r="1206">
          <cell r="J1206" t="str">
            <v>Scope 3WTT- pass vehs &amp; travel- landWTT- cars (by market segment)ExecutiveDieselmiles</v>
          </cell>
          <cell r="K1206" t="str">
            <v>Executive miles</v>
          </cell>
          <cell r="L1206">
            <v>6.8250000000000005E-2</v>
          </cell>
        </row>
        <row r="1207">
          <cell r="J1207" t="str">
            <v>Scope 3WTT- pass vehs &amp; travel- landWTT- cars (by market segment)ExecutivePetrolkm</v>
          </cell>
          <cell r="K1207" t="str">
            <v>Executive km</v>
          </cell>
          <cell r="L1207">
            <v>6.2670000000000003E-2</v>
          </cell>
        </row>
        <row r="1208">
          <cell r="J1208" t="str">
            <v>Scope 3WTT- pass vehs &amp; travel- landWTT- cars (by market segment)ExecutivePetrolmiles</v>
          </cell>
          <cell r="K1208" t="str">
            <v>Executive miles</v>
          </cell>
          <cell r="L1208">
            <v>0.10086000000000001</v>
          </cell>
        </row>
        <row r="1209">
          <cell r="J1209" t="str">
            <v>Scope 3WTT- pass vehs &amp; travel- landWTT- cars (by market segment)ExecutiveUnknownkm</v>
          </cell>
          <cell r="K1209" t="str">
            <v>Executive km</v>
          </cell>
          <cell r="L1209">
            <v>4.7239999999999997E-2</v>
          </cell>
        </row>
        <row r="1210">
          <cell r="J1210" t="str">
            <v>Scope 3WTT- pass vehs &amp; travel- landWTT- cars (by market segment)ExecutiveUnknownmiles</v>
          </cell>
          <cell r="K1210" t="str">
            <v>Executive miles</v>
          </cell>
          <cell r="L1210">
            <v>7.6020000000000004E-2</v>
          </cell>
        </row>
        <row r="1211">
          <cell r="J1211" t="str">
            <v>Scope 3WTT- pass vehs &amp; travel- landWTT- cars (by market segment)ExecutivePlug-in Hybrid Electric Vehiclekm</v>
          </cell>
          <cell r="K1211" t="str">
            <v>Executive km</v>
          </cell>
          <cell r="L1211">
            <v>2.572E-2</v>
          </cell>
        </row>
        <row r="1212">
          <cell r="J1212" t="str">
            <v>Scope 3WTT- pass vehs &amp; travel- landWTT- cars (by market segment)ExecutivePlug-in Hybrid Electric Vehiclemiles</v>
          </cell>
          <cell r="K1212" t="str">
            <v>Executive miles</v>
          </cell>
          <cell r="L1212">
            <v>4.1389999999999996E-2</v>
          </cell>
        </row>
        <row r="1213">
          <cell r="J1213" t="str">
            <v>Scope 3WTT- pass vehs &amp; travel- landWTT- cars (by market segment)ExecutiveBattery Electric Vehiclekm</v>
          </cell>
          <cell r="K1213" t="str">
            <v>Executive km</v>
          </cell>
          <cell r="L1213">
            <v>1.333E-2</v>
          </cell>
        </row>
        <row r="1214">
          <cell r="J1214" t="str">
            <v>Scope 3WTT- pass vehs &amp; travel- landWTT- cars (by market segment)ExecutiveBattery Electric Vehiclemiles</v>
          </cell>
          <cell r="K1214" t="str">
            <v>Executive miles</v>
          </cell>
          <cell r="L1214">
            <v>2.1470000000000003E-2</v>
          </cell>
        </row>
        <row r="1215">
          <cell r="J1215" t="str">
            <v>Scope 3WTT- pass vehs &amp; travel- landWTT- cars (by market segment)LuxuryDieselkm</v>
          </cell>
          <cell r="K1215" t="str">
            <v>Luxury km</v>
          </cell>
          <cell r="L1215">
            <v>5.1709999999999999E-2</v>
          </cell>
        </row>
        <row r="1216">
          <cell r="J1216" t="str">
            <v>Scope 3WTT- pass vehs &amp; travel- landWTT- cars (by market segment)LuxuryDieselmiles</v>
          </cell>
          <cell r="K1216" t="str">
            <v>Luxury miles</v>
          </cell>
          <cell r="L1216">
            <v>8.3220000000000002E-2</v>
          </cell>
        </row>
        <row r="1217">
          <cell r="J1217" t="str">
            <v>Scope 3WTT- pass vehs &amp; travel- landWTT- cars (by market segment)LuxuryPetrolkm</v>
          </cell>
          <cell r="K1217" t="str">
            <v>Luxury km</v>
          </cell>
          <cell r="L1217">
            <v>9.1490000000000002E-2</v>
          </cell>
        </row>
        <row r="1218">
          <cell r="J1218" t="str">
            <v>Scope 3WTT- pass vehs &amp; travel- landWTT- cars (by market segment)LuxuryPetrolmiles</v>
          </cell>
          <cell r="K1218" t="str">
            <v>Luxury miles</v>
          </cell>
          <cell r="L1218">
            <v>0.14724000000000001</v>
          </cell>
        </row>
        <row r="1219">
          <cell r="J1219" t="str">
            <v>Scope 3WTT- pass vehs &amp; travel- landWTT- cars (by market segment)LuxuryUnknownkm</v>
          </cell>
          <cell r="K1219" t="str">
            <v>Luxury km</v>
          </cell>
          <cell r="L1219">
            <v>7.0550000000000002E-2</v>
          </cell>
        </row>
        <row r="1220">
          <cell r="J1220" t="str">
            <v>Scope 3WTT- pass vehs &amp; travel- landWTT- cars (by market segment)LuxuryUnknownmiles</v>
          </cell>
          <cell r="K1220" t="str">
            <v>Luxury miles</v>
          </cell>
          <cell r="L1220">
            <v>0.11354</v>
          </cell>
        </row>
        <row r="1221">
          <cell r="J1221" t="str">
            <v>Scope 3WTT- pass vehs &amp; travel- landWTT- cars (by market segment)LuxuryPlug-in Hybrid Electric Vehiclekm</v>
          </cell>
          <cell r="K1221" t="str">
            <v>Luxury km</v>
          </cell>
          <cell r="L1221">
            <v>3.2480000000000002E-2</v>
          </cell>
        </row>
        <row r="1222">
          <cell r="J1222" t="str">
            <v>Scope 3WTT- pass vehs &amp; travel- landWTT- cars (by market segment)LuxuryPlug-in Hybrid Electric Vehiclemiles</v>
          </cell>
          <cell r="K1222" t="str">
            <v>Luxury miles</v>
          </cell>
          <cell r="L1222">
            <v>5.228E-2</v>
          </cell>
        </row>
        <row r="1223">
          <cell r="J1223" t="str">
            <v>Scope 3WTT- pass vehs &amp; travel- landWTT- cars (by market segment)LuxuryBattery Electric Vehiclekm</v>
          </cell>
          <cell r="K1223" t="str">
            <v>Luxury km</v>
          </cell>
          <cell r="L1223">
            <v>1.558E-2</v>
          </cell>
        </row>
        <row r="1224">
          <cell r="J1224" t="str">
            <v>Scope 3WTT- pass vehs &amp; travel- landWTT- cars (by market segment)LuxuryBattery Electric Vehiclemiles</v>
          </cell>
          <cell r="K1224" t="str">
            <v>Luxury miles</v>
          </cell>
          <cell r="L1224">
            <v>2.5080000000000002E-2</v>
          </cell>
        </row>
        <row r="1225">
          <cell r="J1225" t="str">
            <v>Scope 3WTT- pass vehs &amp; travel- landWTT- cars (by market segment)SportsDieselkm</v>
          </cell>
          <cell r="K1225" t="str">
            <v>Sports km</v>
          </cell>
          <cell r="L1225">
            <v>4.0599999999999997E-2</v>
          </cell>
        </row>
        <row r="1226">
          <cell r="J1226" t="str">
            <v>Scope 3WTT- pass vehs &amp; travel- landWTT- cars (by market segment)SportsDieselmiles</v>
          </cell>
          <cell r="K1226" t="str">
            <v>Sports miles</v>
          </cell>
          <cell r="L1226">
            <v>6.5329999999999999E-2</v>
          </cell>
        </row>
        <row r="1227">
          <cell r="J1227" t="str">
            <v>Scope 3WTT- pass vehs &amp; travel- landWTT- cars (by market segment)SportsPetrolkm</v>
          </cell>
          <cell r="K1227" t="str">
            <v>Sports km</v>
          </cell>
          <cell r="L1227">
            <v>6.8080000000000002E-2</v>
          </cell>
        </row>
        <row r="1228">
          <cell r="J1228" t="str">
            <v>Scope 3WTT- pass vehs &amp; travel- landWTT- cars (by market segment)SportsPetrolmiles</v>
          </cell>
          <cell r="K1228" t="str">
            <v>Sports miles</v>
          </cell>
          <cell r="L1228">
            <v>0.10957</v>
          </cell>
        </row>
        <row r="1229">
          <cell r="J1229" t="str">
            <v>Scope 3WTT- pass vehs &amp; travel- landWTT- cars (by market segment)SportsUnknownkm</v>
          </cell>
          <cell r="K1229" t="str">
            <v>Sports km</v>
          </cell>
          <cell r="L1229">
            <v>6.3700000000000007E-2</v>
          </cell>
        </row>
        <row r="1230">
          <cell r="J1230" t="str">
            <v>Scope 3WTT- pass vehs &amp; travel- landWTT- cars (by market segment)SportsUnknownmiles</v>
          </cell>
          <cell r="K1230" t="str">
            <v>Sports miles</v>
          </cell>
          <cell r="L1230">
            <v>0.10251</v>
          </cell>
        </row>
        <row r="1231">
          <cell r="J1231" t="str">
            <v>Scope 3WTT- pass vehs &amp; travel- landWTT- cars (by market segment)SportsPlug-in Hybrid Electric Vehiclekm</v>
          </cell>
          <cell r="K1231" t="str">
            <v>Sports km</v>
          </cell>
          <cell r="L1231">
            <v>2.6180000000000002E-2</v>
          </cell>
        </row>
        <row r="1232">
          <cell r="J1232" t="str">
            <v>Scope 3WTT- pass vehs &amp; travel- landWTT- cars (by market segment)SportsPlug-in Hybrid Electric Vehiclemiles</v>
          </cell>
          <cell r="K1232" t="str">
            <v>Sports miles</v>
          </cell>
          <cell r="L1232">
            <v>4.2129999999999994E-2</v>
          </cell>
        </row>
        <row r="1233">
          <cell r="J1233" t="str">
            <v>Scope 3WTT- pass vehs &amp; travel- landWTT- cars (by market segment)SportsBattery Electric Vehiclekm</v>
          </cell>
          <cell r="K1233" t="str">
            <v>Sports km</v>
          </cell>
          <cell r="L1233">
            <v>1.9460000000000002E-2</v>
          </cell>
        </row>
        <row r="1234">
          <cell r="J1234" t="str">
            <v>Scope 3WTT- pass vehs &amp; travel- landWTT- cars (by market segment)SportsBattery Electric Vehiclemiles</v>
          </cell>
          <cell r="K1234" t="str">
            <v>Sports miles</v>
          </cell>
          <cell r="L1234">
            <v>3.1329999999999997E-2</v>
          </cell>
        </row>
        <row r="1235">
          <cell r="J1235" t="str">
            <v>Scope 3WTT- pass vehs &amp; travel- landWTT- cars (by market segment)Dual purpose 4X4Dieselkm</v>
          </cell>
          <cell r="K1235" t="str">
            <v>Dual purpose 4X4 km</v>
          </cell>
          <cell r="L1235">
            <v>4.9739999999999999E-2</v>
          </cell>
        </row>
        <row r="1236">
          <cell r="J1236" t="str">
            <v>Scope 3WTT- pass vehs &amp; travel- landWTT- cars (by market segment)Dual purpose 4X4Dieselmiles</v>
          </cell>
          <cell r="K1236" t="str">
            <v>Dual purpose 4X4 miles</v>
          </cell>
          <cell r="L1236">
            <v>8.0049999999999996E-2</v>
          </cell>
        </row>
        <row r="1237">
          <cell r="J1237" t="str">
            <v>Scope 3WTT- pass vehs &amp; travel- landWTT- cars (by market segment)Dual purpose 4X4Petrolkm</v>
          </cell>
          <cell r="K1237" t="str">
            <v>Dual purpose 4X4 km</v>
          </cell>
          <cell r="L1237">
            <v>6.0740000000000002E-2</v>
          </cell>
        </row>
        <row r="1238">
          <cell r="J1238" t="str">
            <v>Scope 3WTT- pass vehs &amp; travel- landWTT- cars (by market segment)Dual purpose 4X4Petrolmiles</v>
          </cell>
          <cell r="K1238" t="str">
            <v>Dual purpose 4X4 miles</v>
          </cell>
          <cell r="L1238">
            <v>9.776E-2</v>
          </cell>
        </row>
        <row r="1239">
          <cell r="J1239" t="str">
            <v>Scope 3WTT- pass vehs &amp; travel- landWTT- cars (by market segment)Dual purpose 4X4Unknownkm</v>
          </cell>
          <cell r="K1239" t="str">
            <v>Dual purpose 4X4 km</v>
          </cell>
          <cell r="L1239">
            <v>5.2650000000000002E-2</v>
          </cell>
        </row>
        <row r="1240">
          <cell r="J1240" t="str">
            <v>Scope 3WTT- pass vehs &amp; travel- landWTT- cars (by market segment)Dual purpose 4X4Unknownmiles</v>
          </cell>
          <cell r="K1240" t="str">
            <v>Dual purpose 4X4 miles</v>
          </cell>
          <cell r="L1240">
            <v>8.4739999999999996E-2</v>
          </cell>
        </row>
        <row r="1241">
          <cell r="J1241" t="str">
            <v>Scope 3WTT- pass vehs &amp; travel- landWTT- cars (by market segment)Dual purpose 4X4Plug-in Hybrid Electric Vehiclekm</v>
          </cell>
          <cell r="K1241" t="str">
            <v>Dual purpose 4X4 km</v>
          </cell>
          <cell r="L1241">
            <v>2.9320000000000002E-2</v>
          </cell>
        </row>
        <row r="1242">
          <cell r="J1242" t="str">
            <v>Scope 3WTT- pass vehs &amp; travel- landWTT- cars (by market segment)Dual purpose 4X4Plug-in Hybrid Electric Vehiclemiles</v>
          </cell>
          <cell r="K1242" t="str">
            <v>Dual purpose 4X4 miles</v>
          </cell>
          <cell r="L1242">
            <v>4.7190000000000003E-2</v>
          </cell>
        </row>
        <row r="1243">
          <cell r="J1243" t="str">
            <v>Scope 3WTT- pass vehs &amp; travel- landWTT- cars (by market segment)Dual purpose 4X4Battery Electric Vehiclekm</v>
          </cell>
          <cell r="K1243" t="str">
            <v>Dual purpose 4X4 km</v>
          </cell>
          <cell r="L1243">
            <v>1.7750000000000002E-2</v>
          </cell>
        </row>
        <row r="1244">
          <cell r="J1244" t="str">
            <v>Scope 3WTT- pass vehs &amp; travel- landWTT- cars (by market segment)Dual purpose 4X4Battery Electric Vehiclemiles</v>
          </cell>
          <cell r="K1244" t="str">
            <v>Dual purpose 4X4 miles</v>
          </cell>
          <cell r="L1244">
            <v>2.8569999999999998E-2</v>
          </cell>
        </row>
        <row r="1245">
          <cell r="J1245" t="str">
            <v>Scope 3WTT- pass vehs &amp; travel- landWTT- cars (by market segment)MPVDieselkm</v>
          </cell>
          <cell r="K1245" t="str">
            <v>MPV km</v>
          </cell>
          <cell r="L1245">
            <v>4.2659999999999997E-2</v>
          </cell>
        </row>
        <row r="1246">
          <cell r="J1246" t="str">
            <v>Scope 3WTT- pass vehs &amp; travel- landWTT- cars (by market segment)MPVDieselmiles</v>
          </cell>
          <cell r="K1246" t="str">
            <v>MPV miles</v>
          </cell>
          <cell r="L1246">
            <v>6.8659999999999999E-2</v>
          </cell>
        </row>
        <row r="1247">
          <cell r="J1247" t="str">
            <v>Scope 3WTT- pass vehs &amp; travel- landWTT- cars (by market segment)MPVPetrolkm</v>
          </cell>
          <cell r="K1247" t="str">
            <v>MPV km</v>
          </cell>
          <cell r="L1247">
            <v>5.4620000000000002E-2</v>
          </cell>
        </row>
        <row r="1248">
          <cell r="J1248" t="str">
            <v>Scope 3WTT- pass vehs &amp; travel- landWTT- cars (by market segment)MPVPetrolmiles</v>
          </cell>
          <cell r="K1248" t="str">
            <v>MPV miles</v>
          </cell>
          <cell r="L1248">
            <v>8.7900000000000006E-2</v>
          </cell>
        </row>
        <row r="1249">
          <cell r="J1249" t="str">
            <v>Scope 3WTT- pass vehs &amp; travel- landWTT- cars (by market segment)MPVUnknownkm</v>
          </cell>
          <cell r="K1249" t="str">
            <v>MPV km</v>
          </cell>
          <cell r="L1249">
            <v>4.5850000000000002E-2</v>
          </cell>
        </row>
        <row r="1250">
          <cell r="J1250" t="str">
            <v>Scope 3WTT- pass vehs &amp; travel- landWTT- cars (by market segment)MPVUnknownmiles</v>
          </cell>
          <cell r="K1250" t="str">
            <v>MPV miles</v>
          </cell>
          <cell r="L1250">
            <v>7.3789999999999994E-2</v>
          </cell>
        </row>
        <row r="1251">
          <cell r="J1251" t="str">
            <v>Scope 3WTT- pass vehs &amp; travel- landWTT- cars (by market segment)MPVPlug-in Hybrid Electric Vehiclekm</v>
          </cell>
          <cell r="K1251" t="str">
            <v>MPV km</v>
          </cell>
          <cell r="L1251" t="str">
            <v/>
          </cell>
        </row>
        <row r="1252">
          <cell r="J1252" t="str">
            <v>Scope 3WTT- pass vehs &amp; travel- landWTT- cars (by market segment)MPVPlug-in Hybrid Electric Vehiclemiles</v>
          </cell>
          <cell r="K1252" t="str">
            <v>MPV miles</v>
          </cell>
          <cell r="L1252" t="str">
            <v/>
          </cell>
        </row>
        <row r="1253">
          <cell r="J1253" t="str">
            <v>Scope 3WTT- pass vehs &amp; travel- landWTT- cars (by market segment)MPVBattery Electric Vehiclekm</v>
          </cell>
          <cell r="K1253" t="str">
            <v>MPV km</v>
          </cell>
          <cell r="L1253">
            <v>1.7989999999999999E-2</v>
          </cell>
        </row>
        <row r="1254">
          <cell r="J1254" t="str">
            <v>Scope 3WTT- pass vehs &amp; travel- landWTT- cars (by market segment)MPVBattery Electric Vehiclemiles</v>
          </cell>
          <cell r="K1254" t="str">
            <v>MPV miles</v>
          </cell>
          <cell r="L1254">
            <v>2.895E-2</v>
          </cell>
        </row>
        <row r="1255">
          <cell r="J1255" t="str">
            <v>Scope 3WTT- pass vehs &amp; travel- landWTT- cars (by size)Small carDieselkm</v>
          </cell>
          <cell r="K1255" t="str">
            <v>Small car km</v>
          </cell>
          <cell r="L1255">
            <v>3.3439999999999998E-2</v>
          </cell>
        </row>
        <row r="1256">
          <cell r="J1256" t="str">
            <v>Scope 3WTT- pass vehs &amp; travel- landWTT- cars (by size)Small carDieselmiles</v>
          </cell>
          <cell r="K1256" t="str">
            <v>Small car miles</v>
          </cell>
          <cell r="L1256">
            <v>5.3809999999999997E-2</v>
          </cell>
        </row>
        <row r="1257">
          <cell r="J1257" t="str">
            <v>Scope 3WTT- pass vehs &amp; travel- landWTT- cars (by size)Small carPetrolkm</v>
          </cell>
          <cell r="K1257" t="str">
            <v>Small car km</v>
          </cell>
          <cell r="L1257">
            <v>4.1860000000000001E-2</v>
          </cell>
        </row>
        <row r="1258">
          <cell r="J1258" t="str">
            <v>Scope 3WTT- pass vehs &amp; travel- landWTT- cars (by size)Small carPetrolmiles</v>
          </cell>
          <cell r="K1258" t="str">
            <v>Small car miles</v>
          </cell>
          <cell r="L1258">
            <v>6.7369999999999999E-2</v>
          </cell>
        </row>
        <row r="1259">
          <cell r="J1259" t="str">
            <v>Scope 3WTT- pass vehs &amp; travel- landWTT- cars (by size)Small carHybridkm</v>
          </cell>
          <cell r="K1259" t="str">
            <v>Small car km</v>
          </cell>
          <cell r="L1259">
            <v>2.8080000000000001E-2</v>
          </cell>
        </row>
        <row r="1260">
          <cell r="J1260" t="str">
            <v>Scope 3WTT- pass vehs &amp; travel- landWTT- cars (by size)Small carHybridmiles</v>
          </cell>
          <cell r="K1260" t="str">
            <v>Small car miles</v>
          </cell>
          <cell r="L1260">
            <v>4.5190000000000001E-2</v>
          </cell>
        </row>
        <row r="1261">
          <cell r="J1261" t="str">
            <v>Scope 3WTT- pass vehs &amp; travel- landWTT- cars (by size)Small carCNGkm</v>
          </cell>
          <cell r="K1261" t="str">
            <v>Small car km</v>
          </cell>
        </row>
        <row r="1262">
          <cell r="J1262" t="str">
            <v>Scope 3WTT- pass vehs &amp; travel- landWTT- cars (by size)Small carCNGmiles</v>
          </cell>
          <cell r="K1262" t="str">
            <v>Small car miles</v>
          </cell>
        </row>
        <row r="1263">
          <cell r="J1263" t="str">
            <v>Scope 3WTT- pass vehs &amp; travel- landWTT- cars (by size)Small carLPGkm</v>
          </cell>
          <cell r="K1263" t="str">
            <v>Small car km</v>
          </cell>
        </row>
        <row r="1264">
          <cell r="J1264" t="str">
            <v>Scope 3WTT- pass vehs &amp; travel- landWTT- cars (by size)Small carLPGmiles</v>
          </cell>
          <cell r="K1264" t="str">
            <v>Small car miles</v>
          </cell>
        </row>
        <row r="1265">
          <cell r="J1265" t="str">
            <v>Scope 3WTT- pass vehs &amp; travel- landWTT- cars (by size)Small carUnknownkm</v>
          </cell>
          <cell r="K1265" t="str">
            <v>Small car km</v>
          </cell>
          <cell r="L1265">
            <v>3.9039999999999998E-2</v>
          </cell>
        </row>
        <row r="1266">
          <cell r="J1266" t="str">
            <v>Scope 3WTT- pass vehs &amp; travel- landWTT- cars (by size)Small carUnknownmiles</v>
          </cell>
          <cell r="K1266" t="str">
            <v>Small car miles</v>
          </cell>
          <cell r="L1266">
            <v>6.2829999999999997E-2</v>
          </cell>
        </row>
        <row r="1267">
          <cell r="J1267" t="str">
            <v>Scope 3WTT- pass vehs &amp; travel- landWTT- cars (by size)Small carPlug-in Hybrid Electric Vehiclekm</v>
          </cell>
          <cell r="K1267" t="str">
            <v>Small car km</v>
          </cell>
          <cell r="L1267">
            <v>1.4930000000000001E-2</v>
          </cell>
        </row>
        <row r="1268">
          <cell r="J1268" t="str">
            <v>Scope 3WTT- pass vehs &amp; travel- landWTT- cars (by size)Small carPlug-in Hybrid Electric Vehiclemiles</v>
          </cell>
          <cell r="K1268" t="str">
            <v>Small car miles</v>
          </cell>
          <cell r="L1268">
            <v>2.4029999999999999E-2</v>
          </cell>
        </row>
        <row r="1269">
          <cell r="J1269" t="str">
            <v>Scope 3WTT- pass vehs &amp; travel- landWTT- cars (by size)Small carBattery Electric Vehiclekm</v>
          </cell>
          <cell r="K1269" t="str">
            <v>Small car km</v>
          </cell>
          <cell r="L1269">
            <v>1.189E-2</v>
          </cell>
        </row>
        <row r="1270">
          <cell r="J1270" t="str">
            <v>Scope 3WTT- pass vehs &amp; travel- landWTT- cars (by size)Small carBattery Electric Vehiclemiles</v>
          </cell>
          <cell r="K1270" t="str">
            <v>Small car miles</v>
          </cell>
          <cell r="L1270">
            <v>1.9140000000000001E-2</v>
          </cell>
        </row>
        <row r="1271">
          <cell r="J1271" t="str">
            <v>Scope 3WTT- pass vehs &amp; travel- landWTT- cars (by size)Medium carDieselkm</v>
          </cell>
          <cell r="K1271" t="str">
            <v>Medium car km</v>
          </cell>
          <cell r="L1271">
            <v>4.018E-2</v>
          </cell>
        </row>
        <row r="1272">
          <cell r="J1272" t="str">
            <v>Scope 3WTT- pass vehs &amp; travel- landWTT- cars (by size)Medium carDieselmiles</v>
          </cell>
          <cell r="K1272" t="str">
            <v>Medium car miles</v>
          </cell>
          <cell r="L1272">
            <v>6.4670000000000005E-2</v>
          </cell>
        </row>
        <row r="1273">
          <cell r="J1273" t="str">
            <v>Scope 3WTT- pass vehs &amp; travel- landWTT- cars (by size)Medium carPetrolkm</v>
          </cell>
          <cell r="K1273" t="str">
            <v>Medium car km</v>
          </cell>
          <cell r="L1273">
            <v>5.2659999999999998E-2</v>
          </cell>
        </row>
        <row r="1274">
          <cell r="J1274" t="str">
            <v>Scope 3WTT- pass vehs &amp; travel- landWTT- cars (by size)Medium carPetrolmiles</v>
          </cell>
          <cell r="K1274" t="str">
            <v>Medium car miles</v>
          </cell>
          <cell r="L1274">
            <v>8.4750000000000006E-2</v>
          </cell>
        </row>
        <row r="1275">
          <cell r="J1275" t="str">
            <v>Scope 3WTT- pass vehs &amp; travel- landWTT- cars (by size)Medium carHybridkm</v>
          </cell>
          <cell r="K1275" t="str">
            <v>Medium car km</v>
          </cell>
          <cell r="L1275">
            <v>2.8570000000000002E-2</v>
          </cell>
        </row>
        <row r="1276">
          <cell r="J1276" t="str">
            <v>Scope 3WTT- pass vehs &amp; travel- landWTT- cars (by size)Medium carHybridmiles</v>
          </cell>
          <cell r="K1276" t="str">
            <v>Medium car miles</v>
          </cell>
          <cell r="L1276">
            <v>4.5969999999999997E-2</v>
          </cell>
        </row>
        <row r="1277">
          <cell r="J1277" t="str">
            <v>Scope 3WTT- pass vehs &amp; travel- landWTT- cars (by size)Medium carCNGkm</v>
          </cell>
          <cell r="K1277" t="str">
            <v>Medium car km</v>
          </cell>
          <cell r="L1277">
            <v>3.3700000000000001E-2</v>
          </cell>
        </row>
        <row r="1278">
          <cell r="J1278" t="str">
            <v>Scope 3WTT- pass vehs &amp; travel- landWTT- cars (by size)Medium carCNGmiles</v>
          </cell>
          <cell r="K1278" t="str">
            <v>Medium car miles</v>
          </cell>
          <cell r="L1278">
            <v>5.423E-2</v>
          </cell>
        </row>
        <row r="1279">
          <cell r="J1279" t="str">
            <v>Scope 3WTT- pass vehs &amp; travel- landWTT- cars (by size)Medium carLPGkm</v>
          </cell>
          <cell r="K1279" t="str">
            <v>Medium car km</v>
          </cell>
          <cell r="L1279">
            <v>2.1139999999999999E-2</v>
          </cell>
        </row>
        <row r="1280">
          <cell r="J1280" t="str">
            <v>Scope 3WTT- pass vehs &amp; travel- landWTT- cars (by size)Medium carLPGmiles</v>
          </cell>
          <cell r="K1280" t="str">
            <v>Medium car miles</v>
          </cell>
          <cell r="L1280">
            <v>3.4020000000000002E-2</v>
          </cell>
        </row>
        <row r="1281">
          <cell r="J1281" t="str">
            <v>Scope 3WTT- pass vehs &amp; travel- landWTT- cars (by size)Medium carUnknownkm</v>
          </cell>
          <cell r="K1281" t="str">
            <v>Medium car km</v>
          </cell>
          <cell r="L1281">
            <v>4.5990000000000003E-2</v>
          </cell>
        </row>
        <row r="1282">
          <cell r="J1282" t="str">
            <v>Scope 3WTT- pass vehs &amp; travel- landWTT- cars (by size)Medium carUnknownmiles</v>
          </cell>
          <cell r="K1282" t="str">
            <v>Medium car miles</v>
          </cell>
          <cell r="L1282">
            <v>7.4020000000000002E-2</v>
          </cell>
        </row>
        <row r="1283">
          <cell r="J1283" t="str">
            <v>Scope 3WTT- pass vehs &amp; travel- landWTT- cars (by size)Medium carPlug-in Hybrid Electric Vehiclekm</v>
          </cell>
          <cell r="K1283" t="str">
            <v>Medium car km</v>
          </cell>
          <cell r="L1283">
            <v>2.4979999999999999E-2</v>
          </cell>
        </row>
        <row r="1284">
          <cell r="J1284" t="str">
            <v>Scope 3WTT- pass vehs &amp; travel- landWTT- cars (by size)Medium carPlug-in Hybrid Electric Vehiclemiles</v>
          </cell>
          <cell r="K1284" t="str">
            <v>Medium car miles</v>
          </cell>
          <cell r="L1284">
            <v>4.0210000000000003E-2</v>
          </cell>
        </row>
        <row r="1285">
          <cell r="J1285" t="str">
            <v>Scope 3WTT- pass vehs &amp; travel- landWTT- cars (by size)Medium carBattery Electric Vehiclekm</v>
          </cell>
          <cell r="K1285" t="str">
            <v>Medium car km</v>
          </cell>
          <cell r="L1285">
            <v>1.3679999999999999E-2</v>
          </cell>
        </row>
        <row r="1286">
          <cell r="J1286" t="str">
            <v>Scope 3WTT- pass vehs &amp; travel- landWTT- cars (by size)Medium carBattery Electric Vehiclemiles</v>
          </cell>
          <cell r="K1286" t="str">
            <v>Medium car miles</v>
          </cell>
          <cell r="L1286">
            <v>2.2020000000000001E-2</v>
          </cell>
        </row>
        <row r="1287">
          <cell r="J1287" t="str">
            <v>Scope 3WTT- pass vehs &amp; travel- landWTT- cars (by size)Large carDieselkm</v>
          </cell>
          <cell r="K1287" t="str">
            <v>Large car km</v>
          </cell>
          <cell r="L1287">
            <v>5.0590000000000003E-2</v>
          </cell>
        </row>
        <row r="1288">
          <cell r="J1288" t="str">
            <v>Scope 3WTT- pass vehs &amp; travel- landWTT- cars (by size)Large carDieselmiles</v>
          </cell>
          <cell r="K1288" t="str">
            <v>Large car miles</v>
          </cell>
          <cell r="L1288">
            <v>8.1420000000000006E-2</v>
          </cell>
        </row>
        <row r="1289">
          <cell r="J1289" t="str">
            <v>Scope 3WTT- pass vehs &amp; travel- landWTT- cars (by size)Large carPetrolkm</v>
          </cell>
          <cell r="K1289" t="str">
            <v>Large car km</v>
          </cell>
          <cell r="L1289">
            <v>7.8329999999999997E-2</v>
          </cell>
        </row>
        <row r="1290">
          <cell r="J1290" t="str">
            <v>Scope 3WTT- pass vehs &amp; travel- landWTT- cars (by size)Large carPetrolmiles</v>
          </cell>
          <cell r="K1290" t="str">
            <v>Large car miles</v>
          </cell>
          <cell r="L1290">
            <v>0.12606000000000001</v>
          </cell>
        </row>
        <row r="1291">
          <cell r="J1291" t="str">
            <v>Scope 3WTT- pass vehs &amp; travel- landWTT- cars (by size)Large carHybridkm</v>
          </cell>
          <cell r="K1291" t="str">
            <v>Large car km</v>
          </cell>
          <cell r="L1291">
            <v>3.8640000000000001E-2</v>
          </cell>
        </row>
        <row r="1292">
          <cell r="J1292" t="str">
            <v>Scope 3WTT- pass vehs &amp; travel- landWTT- cars (by size)Large carHybridmiles</v>
          </cell>
          <cell r="K1292" t="str">
            <v>Large car miles</v>
          </cell>
          <cell r="L1292">
            <v>6.2190000000000002E-2</v>
          </cell>
        </row>
        <row r="1293">
          <cell r="J1293" t="str">
            <v>Scope 3WTT- pass vehs &amp; travel- landWTT- cars (by size)Large carCNGkm</v>
          </cell>
          <cell r="K1293" t="str">
            <v>Large car km</v>
          </cell>
          <cell r="L1293">
            <v>5.0130000000000001E-2</v>
          </cell>
        </row>
        <row r="1294">
          <cell r="J1294" t="str">
            <v>Scope 3WTT- pass vehs &amp; travel- landWTT- cars (by size)Large carCNGmiles</v>
          </cell>
          <cell r="K1294" t="str">
            <v>Large car miles</v>
          </cell>
          <cell r="L1294">
            <v>8.0670000000000006E-2</v>
          </cell>
        </row>
        <row r="1295">
          <cell r="J1295" t="str">
            <v>Scope 3WTT- pass vehs &amp; travel- landWTT- cars (by size)Large carLPGkm</v>
          </cell>
          <cell r="K1295" t="str">
            <v>Large car km</v>
          </cell>
          <cell r="L1295">
            <v>3.1440000000000003E-2</v>
          </cell>
        </row>
        <row r="1296">
          <cell r="J1296" t="str">
            <v>Scope 3WTT- pass vehs &amp; travel- landWTT- cars (by size)Large carLPGmiles</v>
          </cell>
          <cell r="K1296" t="str">
            <v>Large car miles</v>
          </cell>
          <cell r="L1296">
            <v>5.0599999999999999E-2</v>
          </cell>
        </row>
        <row r="1297">
          <cell r="J1297" t="str">
            <v>Scope 3WTT- pass vehs &amp; travel- landWTT- cars (by size)Large carUnknownkm</v>
          </cell>
          <cell r="K1297" t="str">
            <v>Large car km</v>
          </cell>
          <cell r="L1297">
            <v>5.7829999999999999E-2</v>
          </cell>
        </row>
        <row r="1298">
          <cell r="J1298" t="str">
            <v>Scope 3WTT- pass vehs &amp; travel- landWTT- cars (by size)Large carUnknownmiles</v>
          </cell>
          <cell r="K1298" t="str">
            <v>Large car miles</v>
          </cell>
          <cell r="L1298">
            <v>9.307E-2</v>
          </cell>
        </row>
        <row r="1299">
          <cell r="J1299" t="str">
            <v>Scope 3WTT- pass vehs &amp; travel- landWTT- cars (by size)Large carPlug-in Hybrid Electric Vehiclekm</v>
          </cell>
          <cell r="K1299" t="str">
            <v>Large car km</v>
          </cell>
          <cell r="L1299">
            <v>2.8750000000000001E-2</v>
          </cell>
        </row>
        <row r="1300">
          <cell r="J1300" t="str">
            <v>Scope 3WTT- pass vehs &amp; travel- landWTT- cars (by size)Large carPlug-in Hybrid Electric Vehiclemiles</v>
          </cell>
          <cell r="K1300" t="str">
            <v>Large car miles</v>
          </cell>
          <cell r="L1300">
            <v>4.6269999999999999E-2</v>
          </cell>
        </row>
        <row r="1301">
          <cell r="J1301" t="str">
            <v>Scope 3WTT- pass vehs &amp; travel- landWTT- cars (by size)Large carBattery Electric Vehiclekm</v>
          </cell>
          <cell r="K1301" t="str">
            <v>Large car km</v>
          </cell>
          <cell r="L1301">
            <v>1.5800000000000002E-2</v>
          </cell>
        </row>
        <row r="1302">
          <cell r="J1302" t="str">
            <v>Scope 3WTT- pass vehs &amp; travel- landWTT- cars (by size)Large carBattery Electric Vehiclemiles</v>
          </cell>
          <cell r="K1302" t="str">
            <v>Large car miles</v>
          </cell>
          <cell r="L1302">
            <v>2.5420000000000002E-2</v>
          </cell>
        </row>
        <row r="1303">
          <cell r="J1303" t="str">
            <v>Scope 3WTT- pass vehs &amp; travel- landWTT- cars (by size)Average carDieselkm</v>
          </cell>
          <cell r="K1303" t="str">
            <v>Average car km</v>
          </cell>
          <cell r="L1303">
            <v>4.104E-2</v>
          </cell>
        </row>
        <row r="1304">
          <cell r="J1304" t="str">
            <v>Scope 3WTT- pass vehs &amp; travel- landWTT- cars (by size)Average carDieselmiles</v>
          </cell>
          <cell r="K1304" t="str">
            <v>Average car miles</v>
          </cell>
          <cell r="L1304">
            <v>6.6040000000000001E-2</v>
          </cell>
        </row>
        <row r="1305">
          <cell r="J1305" t="str">
            <v>Scope 3WTT- pass vehs &amp; travel- landWTT- cars (by size)Average carPetrolkm</v>
          </cell>
          <cell r="K1305" t="str">
            <v>Average car km</v>
          </cell>
          <cell r="L1305">
            <v>4.8849999999999998E-2</v>
          </cell>
        </row>
        <row r="1306">
          <cell r="J1306" t="str">
            <v>Scope 3WTT- pass vehs &amp; travel- landWTT- cars (by size)Average carPetrolmiles</v>
          </cell>
          <cell r="K1306" t="str">
            <v>Average car miles</v>
          </cell>
          <cell r="L1306">
            <v>7.8619999999999995E-2</v>
          </cell>
        </row>
        <row r="1307">
          <cell r="J1307" t="str">
            <v>Scope 3WTT- pass vehs &amp; travel- landWTT- cars (by size)Average carHybridkm</v>
          </cell>
          <cell r="K1307" t="str">
            <v>Average car km</v>
          </cell>
          <cell r="L1307">
            <v>3.1320000000000001E-2</v>
          </cell>
        </row>
        <row r="1308">
          <cell r="J1308" t="str">
            <v>Scope 3WTT- pass vehs &amp; travel- landWTT- cars (by size)Average carHybridmiles</v>
          </cell>
          <cell r="K1308" t="str">
            <v>Average car miles</v>
          </cell>
          <cell r="L1308">
            <v>5.04E-2</v>
          </cell>
        </row>
        <row r="1309">
          <cell r="J1309" t="str">
            <v>Scope 3WTT- pass vehs &amp; travel- landWTT- cars (by size)Average carCNGkm</v>
          </cell>
          <cell r="K1309" t="str">
            <v>Average car km</v>
          </cell>
          <cell r="L1309">
            <v>3.7280000000000001E-2</v>
          </cell>
        </row>
        <row r="1310">
          <cell r="J1310" t="str">
            <v>Scope 3WTT- pass vehs &amp; travel- landWTT- cars (by size)Average carCNGmiles</v>
          </cell>
          <cell r="K1310" t="str">
            <v>Average car miles</v>
          </cell>
          <cell r="L1310">
            <v>0.06</v>
          </cell>
        </row>
        <row r="1311">
          <cell r="J1311" t="str">
            <v>Scope 3WTT- pass vehs &amp; travel- landWTT- cars (by size)Average carLPGkm</v>
          </cell>
          <cell r="K1311" t="str">
            <v>Average car km</v>
          </cell>
          <cell r="L1311">
            <v>2.3390000000000001E-2</v>
          </cell>
        </row>
        <row r="1312">
          <cell r="J1312" t="str">
            <v>Scope 3WTT- pass vehs &amp; travel- landWTT- cars (by size)Average carLPGmiles</v>
          </cell>
          <cell r="K1312" t="str">
            <v>Average car miles</v>
          </cell>
          <cell r="L1312">
            <v>3.764E-2</v>
          </cell>
        </row>
        <row r="1313">
          <cell r="J1313" t="str">
            <v>Scope 3WTT- pass vehs &amp; travel- landWTT- cars (by size)Average carUnknownkm</v>
          </cell>
          <cell r="K1313" t="str">
            <v>Average car km</v>
          </cell>
          <cell r="L1313">
            <v>4.5080000000000002E-2</v>
          </cell>
        </row>
        <row r="1314">
          <cell r="J1314" t="str">
            <v>Scope 3WTT- pass vehs &amp; travel- landWTT- cars (by size)Average carUnknownmiles</v>
          </cell>
          <cell r="K1314" t="str">
            <v>Average car miles</v>
          </cell>
          <cell r="L1314">
            <v>7.2550000000000003E-2</v>
          </cell>
        </row>
        <row r="1315">
          <cell r="J1315" t="str">
            <v>Scope 3WTT- pass vehs &amp; travel- landWTT- cars (by size)Average carPlug-in Hybrid Electric Vehiclekm</v>
          </cell>
          <cell r="K1315" t="str">
            <v>Average car km</v>
          </cell>
          <cell r="L1315">
            <v>2.657E-2</v>
          </cell>
        </row>
        <row r="1316">
          <cell r="J1316" t="str">
            <v>Scope 3WTT- pass vehs &amp; travel- landWTT- cars (by size)Average carPlug-in Hybrid Electric Vehiclemiles</v>
          </cell>
          <cell r="K1316" t="str">
            <v>Average car miles</v>
          </cell>
          <cell r="L1316">
            <v>4.2759999999999999E-2</v>
          </cell>
        </row>
        <row r="1317">
          <cell r="J1317" t="str">
            <v>Scope 3WTT- pass vehs &amp; travel- landWTT- cars (by size)Average carBattery Electric Vehiclekm</v>
          </cell>
          <cell r="K1317" t="str">
            <v>Average car km</v>
          </cell>
          <cell r="L1317">
            <v>1.426E-2</v>
          </cell>
        </row>
        <row r="1318">
          <cell r="J1318" t="str">
            <v>Scope 3WTT- pass vehs &amp; travel- landWTT- cars (by size)Average carBattery Electric Vehiclemiles</v>
          </cell>
          <cell r="K1318" t="str">
            <v>Average car miles</v>
          </cell>
          <cell r="L1318">
            <v>2.2950000000000002E-2</v>
          </cell>
        </row>
        <row r="1319">
          <cell r="J1319" t="str">
            <v>Scope 3WTT- pass vehs &amp; travel- landWTT- motorbikeSmallkm</v>
          </cell>
          <cell r="K1319" t="str">
            <v>Small km</v>
          </cell>
          <cell r="L1319">
            <v>2.2769999999999999E-2</v>
          </cell>
        </row>
        <row r="1320">
          <cell r="J1320" t="str">
            <v>Scope 3WTT- pass vehs &amp; travel- landWTT- motorbikeSmallmiles</v>
          </cell>
          <cell r="K1320" t="str">
            <v>Small miles</v>
          </cell>
          <cell r="L1320">
            <v>3.6650000000000002E-2</v>
          </cell>
        </row>
        <row r="1321">
          <cell r="J1321" t="str">
            <v>Scope 3WTT- pass vehs &amp; travel- landWTT- motorbikeMediumkm</v>
          </cell>
          <cell r="K1321" t="str">
            <v>Medium km</v>
          </cell>
          <cell r="L1321">
            <v>2.7650000000000001E-2</v>
          </cell>
        </row>
        <row r="1322">
          <cell r="J1322" t="str">
            <v>Scope 3WTT- pass vehs &amp; travel- landWTT- motorbikeMediummiles</v>
          </cell>
          <cell r="K1322" t="str">
            <v>Medium miles</v>
          </cell>
          <cell r="L1322">
            <v>4.4490000000000002E-2</v>
          </cell>
        </row>
        <row r="1323">
          <cell r="J1323" t="str">
            <v>Scope 3WTT- pass vehs &amp; travel- landWTT- motorbikeLargekm</v>
          </cell>
          <cell r="K1323" t="str">
            <v>Large km</v>
          </cell>
          <cell r="L1323">
            <v>3.678E-2</v>
          </cell>
        </row>
        <row r="1324">
          <cell r="J1324" t="str">
            <v>Scope 3WTT- pass vehs &amp; travel- landWTT- motorbikeLargemiles</v>
          </cell>
          <cell r="K1324" t="str">
            <v>Large miles</v>
          </cell>
          <cell r="L1324">
            <v>5.919E-2</v>
          </cell>
        </row>
        <row r="1325">
          <cell r="J1325" t="str">
            <v>Scope 3WTT- pass vehs &amp; travel- landWTT- motorbikeAveragekm</v>
          </cell>
          <cell r="K1325" t="str">
            <v>Average km</v>
          </cell>
          <cell r="L1325">
            <v>3.134E-2</v>
          </cell>
        </row>
        <row r="1326">
          <cell r="J1326" t="str">
            <v>Scope 3WTT- pass vehs &amp; travel- landWTT- motorbikeAveragemiles</v>
          </cell>
          <cell r="K1326" t="str">
            <v>Average miles</v>
          </cell>
          <cell r="L1326">
            <v>5.0430000000000003E-2</v>
          </cell>
        </row>
        <row r="1327">
          <cell r="J1327" t="str">
            <v>Scope 3WTT- pass vehs &amp; travel- landWTT- taxisRegular taxikm</v>
          </cell>
          <cell r="K1327" t="str">
            <v>Regular taxi km</v>
          </cell>
          <cell r="L1327">
            <v>5.0849999999999999E-2</v>
          </cell>
        </row>
        <row r="1328">
          <cell r="J1328" t="str">
            <v>Scope 3WTT- pass vehs &amp; travel- landWTT- taxisRegular taxipassenger.km</v>
          </cell>
          <cell r="K1328" t="str">
            <v>Regular taxi passenger.km</v>
          </cell>
          <cell r="L1328">
            <v>3.6319999999999998E-2</v>
          </cell>
        </row>
        <row r="1329">
          <cell r="J1329" t="str">
            <v>Scope 3WTT- pass vehs &amp; travel- landWTT- taxisBlack cabkm</v>
          </cell>
          <cell r="K1329" t="str">
            <v>Black cab km</v>
          </cell>
          <cell r="L1329">
            <v>7.4999999999999997E-2</v>
          </cell>
        </row>
        <row r="1330">
          <cell r="J1330" t="str">
            <v>Scope 3WTT- pass vehs &amp; travel- landWTT- taxisBlack cabpassenger.km</v>
          </cell>
          <cell r="K1330" t="str">
            <v>Black cab passenger.km</v>
          </cell>
          <cell r="L1330">
            <v>0.05</v>
          </cell>
        </row>
        <row r="1331">
          <cell r="J1331" t="str">
            <v>Scope 3WTT- pass vehs &amp; travel- landWTT- busLocal bus (not London)passenger.km</v>
          </cell>
          <cell r="K1331" t="str">
            <v>Local bus (not London) passenger.km</v>
          </cell>
          <cell r="L1331">
            <v>2.8680000000000001E-2</v>
          </cell>
        </row>
        <row r="1332">
          <cell r="J1332" t="str">
            <v>Scope 3WTT- pass vehs &amp; travel- landWTT- busLocal London buspassenger.km</v>
          </cell>
          <cell r="K1332" t="str">
            <v>Local London bus passenger.km</v>
          </cell>
          <cell r="L1332">
            <v>1.8849999999999999E-2</v>
          </cell>
        </row>
        <row r="1333">
          <cell r="J1333" t="str">
            <v>Scope 3WTT- pass vehs &amp; travel- landWTT- busAverage local buspassenger.km</v>
          </cell>
          <cell r="K1333" t="str">
            <v>Average local bus passenger.km</v>
          </cell>
          <cell r="L1333">
            <v>2.494E-2</v>
          </cell>
        </row>
        <row r="1334">
          <cell r="J1334" t="str">
            <v>Scope 3WTT- pass vehs &amp; travel- landWTT- busCoachpassenger.km</v>
          </cell>
          <cell r="K1334" t="str">
            <v>Coach passenger.km</v>
          </cell>
          <cell r="L1334">
            <v>6.4599999999999996E-3</v>
          </cell>
        </row>
        <row r="1335">
          <cell r="J1335" t="str">
            <v>Scope 3WTT- pass vehs &amp; travel- landWTT- railNational railpassenger.km</v>
          </cell>
          <cell r="K1335" t="str">
            <v>National rail passenger.km</v>
          </cell>
          <cell r="L1335">
            <v>7.3299999999999997E-3</v>
          </cell>
        </row>
        <row r="1336">
          <cell r="J1336" t="str">
            <v>Scope 3WTT- pass vehs &amp; travel- landWTT- railInternational railpassenger.km</v>
          </cell>
          <cell r="K1336" t="str">
            <v>International rail passenger.km</v>
          </cell>
          <cell r="L1336">
            <v>7.3999999999999999E-4</v>
          </cell>
        </row>
        <row r="1337">
          <cell r="J1337" t="str">
            <v>Scope 3WTT- pass vehs &amp; travel- landWTT- railLight rail and trampassenger.km</v>
          </cell>
          <cell r="K1337" t="str">
            <v>Light rail and tram passenger.km</v>
          </cell>
          <cell r="L1337">
            <v>4.6600000000000001E-3</v>
          </cell>
        </row>
        <row r="1338">
          <cell r="J1338" t="str">
            <v>Scope 3WTT- pass vehs &amp; travel- landWTT- railLondon Undergroundpassenger.km</v>
          </cell>
          <cell r="K1338" t="str">
            <v>London Underground passenger.km</v>
          </cell>
          <cell r="L1338">
            <v>4.6100000000000004E-3</v>
          </cell>
        </row>
        <row r="1339">
          <cell r="J1339" t="str">
            <v>Scope 3WTT- delivery vehs &amp; freightWTT- vansClass I (up to 1.305 tonnes)Dieselkm</v>
          </cell>
          <cell r="K1339" t="str">
            <v>Class I (up to 1.305 tonnes) km</v>
          </cell>
          <cell r="L1339">
            <v>3.5680000000000003E-2</v>
          </cell>
        </row>
        <row r="1340">
          <cell r="J1340" t="str">
            <v>Scope 3WTT- delivery vehs &amp; freightWTT- vansClass I (up to 1.305 tonnes)Dieselmiles</v>
          </cell>
          <cell r="K1340" t="str">
            <v>Class I (up to 1.305 tonnes) miles</v>
          </cell>
          <cell r="L1340">
            <v>5.7430000000000002E-2</v>
          </cell>
        </row>
        <row r="1341">
          <cell r="J1341" t="str">
            <v>Scope 3WTT- delivery vehs &amp; freightWTT- vansClass I (up to 1.305 tonnes)Dieseltonne.km</v>
          </cell>
          <cell r="K1341" t="str">
            <v>Class I (up to 1.305 tonnes) tonne.km</v>
          </cell>
          <cell r="L1341">
            <v>0.19822999999999999</v>
          </cell>
        </row>
        <row r="1342">
          <cell r="J1342" t="str">
            <v>Scope 3WTT- delivery vehs &amp; freightWTT- vansClass I (up to 1.305 tonnes)Petrolkm</v>
          </cell>
          <cell r="K1342" t="str">
            <v>Class I (up to 1.305 tonnes) km</v>
          </cell>
          <cell r="L1342">
            <v>5.6030000000000003E-2</v>
          </cell>
        </row>
        <row r="1343">
          <cell r="J1343" t="str">
            <v>Scope 3WTT- delivery vehs &amp; freightWTT- vansClass I (up to 1.305 tonnes)Petrolmiles</v>
          </cell>
          <cell r="K1343" t="str">
            <v>Class I (up to 1.305 tonnes) miles</v>
          </cell>
          <cell r="L1343">
            <v>9.0179999999999996E-2</v>
          </cell>
        </row>
        <row r="1344">
          <cell r="J1344" t="str">
            <v>Scope 3WTT- delivery vehs &amp; freightWTT- vansClass I (up to 1.305 tonnes)Petroltonne.km</v>
          </cell>
          <cell r="K1344" t="str">
            <v>Class I (up to 1.305 tonnes) tonne.km</v>
          </cell>
          <cell r="L1344">
            <v>0.30103000000000002</v>
          </cell>
        </row>
        <row r="1345">
          <cell r="J1345" t="str">
            <v>Scope 3WTT- delivery vehs &amp; freightWTT- vansClass I (up to 1.305 tonnes)CNGkm</v>
          </cell>
          <cell r="K1345" t="str">
            <v>Class I (up to 1.305 tonnes) km</v>
          </cell>
        </row>
        <row r="1346">
          <cell r="J1346" t="str">
            <v>Scope 3WTT- delivery vehs &amp; freightWTT- vansClass I (up to 1.305 tonnes)CNGmiles</v>
          </cell>
          <cell r="K1346" t="str">
            <v>Class I (up to 1.305 tonnes) miles</v>
          </cell>
        </row>
        <row r="1347">
          <cell r="J1347" t="str">
            <v>Scope 3WTT- delivery vehs &amp; freightWTT- vansClass I (up to 1.305 tonnes)CNGtonne.km</v>
          </cell>
          <cell r="K1347" t="str">
            <v>Class I (up to 1.305 tonnes) tonne.km</v>
          </cell>
        </row>
        <row r="1348">
          <cell r="J1348" t="str">
            <v>Scope 3WTT- delivery vehs &amp; freightWTT- vansClass I (up to 1.305 tonnes)LPGkm</v>
          </cell>
          <cell r="K1348" t="str">
            <v>Class I (up to 1.305 tonnes) km</v>
          </cell>
        </row>
        <row r="1349">
          <cell r="J1349" t="str">
            <v>Scope 3WTT- delivery vehs &amp; freightWTT- vansClass I (up to 1.305 tonnes)LPGmiles</v>
          </cell>
          <cell r="K1349" t="str">
            <v>Class I (up to 1.305 tonnes) miles</v>
          </cell>
        </row>
        <row r="1350">
          <cell r="J1350" t="str">
            <v>Scope 3WTT- delivery vehs &amp; freightWTT- vansClass I (up to 1.305 tonnes)LPGtonne.km</v>
          </cell>
          <cell r="K1350" t="str">
            <v>Class I (up to 1.305 tonnes) tonne.km</v>
          </cell>
        </row>
        <row r="1351">
          <cell r="J1351" t="str">
            <v>Scope 3WTT- delivery vehs &amp; freightWTT- vansClass I (up to 1.305 tonnes)Unknownkm</v>
          </cell>
          <cell r="K1351" t="str">
            <v>Class I (up to 1.305 tonnes) km</v>
          </cell>
        </row>
        <row r="1352">
          <cell r="J1352" t="str">
            <v>Scope 3WTT- delivery vehs &amp; freightWTT- vansClass I (up to 1.305 tonnes)Unknownmiles</v>
          </cell>
          <cell r="K1352" t="str">
            <v>Class I (up to 1.305 tonnes) miles</v>
          </cell>
        </row>
        <row r="1353">
          <cell r="J1353" t="str">
            <v>Scope 3WTT- delivery vehs &amp; freightWTT- vansClass I (up to 1.305 tonnes)Unknowntonne.km</v>
          </cell>
          <cell r="K1353" t="str">
            <v>Class I (up to 1.305 tonnes) tonne.km</v>
          </cell>
        </row>
        <row r="1354">
          <cell r="J1354" t="str">
            <v>Scope 3WTT- delivery vehs &amp; freightWTT- vansClass I (up to 1.305 tonnes)Plug-in Hybrid Electric Vehiclekm</v>
          </cell>
          <cell r="K1354" t="str">
            <v>Class I (up to 1.305 tonnes) km</v>
          </cell>
        </row>
        <row r="1355">
          <cell r="J1355" t="str">
            <v>Scope 3WTT- delivery vehs &amp; freightWTT- vansClass I (up to 1.305 tonnes)Plug-in Hybrid Electric Vehiclemiles</v>
          </cell>
          <cell r="K1355" t="str">
            <v>Class I (up to 1.305 tonnes) miles</v>
          </cell>
        </row>
        <row r="1356">
          <cell r="J1356" t="str">
            <v>Scope 3WTT- delivery vehs &amp; freightWTT- vansClass I (up to 1.305 tonnes)Plug-in Hybrid Electric Vehiclemiles</v>
          </cell>
          <cell r="K1356" t="str">
            <v>Class I (up to 1.305 tonnes) tonne.km</v>
          </cell>
        </row>
        <row r="1357">
          <cell r="J1357" t="str">
            <v>Scope 3WTT- delivery vehs &amp; freightWTT- vansClass I (up to 1.305 tonnes)Battery Electric Vehiclekm</v>
          </cell>
          <cell r="K1357" t="str">
            <v>Class I (up to 1.305 tonnes) km</v>
          </cell>
          <cell r="L1357">
            <v>1.03E-2</v>
          </cell>
        </row>
        <row r="1358">
          <cell r="J1358" t="str">
            <v>Scope 3WTT- delivery vehs &amp; freightWTT- vansClass I (up to 1.305 tonnes)Battery Electric Vehiclemiles</v>
          </cell>
          <cell r="K1358" t="str">
            <v>Class I (up to 1.305 tonnes) miles</v>
          </cell>
          <cell r="L1358">
            <v>1.6580000000000001E-2</v>
          </cell>
        </row>
        <row r="1359">
          <cell r="J1359" t="str">
            <v>Scope 3WTT- delivery vehs &amp; freightWTT- vansClass I (up to 1.305 tonnes)Battery Electric Vehiclemiles</v>
          </cell>
          <cell r="K1359" t="str">
            <v>Class I (up to 1.305 tonnes) tonne.km</v>
          </cell>
          <cell r="L1359">
            <v>4.8899999999999999E-2</v>
          </cell>
        </row>
        <row r="1360">
          <cell r="J1360" t="str">
            <v>Scope 3WTT- delivery vehs &amp; freightWTT- vansClass II (1.305 to 1.74 tonnes)Dieselkm</v>
          </cell>
          <cell r="K1360" t="str">
            <v>Class II (1.305 to 1.74 tonnes) km</v>
          </cell>
          <cell r="L1360">
            <v>4.4670000000000001E-2</v>
          </cell>
        </row>
        <row r="1361">
          <cell r="J1361" t="str">
            <v>Scope 3WTT- delivery vehs &amp; freightWTT- vansClass II (1.305 to 1.74 tonnes)Dieselmiles</v>
          </cell>
          <cell r="K1361" t="str">
            <v>Class II (1.305 to 1.74 tonnes) miles</v>
          </cell>
          <cell r="L1361">
            <v>7.1900000000000006E-2</v>
          </cell>
        </row>
        <row r="1362">
          <cell r="J1362" t="str">
            <v>Scope 3WTT- delivery vehs &amp; freightWTT- vansClass II (1.305 to 1.74 tonnes)Dieseltonne.km</v>
          </cell>
          <cell r="K1362" t="str">
            <v>Class II (1.305 to 1.74 tonnes) tonne.km</v>
          </cell>
          <cell r="L1362">
            <v>0.15346000000000001</v>
          </cell>
        </row>
        <row r="1363">
          <cell r="J1363" t="str">
            <v>Scope 3WTT- delivery vehs &amp; freightWTT- vansClass II (1.305 to 1.74 tonnes)Petrolkm</v>
          </cell>
          <cell r="K1363" t="str">
            <v>Class II (1.305 to 1.74 tonnes) km</v>
          </cell>
          <cell r="L1363">
            <v>5.5559999999999998E-2</v>
          </cell>
        </row>
        <row r="1364">
          <cell r="J1364" t="str">
            <v>Scope 3WTT- delivery vehs &amp; freightWTT- vansClass II (1.305 to 1.74 tonnes)Petrolmiles</v>
          </cell>
          <cell r="K1364" t="str">
            <v>Class II (1.305 to 1.74 tonnes) miles</v>
          </cell>
          <cell r="L1364">
            <v>8.9410000000000003E-2</v>
          </cell>
        </row>
        <row r="1365">
          <cell r="J1365" t="str">
            <v>Scope 3WTT- delivery vehs &amp; freightWTT- vansClass II (1.305 to 1.74 tonnes)Petroltonne.km</v>
          </cell>
          <cell r="K1365" t="str">
            <v>Class II (1.305 to 1.74 tonnes) tonne.km</v>
          </cell>
          <cell r="L1365">
            <v>0.20199</v>
          </cell>
        </row>
        <row r="1366">
          <cell r="J1366" t="str">
            <v>Scope 3WTT- delivery vehs &amp; freightWTT- vansClass II (1.305 to 1.74 tonnes)CNGkm</v>
          </cell>
          <cell r="K1366" t="str">
            <v>Class II (1.305 to 1.74 tonnes) km</v>
          </cell>
        </row>
        <row r="1367">
          <cell r="J1367" t="str">
            <v>Scope 3WTT- delivery vehs &amp; freightWTT- vansClass II (1.305 to 1.74 tonnes)CNGmiles</v>
          </cell>
          <cell r="K1367" t="str">
            <v>Class II (1.305 to 1.74 tonnes) miles</v>
          </cell>
        </row>
        <row r="1368">
          <cell r="J1368" t="str">
            <v>Scope 3WTT- delivery vehs &amp; freightWTT- vansClass II (1.305 to 1.74 tonnes)CNGtonne.km</v>
          </cell>
          <cell r="K1368" t="str">
            <v>Class II (1.305 to 1.74 tonnes) tonne.km</v>
          </cell>
        </row>
        <row r="1369">
          <cell r="J1369" t="str">
            <v>Scope 3WTT- delivery vehs &amp; freightWTT- vansClass II (1.305 to 1.74 tonnes)LPGkm</v>
          </cell>
          <cell r="K1369" t="str">
            <v>Class II (1.305 to 1.74 tonnes) km</v>
          </cell>
        </row>
        <row r="1370">
          <cell r="J1370" t="str">
            <v>Scope 3WTT- delivery vehs &amp; freightWTT- vansClass II (1.305 to 1.74 tonnes)LPGmiles</v>
          </cell>
          <cell r="K1370" t="str">
            <v>Class II (1.305 to 1.74 tonnes) miles</v>
          </cell>
        </row>
        <row r="1371">
          <cell r="J1371" t="str">
            <v>Scope 3WTT- delivery vehs &amp; freightWTT- vansClass II (1.305 to 1.74 tonnes)LPGtonne.km</v>
          </cell>
          <cell r="K1371" t="str">
            <v>Class II (1.305 to 1.74 tonnes) tonne.km</v>
          </cell>
        </row>
        <row r="1372">
          <cell r="J1372" t="str">
            <v>Scope 3WTT- delivery vehs &amp; freightWTT- vansClass II (1.305 to 1.74 tonnes)Unknownkm</v>
          </cell>
          <cell r="K1372" t="str">
            <v>Class II (1.305 to 1.74 tonnes) km</v>
          </cell>
        </row>
        <row r="1373">
          <cell r="J1373" t="str">
            <v>Scope 3WTT- delivery vehs &amp; freightWTT- vansClass II (1.305 to 1.74 tonnes)Unknownmiles</v>
          </cell>
          <cell r="K1373" t="str">
            <v>Class II (1.305 to 1.74 tonnes) miles</v>
          </cell>
        </row>
        <row r="1374">
          <cell r="J1374" t="str">
            <v>Scope 3WTT- delivery vehs &amp; freightWTT- vansClass II (1.305 to 1.74 tonnes)Unknowntonne.km</v>
          </cell>
          <cell r="K1374" t="str">
            <v>Class II (1.305 to 1.74 tonnes) tonne.km</v>
          </cell>
        </row>
        <row r="1375">
          <cell r="J1375" t="str">
            <v>Scope 3WTT- delivery vehs &amp; freightWTT- vansClass II (1.305 to 1.74 tonnes)Plug-in Hybrid Electric Vehiclekm</v>
          </cell>
          <cell r="K1375" t="str">
            <v>Class II (1.305 to 1.74 tonnes) km</v>
          </cell>
        </row>
        <row r="1376">
          <cell r="J1376" t="str">
            <v>Scope 3WTT- delivery vehs &amp; freightWTT- vansClass II (1.305 to 1.74 tonnes)Plug-in Hybrid Electric Vehiclemiles</v>
          </cell>
          <cell r="K1376" t="str">
            <v>Class II (1.305 to 1.74 tonnes) miles</v>
          </cell>
        </row>
        <row r="1377">
          <cell r="J1377" t="str">
            <v>Scope 3WTT- delivery vehs &amp; freightWTT- vansClass II (1.305 to 1.74 tonnes)Plug-in Hybrid Electric Vehiclemiles</v>
          </cell>
          <cell r="K1377" t="str">
            <v>Class II (1.305 to 1.74 tonnes) tonne.km</v>
          </cell>
        </row>
        <row r="1378">
          <cell r="J1378" t="str">
            <v>Scope 3WTT- delivery vehs &amp; freightWTT- vansClass II (1.305 to 1.74 tonnes)Battery Electric Vehiclekm</v>
          </cell>
          <cell r="K1378" t="str">
            <v>Class II (1.305 to 1.74 tonnes) km</v>
          </cell>
          <cell r="L1378">
            <v>1.422E-2</v>
          </cell>
        </row>
        <row r="1379">
          <cell r="J1379" t="str">
            <v>Scope 3WTT- delivery vehs &amp; freightWTT- vansClass II (1.305 to 1.74 tonnes)Battery Electric Vehiclemiles</v>
          </cell>
          <cell r="K1379" t="str">
            <v>Class II (1.305 to 1.74 tonnes) miles</v>
          </cell>
          <cell r="L1379">
            <v>2.2880000000000001E-2</v>
          </cell>
        </row>
        <row r="1380">
          <cell r="J1380" t="str">
            <v>Scope 3WTT- delivery vehs &amp; freightWTT- vansClass II (1.305 to 1.74 tonnes)Battery Electric Vehiclemiles</v>
          </cell>
          <cell r="K1380" t="str">
            <v>Class II (1.305 to 1.74 tonnes) tonne.km</v>
          </cell>
          <cell r="L1380">
            <v>6.4000000000000001E-2</v>
          </cell>
        </row>
        <row r="1381">
          <cell r="J1381" t="str">
            <v>Scope 3WTT- delivery vehs &amp; freightWTT- vansClass III (1.74 to 3.5 tonnes)Dieselkm</v>
          </cell>
          <cell r="K1381" t="str">
            <v>Class III (1.74 to 3.5 tonnes) km</v>
          </cell>
          <cell r="L1381">
            <v>6.4909999999999995E-2</v>
          </cell>
        </row>
        <row r="1382">
          <cell r="J1382" t="str">
            <v>Scope 3WTT- delivery vehs &amp; freightWTT- vansClass III (1.74 to 3.5 tonnes)Dieselmiles</v>
          </cell>
          <cell r="K1382" t="str">
            <v>Class III (1.74 to 3.5 tonnes) miles</v>
          </cell>
          <cell r="L1382">
            <v>0.10446</v>
          </cell>
        </row>
        <row r="1383">
          <cell r="J1383" t="str">
            <v>Scope 3WTT- delivery vehs &amp; freightWTT- vansClass III (1.74 to 3.5 tonnes)Dieseltonne.km</v>
          </cell>
          <cell r="K1383" t="str">
            <v>Class III (1.74 to 3.5 tonnes) tonne.km</v>
          </cell>
          <cell r="L1383">
            <v>0.14491999999999999</v>
          </cell>
        </row>
        <row r="1384">
          <cell r="J1384" t="str">
            <v>Scope 3WTT- delivery vehs &amp; freightWTT- vansClass III (1.74 to 3.5 tonnes)Petrolkm</v>
          </cell>
          <cell r="K1384" t="str">
            <v>Class III (1.74 to 3.5 tonnes) km</v>
          </cell>
          <cell r="L1384">
            <v>8.788E-2</v>
          </cell>
        </row>
        <row r="1385">
          <cell r="J1385" t="str">
            <v>Scope 3WTT- delivery vehs &amp; freightWTT- vansClass III (1.74 to 3.5 tonnes)Petrolmiles</v>
          </cell>
          <cell r="K1385" t="str">
            <v>Class III (1.74 to 3.5 tonnes) miles</v>
          </cell>
          <cell r="L1385">
            <v>0.14141999999999999</v>
          </cell>
        </row>
        <row r="1386">
          <cell r="J1386" t="str">
            <v>Scope 3WTT- delivery vehs &amp; freightWTT- vansClass III (1.74 to 3.5 tonnes)Petroltonne.km</v>
          </cell>
          <cell r="K1386" t="str">
            <v>Class III (1.74 to 3.5 tonnes) tonne.km</v>
          </cell>
          <cell r="L1386">
            <v>0.21773000000000001</v>
          </cell>
        </row>
        <row r="1387">
          <cell r="J1387" t="str">
            <v>Scope 3WTT- delivery vehs &amp; freightWTT- vansClass III (1.74 to 3.5 tonnes)CNGkm</v>
          </cell>
          <cell r="K1387" t="str">
            <v>Class III (1.74 to 3.5 tonnes) km</v>
          </cell>
        </row>
        <row r="1388">
          <cell r="J1388" t="str">
            <v>Scope 3WTT- delivery vehs &amp; freightWTT- vansClass III (1.74 to 3.5 tonnes)CNGmiles</v>
          </cell>
          <cell r="K1388" t="str">
            <v>Class III (1.74 to 3.5 tonnes) miles</v>
          </cell>
        </row>
        <row r="1389">
          <cell r="J1389" t="str">
            <v>Scope 3WTT- delivery vehs &amp; freightWTT- vansClass III (1.74 to 3.5 tonnes)CNGtonne.km</v>
          </cell>
          <cell r="K1389" t="str">
            <v>Class III (1.74 to 3.5 tonnes) tonne.km</v>
          </cell>
        </row>
        <row r="1390">
          <cell r="J1390" t="str">
            <v>Scope 3WTT- delivery vehs &amp; freightWTT- vansClass III (1.74 to 3.5 tonnes)LPGkm</v>
          </cell>
          <cell r="K1390" t="str">
            <v>Class III (1.74 to 3.5 tonnes) km</v>
          </cell>
        </row>
        <row r="1391">
          <cell r="J1391" t="str">
            <v>Scope 3WTT- delivery vehs &amp; freightWTT- vansClass III (1.74 to 3.5 tonnes)LPGmiles</v>
          </cell>
          <cell r="K1391" t="str">
            <v>Class III (1.74 to 3.5 tonnes) miles</v>
          </cell>
        </row>
        <row r="1392">
          <cell r="J1392" t="str">
            <v>Scope 3WTT- delivery vehs &amp; freightWTT- vansClass III (1.74 to 3.5 tonnes)LPGtonne.km</v>
          </cell>
          <cell r="K1392" t="str">
            <v>Class III (1.74 to 3.5 tonnes) tonne.km</v>
          </cell>
        </row>
        <row r="1393">
          <cell r="J1393" t="str">
            <v>Scope 3WTT- delivery vehs &amp; freightWTT- vansClass III (1.74 to 3.5 tonnes)Unknownkm</v>
          </cell>
          <cell r="K1393" t="str">
            <v>Class III (1.74 to 3.5 tonnes) km</v>
          </cell>
        </row>
        <row r="1394">
          <cell r="J1394" t="str">
            <v>Scope 3WTT- delivery vehs &amp; freightWTT- vansClass III (1.74 to 3.5 tonnes)Unknownmiles</v>
          </cell>
          <cell r="K1394" t="str">
            <v>Class III (1.74 to 3.5 tonnes) miles</v>
          </cell>
        </row>
        <row r="1395">
          <cell r="J1395" t="str">
            <v>Scope 3WTT- delivery vehs &amp; freightWTT- vansClass III (1.74 to 3.5 tonnes)Unknowntonne.km</v>
          </cell>
          <cell r="K1395" t="str">
            <v>Class III (1.74 to 3.5 tonnes) tonne.km</v>
          </cell>
        </row>
        <row r="1396">
          <cell r="J1396" t="str">
            <v>Scope 3WTT- delivery vehs &amp; freightWTT- vansClass III (1.74 to 3.5 tonnes)Plug-in Hybrid Electric Vehiclekm</v>
          </cell>
          <cell r="K1396" t="str">
            <v>Class III (1.74 to 3.5 tonnes) km</v>
          </cell>
        </row>
        <row r="1397">
          <cell r="J1397" t="str">
            <v>Scope 3WTT- delivery vehs &amp; freightWTT- vansClass III (1.74 to 3.5 tonnes)Plug-in Hybrid Electric Vehiclemiles</v>
          </cell>
          <cell r="K1397" t="str">
            <v>Class III (1.74 to 3.5 tonnes) miles</v>
          </cell>
        </row>
        <row r="1398">
          <cell r="J1398" t="str">
            <v>Scope 3WTT- delivery vehs &amp; freightWTT- vansClass III (1.74 to 3.5 tonnes)Plug-in Hybrid Electric Vehiclemiles</v>
          </cell>
          <cell r="K1398" t="str">
            <v>Class III (1.74 to 3.5 tonnes) tonne.km</v>
          </cell>
        </row>
        <row r="1399">
          <cell r="J1399" t="str">
            <v>Scope 3WTT- delivery vehs &amp; freightWTT- vansClass III (1.74 to 3.5 tonnes)Battery Electric Vehiclekm</v>
          </cell>
          <cell r="K1399" t="str">
            <v>Class III (1.74 to 3.5 tonnes) km</v>
          </cell>
          <cell r="L1399">
            <v>1.9949999999999999E-2</v>
          </cell>
        </row>
        <row r="1400">
          <cell r="J1400" t="str">
            <v>Scope 3WTT- delivery vehs &amp; freightWTT- vansClass III (1.74 to 3.5 tonnes)Battery Electric Vehiclemiles</v>
          </cell>
          <cell r="K1400" t="str">
            <v>Class III (1.74 to 3.5 tonnes) miles</v>
          </cell>
          <cell r="L1400">
            <v>3.211E-2</v>
          </cell>
        </row>
        <row r="1401">
          <cell r="J1401" t="str">
            <v>Scope 3WTT- delivery vehs &amp; freightWTT- vansClass III (1.74 to 3.5 tonnes)Battery Electric Vehiclemiles</v>
          </cell>
          <cell r="K1401" t="str">
            <v>Class III (1.74 to 3.5 tonnes) tonne.km</v>
          </cell>
          <cell r="L1401">
            <v>5.9729999999999998E-2</v>
          </cell>
        </row>
        <row r="1402">
          <cell r="J1402" t="str">
            <v>Scope 3WTT- delivery vehs &amp; freightWTT- vansAverage (up to 3.5 tonnes)Dieselkm</v>
          </cell>
          <cell r="K1402" t="str">
            <v>Average (up to 3.5 tonnes) km</v>
          </cell>
          <cell r="L1402">
            <v>5.8959999999999999E-2</v>
          </cell>
        </row>
        <row r="1403">
          <cell r="J1403" t="str">
            <v>Scope 3WTT- delivery vehs &amp; freightWTT- vansAverage (up to 3.5 tonnes)Dieselmiles</v>
          </cell>
          <cell r="K1403" t="str">
            <v>Average (up to 3.5 tonnes) miles</v>
          </cell>
          <cell r="L1403">
            <v>9.4890000000000002E-2</v>
          </cell>
        </row>
        <row r="1404">
          <cell r="J1404" t="str">
            <v>Scope 3WTT- delivery vehs &amp; freightWTT- vansAverage (up to 3.5 tonnes)Dieseltonne.km</v>
          </cell>
          <cell r="K1404" t="str">
            <v>Average (up to 3.5 tonnes) tonne.km</v>
          </cell>
          <cell r="L1404">
            <v>0.14732999999999999</v>
          </cell>
        </row>
        <row r="1405">
          <cell r="J1405" t="str">
            <v>Scope 3WTT- delivery vehs &amp; freightWTT- vansAverage (up to 3.5 tonnes)Petrolkm</v>
          </cell>
          <cell r="K1405" t="str">
            <v>Average (up to 3.5 tonnes) km</v>
          </cell>
          <cell r="L1405">
            <v>5.901E-2</v>
          </cell>
        </row>
        <row r="1406">
          <cell r="J1406" t="str">
            <v>Scope 3WTT- delivery vehs &amp; freightWTT- vansAverage (up to 3.5 tonnes)Petrolmiles</v>
          </cell>
          <cell r="K1406" t="str">
            <v>Average (up to 3.5 tonnes) miles</v>
          </cell>
          <cell r="L1406">
            <v>9.4969999999999999E-2</v>
          </cell>
        </row>
        <row r="1407">
          <cell r="J1407" t="str">
            <v>Scope 3WTT- delivery vehs &amp; freightWTT- vansAverage (up to 3.5 tonnes)Petroltonne.km</v>
          </cell>
          <cell r="K1407" t="str">
            <v>Average (up to 3.5 tonnes) tonne.km</v>
          </cell>
          <cell r="L1407">
            <v>0.20164000000000001</v>
          </cell>
        </row>
        <row r="1408">
          <cell r="J1408" t="str">
            <v>Scope 3WTT- delivery vehs &amp; freightWTT- vansAverage (up to 3.5 tonnes)CNGkm</v>
          </cell>
          <cell r="K1408" t="str">
            <v>Average (up to 3.5 tonnes) km</v>
          </cell>
          <cell r="L1408">
            <v>5.2150000000000002E-2</v>
          </cell>
        </row>
        <row r="1409">
          <cell r="J1409" t="str">
            <v>Scope 3WTT- delivery vehs &amp; freightWTT- vansAverage (up to 3.5 tonnes)CNGmiles</v>
          </cell>
          <cell r="K1409" t="str">
            <v>Average (up to 3.5 tonnes) miles</v>
          </cell>
          <cell r="L1409">
            <v>8.3930000000000005E-2</v>
          </cell>
        </row>
        <row r="1410">
          <cell r="J1410" t="str">
            <v>Scope 3WTT- delivery vehs &amp; freightWTT- vansAverage (up to 3.5 tonnes)CNGtonne.km</v>
          </cell>
          <cell r="K1410" t="str">
            <v>Average (up to 3.5 tonnes) tonne.km</v>
          </cell>
          <cell r="L1410">
            <v>0.13069</v>
          </cell>
        </row>
        <row r="1411">
          <cell r="J1411" t="str">
            <v>Scope 3WTT- delivery vehs &amp; freightWTT- vansAverage (up to 3.5 tonnes)LPGkm</v>
          </cell>
          <cell r="K1411" t="str">
            <v>Average (up to 3.5 tonnes) km</v>
          </cell>
          <cell r="L1411">
            <v>3.1850000000000003E-2</v>
          </cell>
        </row>
        <row r="1412">
          <cell r="J1412" t="str">
            <v>Scope 3WTT- delivery vehs &amp; freightWTT- vansAverage (up to 3.5 tonnes)LPGmiles</v>
          </cell>
          <cell r="K1412" t="str">
            <v>Average (up to 3.5 tonnes) miles</v>
          </cell>
          <cell r="L1412">
            <v>5.126E-2</v>
          </cell>
        </row>
        <row r="1413">
          <cell r="J1413" t="str">
            <v>Scope 3WTT- delivery vehs &amp; freightWTT- vansAverage (up to 3.5 tonnes)LPGtonne.km</v>
          </cell>
          <cell r="K1413" t="str">
            <v>Average (up to 3.5 tonnes) tonne.km</v>
          </cell>
          <cell r="L1413">
            <v>7.9810000000000006E-2</v>
          </cell>
        </row>
        <row r="1414">
          <cell r="J1414" t="str">
            <v>Scope 3WTT- delivery vehs &amp; freightWTT- vansAverage (up to 3.5 tonnes)Unknownkm</v>
          </cell>
          <cell r="K1414" t="str">
            <v>Average (up to 3.5 tonnes) km</v>
          </cell>
          <cell r="L1414">
            <v>5.8959999999999999E-2</v>
          </cell>
        </row>
        <row r="1415">
          <cell r="J1415" t="str">
            <v>Scope 3WTT- delivery vehs &amp; freightWTT- vansAverage (up to 3.5 tonnes)Unknownmiles</v>
          </cell>
          <cell r="K1415" t="str">
            <v>Average (up to 3.5 tonnes) miles</v>
          </cell>
          <cell r="L1415">
            <v>9.4890000000000002E-2</v>
          </cell>
        </row>
        <row r="1416">
          <cell r="J1416" t="str">
            <v>Scope 3WTT- delivery vehs &amp; freightWTT- vansAverage (up to 3.5 tonnes)Unknowntonne.km</v>
          </cell>
          <cell r="K1416" t="str">
            <v>Average (up to 3.5 tonnes) tonne.km</v>
          </cell>
          <cell r="L1416">
            <v>0.14907999999999999</v>
          </cell>
        </row>
        <row r="1417">
          <cell r="J1417" t="str">
            <v>Scope 3WTT- delivery vehs &amp; freightWTT- vansAverage (up to 3.5 tonnes)Plug-in Hybrid Electric Vehiclekm</v>
          </cell>
          <cell r="K1417" t="str">
            <v>Average (up to 3.5 tonnes) km</v>
          </cell>
        </row>
        <row r="1418">
          <cell r="J1418" t="str">
            <v>Scope 3WTT- delivery vehs &amp; freightWTT- vansAverage (up to 3.5 tonnes)Plug-in Hybrid Electric Vehiclemiles</v>
          </cell>
          <cell r="K1418" t="str">
            <v>Average (up to 3.5 tonnes) miles</v>
          </cell>
        </row>
        <row r="1419">
          <cell r="J1419" t="str">
            <v>Scope 3WTT- delivery vehs &amp; freightWTT- vansAverage (up to 3.5 tonnes)Plug-in Hybrid Electric Vehiclemiles</v>
          </cell>
          <cell r="K1419" t="str">
            <v>Average (up to 3.5 tonnes) tonne.km</v>
          </cell>
        </row>
        <row r="1420">
          <cell r="J1420" t="str">
            <v>Scope 3WTT- delivery vehs &amp; freightWTT- vansAverage (up to 3.5 tonnes)Battery Electric Vehiclekm</v>
          </cell>
          <cell r="K1420" t="str">
            <v>Average (up to 3.5 tonnes) km</v>
          </cell>
          <cell r="L1420">
            <v>1.423E-2</v>
          </cell>
        </row>
        <row r="1421">
          <cell r="J1421" t="str">
            <v>Scope 3WTT- delivery vehs &amp; freightWTT- vansAverage (up to 3.5 tonnes)Battery Electric Vehiclemiles</v>
          </cell>
          <cell r="K1421" t="str">
            <v>Average (up to 3.5 tonnes) miles</v>
          </cell>
          <cell r="L1421">
            <v>2.29E-2</v>
          </cell>
        </row>
        <row r="1422">
          <cell r="J1422" t="str">
            <v>Scope 3WTT- delivery vehs &amp; freightWTT- vansAverage (up to 3.5 tonnes)Battery Electric Vehiclemiles</v>
          </cell>
          <cell r="K1422" t="str">
            <v>Average (up to 3.5 tonnes) tonne.km</v>
          </cell>
          <cell r="L1422">
            <v>6.3930000000000001E-2</v>
          </cell>
        </row>
        <row r="1423">
          <cell r="J1423" t="str">
            <v>Scope 3WTT- delivery vehs &amp; freightWTT- HGV (all diesel)Rigid (&gt;3.5 - 7.5 tonnes)0% Ladenkm</v>
          </cell>
          <cell r="K1423" t="str">
            <v>Rigid (&gt;3.5 - 7.5 tonnes) km WTT- HGV (all diesel)</v>
          </cell>
          <cell r="L1423">
            <v>0.10796</v>
          </cell>
        </row>
        <row r="1424">
          <cell r="J1424" t="str">
            <v>Scope 3WTT- delivery vehs &amp; freightWTT- HGV (all diesel)Rigid (&gt;3.5 - 7.5 tonnes)0% Ladenmiles</v>
          </cell>
          <cell r="K1424" t="str">
            <v>Rigid (&gt;3.5 - 7.5 tonnes) miles WTT- HGV (all diesel)</v>
          </cell>
          <cell r="L1424">
            <v>0.17374999999999999</v>
          </cell>
        </row>
        <row r="1425">
          <cell r="J1425" t="str">
            <v>Scope 3WTT- delivery vehs &amp; freightWTT- HGV (all diesel)Rigid (&gt;3.5 - 7.5 tonnes)0% Ladentonne.km</v>
          </cell>
          <cell r="K1425" t="str">
            <v>Rigid (&gt;3.5 - 7.5 tonnes) tonne.km WTT- HGV (all diesel)</v>
          </cell>
        </row>
        <row r="1426">
          <cell r="J1426" t="str">
            <v>Scope 3WTT- delivery vehs &amp; freightWTT- HGV (all diesel)Rigid (&gt;3.5 - 7.5 tonnes)50% Ladenkm</v>
          </cell>
          <cell r="K1426" t="str">
            <v>Rigid (&gt;3.5 - 7.5 tonnes) km WTT- HGV (all diesel)</v>
          </cell>
          <cell r="L1426">
            <v>0.11735</v>
          </cell>
        </row>
        <row r="1427">
          <cell r="J1427" t="str">
            <v>Scope 3WTT- delivery vehs &amp; freightWTT- HGV (all diesel)Rigid (&gt;3.5 - 7.5 tonnes)50% Ladenmiles</v>
          </cell>
          <cell r="K1427" t="str">
            <v>Rigid (&gt;3.5 - 7.5 tonnes) miles WTT- HGV (all diesel)</v>
          </cell>
          <cell r="L1427">
            <v>0.18886</v>
          </cell>
        </row>
        <row r="1428">
          <cell r="J1428" t="str">
            <v>Scope 3WTT- delivery vehs &amp; freightWTT- HGV (all diesel)Rigid (&gt;3.5 - 7.5 tonnes)50% Ladentonne.km</v>
          </cell>
          <cell r="K1428" t="str">
            <v>Rigid (&gt;3.5 - 7.5 tonnes) tonne.km WTT- HGV (all diesel)</v>
          </cell>
          <cell r="L1428">
            <v>0.10935</v>
          </cell>
        </row>
        <row r="1429">
          <cell r="J1429" t="str">
            <v>Scope 3WTT- delivery vehs &amp; freightWTT- HGV (all diesel)Rigid (&gt;3.5 - 7.5 tonnes)100% Ladenkm</v>
          </cell>
          <cell r="K1429" t="str">
            <v>Rigid (&gt;3.5 - 7.5 tonnes) km WTT- HGV (all diesel)</v>
          </cell>
          <cell r="L1429">
            <v>0.12673999999999999</v>
          </cell>
        </row>
        <row r="1430">
          <cell r="J1430" t="str">
            <v>Scope 3WTT- delivery vehs &amp; freightWTT- HGV (all diesel)Rigid (&gt;3.5 - 7.5 tonnes)100% Ladenmiles</v>
          </cell>
          <cell r="K1430" t="str">
            <v>Rigid (&gt;3.5 - 7.5 tonnes) miles WTT- HGV (all diesel)</v>
          </cell>
          <cell r="L1430">
            <v>0.20397000000000001</v>
          </cell>
        </row>
        <row r="1431">
          <cell r="J1431" t="str">
            <v>Scope 3WTT- delivery vehs &amp; freightWTT- HGV (all diesel)Rigid (&gt;3.5 - 7.5 tonnes)100% Ladentonne.km</v>
          </cell>
          <cell r="K1431" t="str">
            <v>Rigid (&gt;3.5 - 7.5 tonnes) tonne.km WTT- HGV (all diesel)</v>
          </cell>
          <cell r="L1431">
            <v>5.9049999999999998E-2</v>
          </cell>
        </row>
        <row r="1432">
          <cell r="J1432" t="str">
            <v>Scope 3WTT- delivery vehs &amp; freightWTT- HGV (all diesel)Rigid (&gt;3.5 - 7.5 tonnes)Average ladenkm</v>
          </cell>
          <cell r="K1432" t="str">
            <v>Rigid (&gt;3.5 - 7.5 tonnes) km WTT- HGV (all diesel)</v>
          </cell>
          <cell r="L1432">
            <v>0.1166</v>
          </cell>
        </row>
        <row r="1433">
          <cell r="J1433" t="str">
            <v>Scope 3WTT- delivery vehs &amp; freightWTT- HGV (all diesel)Rigid (&gt;3.5 - 7.5 tonnes)Average ladenmiles</v>
          </cell>
          <cell r="K1433" t="str">
            <v>Rigid (&gt;3.5 - 7.5 tonnes) miles WTT- HGV (all diesel)</v>
          </cell>
          <cell r="L1433">
            <v>0.18765000000000001</v>
          </cell>
        </row>
        <row r="1434">
          <cell r="J1434" t="str">
            <v>Scope 3WTT- delivery vehs &amp; freightWTT- HGV (all diesel)Rigid (&gt;3.5 - 7.5 tonnes)Average ladentonne.km</v>
          </cell>
          <cell r="K1434" t="str">
            <v>Rigid (&gt;3.5 - 7.5 tonnes) tonne.km WTT- HGV (all diesel)</v>
          </cell>
          <cell r="L1434">
            <v>0.11809</v>
          </cell>
        </row>
        <row r="1435">
          <cell r="J1435" t="str">
            <v>Scope 3WTT- delivery vehs &amp; freightWTT- HGV (all diesel)Rigid (&gt;7.5 tonnes-17 tonnes)0% Ladenkm</v>
          </cell>
          <cell r="K1435" t="str">
            <v>Rigid (&gt;7.5 tonnes-17 tonnes) km WTT- HGV (all diesel)</v>
          </cell>
          <cell r="L1435">
            <v>0.12959999999999999</v>
          </cell>
        </row>
        <row r="1436">
          <cell r="J1436" t="str">
            <v>Scope 3WTT- delivery vehs &amp; freightWTT- HGV (all diesel)Rigid (&gt;7.5 tonnes-17 tonnes)0% Ladenmiles</v>
          </cell>
          <cell r="K1436" t="str">
            <v>Rigid (&gt;7.5 tonnes-17 tonnes) miles WTT- HGV (all diesel)</v>
          </cell>
          <cell r="L1436">
            <v>0.20857999999999999</v>
          </cell>
        </row>
        <row r="1437">
          <cell r="J1437" t="str">
            <v>Scope 3WTT- delivery vehs &amp; freightWTT- HGV (all diesel)Rigid (&gt;7.5 tonnes-17 tonnes)0% Ladentonne.km</v>
          </cell>
          <cell r="K1437" t="str">
            <v>Rigid (&gt;7.5 tonnes-17 tonnes) tonne.km WTT- HGV (all diesel)</v>
          </cell>
        </row>
        <row r="1438">
          <cell r="J1438" t="str">
            <v>Scope 3WTT- delivery vehs &amp; freightWTT- HGV (all diesel)Rigid (&gt;7.5 tonnes-17 tonnes)50% Ladenkm</v>
          </cell>
          <cell r="K1438" t="str">
            <v>Rigid (&gt;7.5 tonnes-17 tonnes) km WTT- HGV (all diesel)</v>
          </cell>
          <cell r="L1438">
            <v>0.14812</v>
          </cell>
        </row>
        <row r="1439">
          <cell r="J1439" t="str">
            <v>Scope 3WTT- delivery vehs &amp; freightWTT- HGV (all diesel)Rigid (&gt;7.5 tonnes-17 tonnes)50% Ladenmiles</v>
          </cell>
          <cell r="K1439" t="str">
            <v>Rigid (&gt;7.5 tonnes-17 tonnes) miles WTT- HGV (all diesel)</v>
          </cell>
          <cell r="L1439">
            <v>0.23838000000000001</v>
          </cell>
        </row>
        <row r="1440">
          <cell r="J1440" t="str">
            <v>Scope 3WTT- delivery vehs &amp; freightWTT- HGV (all diesel)Rigid (&gt;7.5 tonnes-17 tonnes)50% Ladentonne.km</v>
          </cell>
          <cell r="K1440" t="str">
            <v>Rigid (&gt;7.5 tonnes-17 tonnes) tonne.km WTT- HGV (all diesel)</v>
          </cell>
          <cell r="L1440">
            <v>5.8349999999999999E-2</v>
          </cell>
        </row>
        <row r="1441">
          <cell r="J1441" t="str">
            <v>Scope 3WTT- delivery vehs &amp; freightWTT- HGV (all diesel)Rigid (&gt;7.5 tonnes-17 tonnes)100% Ladenkm</v>
          </cell>
          <cell r="K1441" t="str">
            <v>Rigid (&gt;7.5 tonnes-17 tonnes) km WTT- HGV (all diesel)</v>
          </cell>
          <cell r="L1441">
            <v>0.16663</v>
          </cell>
        </row>
        <row r="1442">
          <cell r="J1442" t="str">
            <v>Scope 3WTT- delivery vehs &amp; freightWTT- HGV (all diesel)Rigid (&gt;7.5 tonnes-17 tonnes)100% Ladenmiles</v>
          </cell>
          <cell r="K1442" t="str">
            <v>Rigid (&gt;7.5 tonnes-17 tonnes) miles WTT- HGV (all diesel)</v>
          </cell>
          <cell r="L1442">
            <v>0.26817000000000002</v>
          </cell>
        </row>
        <row r="1443">
          <cell r="J1443" t="str">
            <v>Scope 3WTT- delivery vehs &amp; freightWTT- HGV (all diesel)Rigid (&gt;7.5 tonnes-17 tonnes)100% Ladentonne.km</v>
          </cell>
          <cell r="K1443" t="str">
            <v>Rigid (&gt;7.5 tonnes-17 tonnes) tonne.km WTT- HGV (all diesel)</v>
          </cell>
          <cell r="L1443">
            <v>3.2820000000000002E-2</v>
          </cell>
        </row>
        <row r="1444">
          <cell r="J1444" t="str">
            <v>Scope 3WTT- delivery vehs &amp; freightWTT- HGV (all diesel)Rigid (&gt;7.5 tonnes-17 tonnes)Average ladenkm</v>
          </cell>
          <cell r="K1444" t="str">
            <v>Rigid (&gt;7.5 tonnes-17 tonnes) km WTT- HGV (all diesel)</v>
          </cell>
          <cell r="L1444">
            <v>0.14219999999999999</v>
          </cell>
        </row>
        <row r="1445">
          <cell r="J1445" t="str">
            <v>Scope 3WTT- delivery vehs &amp; freightWTT- HGV (all diesel)Rigid (&gt;7.5 tonnes-17 tonnes)Average ladenmiles</v>
          </cell>
          <cell r="K1445" t="str">
            <v>Rigid (&gt;7.5 tonnes-17 tonnes) miles WTT- HGV (all diesel)</v>
          </cell>
          <cell r="L1445">
            <v>0.22883999999999999</v>
          </cell>
        </row>
        <row r="1446">
          <cell r="J1446" t="str">
            <v>Scope 3WTT- delivery vehs &amp; freightWTT- HGV (all diesel)Rigid (&gt;7.5 tonnes-17 tonnes)Average ladentonne.km</v>
          </cell>
          <cell r="K1446" t="str">
            <v>Rigid (&gt;7.5 tonnes-17 tonnes) tonne.km WTT- HGV (all diesel)</v>
          </cell>
          <cell r="L1446">
            <v>8.2379999999999995E-2</v>
          </cell>
        </row>
        <row r="1447">
          <cell r="J1447" t="str">
            <v>Scope 3WTT- delivery vehs &amp; freightWTT- HGV (all diesel)Rigid (&gt;17 tonnes)0% Ladenkm</v>
          </cell>
          <cell r="K1447" t="str">
            <v>Rigid (&gt;17 tonnes) km WTT- HGV (all diesel)</v>
          </cell>
          <cell r="L1447">
            <v>0.18529000000000001</v>
          </cell>
        </row>
        <row r="1448">
          <cell r="J1448" t="str">
            <v>Scope 3WTT- delivery vehs &amp; freightWTT- HGV (all diesel)Rigid (&gt;17 tonnes)0% Ladenmiles</v>
          </cell>
          <cell r="K1448" t="str">
            <v>Rigid (&gt;17 tonnes) miles WTT- HGV (all diesel)</v>
          </cell>
          <cell r="L1448">
            <v>0.29820000000000002</v>
          </cell>
        </row>
        <row r="1449">
          <cell r="J1449" t="str">
            <v>Scope 3WTT- delivery vehs &amp; freightWTT- HGV (all diesel)Rigid (&gt;17 tonnes)0% Ladentonne.km</v>
          </cell>
          <cell r="K1449" t="str">
            <v>Rigid (&gt;17 tonnes) tonne.km WTT- HGV (all diesel)</v>
          </cell>
        </row>
        <row r="1450">
          <cell r="J1450" t="str">
            <v>Scope 3WTT- delivery vehs &amp; freightWTT- HGV (all diesel)Rigid (&gt;17 tonnes)50% Ladenkm</v>
          </cell>
          <cell r="K1450" t="str">
            <v>Rigid (&gt;17 tonnes) km WTT- HGV (all diesel)</v>
          </cell>
          <cell r="L1450">
            <v>0.22597</v>
          </cell>
        </row>
        <row r="1451">
          <cell r="J1451" t="str">
            <v>Scope 3WTT- delivery vehs &amp; freightWTT- HGV (all diesel)Rigid (&gt;17 tonnes)50% Ladenmiles</v>
          </cell>
          <cell r="K1451" t="str">
            <v>Rigid (&gt;17 tonnes) miles WTT- HGV (all diesel)</v>
          </cell>
          <cell r="L1451">
            <v>0.36365999999999998</v>
          </cell>
        </row>
        <row r="1452">
          <cell r="J1452" t="str">
            <v>Scope 3WTT- delivery vehs &amp; freightWTT- HGV (all diesel)Rigid (&gt;17 tonnes)50% Ladentonne.km</v>
          </cell>
          <cell r="K1452" t="str">
            <v>Rigid (&gt;17 tonnes) tonne.km WTT- HGV (all diesel)</v>
          </cell>
          <cell r="L1452">
            <v>4.9459999999999997E-2</v>
          </cell>
        </row>
        <row r="1453">
          <cell r="J1453" t="str">
            <v>Scope 3WTT- delivery vehs &amp; freightWTT- HGV (all diesel)Rigid (&gt;17 tonnes)100% Ladenkm</v>
          </cell>
          <cell r="K1453" t="str">
            <v>Rigid (&gt;17 tonnes) km WTT- HGV (all diesel)</v>
          </cell>
          <cell r="L1453">
            <v>0.26663999999999999</v>
          </cell>
        </row>
        <row r="1454">
          <cell r="J1454" t="str">
            <v>Scope 3WTT- delivery vehs &amp; freightWTT- HGV (all diesel)Rigid (&gt;17 tonnes)100% Ladenmiles</v>
          </cell>
          <cell r="K1454" t="str">
            <v>Rigid (&gt;17 tonnes) miles WTT- HGV (all diesel)</v>
          </cell>
          <cell r="L1454">
            <v>0.42912</v>
          </cell>
        </row>
        <row r="1455">
          <cell r="J1455" t="str">
            <v>Scope 3WTT- delivery vehs &amp; freightWTT- HGV (all diesel)Rigid (&gt;17 tonnes)100% Ladentonne.km</v>
          </cell>
          <cell r="K1455" t="str">
            <v>Rigid (&gt;17 tonnes) tonne.km WTT- HGV (all diesel)</v>
          </cell>
          <cell r="L1455">
            <v>2.9180000000000001E-2</v>
          </cell>
        </row>
        <row r="1456">
          <cell r="J1456" t="str">
            <v>Scope 3WTT- delivery vehs &amp; freightWTT- HGV (all diesel)Rigid (&gt;17 tonnes)Average ladenkm</v>
          </cell>
          <cell r="K1456" t="str">
            <v>Rigid (&gt;17 tonnes) km WTT- HGV (all diesel)</v>
          </cell>
          <cell r="L1456">
            <v>0.23227999999999999</v>
          </cell>
        </row>
        <row r="1457">
          <cell r="J1457" t="str">
            <v>Scope 3WTT- delivery vehs &amp; freightWTT- HGV (all diesel)Rigid (&gt;17 tonnes)Average ladenmiles</v>
          </cell>
          <cell r="K1457" t="str">
            <v>Rigid (&gt;17 tonnes) miles WTT- HGV (all diesel)</v>
          </cell>
          <cell r="L1457">
            <v>0.37381999999999999</v>
          </cell>
        </row>
        <row r="1458">
          <cell r="J1458" t="str">
            <v>Scope 3WTT- delivery vehs &amp; freightWTT- HGV (all diesel)Rigid (&gt;17 tonnes)Average ladentonne.km</v>
          </cell>
          <cell r="K1458" t="str">
            <v>Rigid (&gt;17 tonnes) tonne.km WTT- HGV (all diesel)</v>
          </cell>
          <cell r="L1458">
            <v>4.4010000000000001E-2</v>
          </cell>
        </row>
        <row r="1459">
          <cell r="J1459" t="str">
            <v>Scope 3WTT- delivery vehs &amp; freightWTT- HGV (all diesel)All rigids0% Ladenkm</v>
          </cell>
          <cell r="K1459" t="str">
            <v>All rigids km WTT- HGV (all diesel)</v>
          </cell>
          <cell r="L1459">
            <v>0.16073000000000001</v>
          </cell>
        </row>
        <row r="1460">
          <cell r="J1460" t="str">
            <v>Scope 3WTT- delivery vehs &amp; freightWTT- HGV (all diesel)All rigids0% Ladenmiles</v>
          </cell>
          <cell r="K1460" t="str">
            <v>All rigids miles WTT- HGV (all diesel)</v>
          </cell>
          <cell r="L1460">
            <v>0.25867000000000001</v>
          </cell>
        </row>
        <row r="1461">
          <cell r="J1461" t="str">
            <v>Scope 3WTT- delivery vehs &amp; freightWTT- HGV (all diesel)All rigids0% Ladentonne.km</v>
          </cell>
          <cell r="K1461" t="str">
            <v>All rigids tonne.km WTT- HGV (all diesel)</v>
          </cell>
        </row>
        <row r="1462">
          <cell r="J1462" t="str">
            <v>Scope 3WTT- delivery vehs &amp; freightWTT- HGV (all diesel)All rigids50% Ladenkm</v>
          </cell>
          <cell r="K1462" t="str">
            <v>All rigids km WTT- HGV (all diesel)</v>
          </cell>
          <cell r="L1462">
            <v>0.1915</v>
          </cell>
        </row>
        <row r="1463">
          <cell r="J1463" t="str">
            <v>Scope 3WTT- delivery vehs &amp; freightWTT- HGV (all diesel)All rigids50% Ladenmiles</v>
          </cell>
          <cell r="K1463" t="str">
            <v>All rigids miles WTT- HGV (all diesel)</v>
          </cell>
          <cell r="L1463">
            <v>0.30819999999999997</v>
          </cell>
        </row>
        <row r="1464">
          <cell r="J1464" t="str">
            <v>Scope 3WTT- delivery vehs &amp; freightWTT- HGV (all diesel)All rigids50% Ladentonne.km</v>
          </cell>
          <cell r="K1464" t="str">
            <v>All rigids tonne.km WTT- HGV (all diesel)</v>
          </cell>
          <cell r="L1464">
            <v>5.355E-2</v>
          </cell>
        </row>
        <row r="1465">
          <cell r="J1465" t="str">
            <v>Scope 3WTT- delivery vehs &amp; freightWTT- HGV (all diesel)All rigids100% Ladenkm</v>
          </cell>
          <cell r="K1465" t="str">
            <v>All rigids km WTT- HGV (all diesel)</v>
          </cell>
          <cell r="L1465">
            <v>0.22228000000000001</v>
          </cell>
        </row>
        <row r="1466">
          <cell r="J1466" t="str">
            <v>Scope 3WTT- delivery vehs &amp; freightWTT- HGV (all diesel)All rigids100% Ladenmiles</v>
          </cell>
          <cell r="K1466" t="str">
            <v>All rigids miles WTT- HGV (all diesel)</v>
          </cell>
          <cell r="L1466">
            <v>0.35772999999999999</v>
          </cell>
        </row>
        <row r="1467">
          <cell r="J1467" t="str">
            <v>Scope 3WTT- delivery vehs &amp; freightWTT- HGV (all diesel)All rigids100% Ladentonne.km</v>
          </cell>
          <cell r="K1467" t="str">
            <v>All rigids tonne.km WTT- HGV (all diesel)</v>
          </cell>
          <cell r="L1467">
            <v>3.1179999999999999E-2</v>
          </cell>
        </row>
        <row r="1468">
          <cell r="J1468" t="str">
            <v>Scope 3WTT- delivery vehs &amp; freightWTT- HGV (all diesel)All rigidsAverage ladenkm</v>
          </cell>
          <cell r="K1468" t="str">
            <v>All rigids km WTT- HGV (all diesel)</v>
          </cell>
          <cell r="L1468">
            <v>0.19478999999999999</v>
          </cell>
        </row>
        <row r="1469">
          <cell r="J1469" t="str">
            <v>Scope 3WTT- delivery vehs &amp; freightWTT- HGV (all diesel)All rigidsAverage ladenmiles</v>
          </cell>
          <cell r="K1469" t="str">
            <v>All rigids miles WTT- HGV (all diesel)</v>
          </cell>
          <cell r="L1469">
            <v>0.31348999999999999</v>
          </cell>
        </row>
        <row r="1470">
          <cell r="J1470" t="str">
            <v>Scope 3WTT- delivery vehs &amp; freightWTT- HGV (all diesel)All rigidsAverage ladentonne.km</v>
          </cell>
          <cell r="K1470" t="str">
            <v>All rigids tonne.km WTT- HGV (all diesel)</v>
          </cell>
          <cell r="L1470">
            <v>5.0410000000000003E-2</v>
          </cell>
        </row>
        <row r="1471">
          <cell r="J1471" t="str">
            <v>Scope 3WTT- delivery vehs &amp; freightWTT- HGV (all diesel)Articulated (&gt;3.5 - 33t)0% Ladenkm</v>
          </cell>
          <cell r="K1471" t="str">
            <v>Articulated (&gt;3.5 - 33t) km WTT- HGV (all diesel)</v>
          </cell>
          <cell r="L1471">
            <v>0.14982999999999999</v>
          </cell>
        </row>
        <row r="1472">
          <cell r="J1472" t="str">
            <v>Scope 3WTT- delivery vehs &amp; freightWTT- HGV (all diesel)Articulated (&gt;3.5 - 33t)0% Ladenmiles</v>
          </cell>
          <cell r="K1472" t="str">
            <v>Articulated (&gt;3.5 - 33t) miles WTT- HGV (all diesel)</v>
          </cell>
          <cell r="L1472">
            <v>0.24112</v>
          </cell>
        </row>
        <row r="1473">
          <cell r="J1473" t="str">
            <v>Scope 3WTT- delivery vehs &amp; freightWTT- HGV (all diesel)Articulated (&gt;3.5 - 33t)0% Ladentonne.km</v>
          </cell>
          <cell r="K1473" t="str">
            <v>Articulated (&gt;3.5 - 33t) tonne.km WTT- HGV (all diesel)</v>
          </cell>
        </row>
        <row r="1474">
          <cell r="J1474" t="str">
            <v>Scope 3WTT- delivery vehs &amp; freightWTT- HGV (all diesel)Articulated (&gt;3.5 - 33t)50% Ladenkm</v>
          </cell>
          <cell r="K1474" t="str">
            <v>Articulated (&gt;3.5 - 33t) km WTT- HGV (all diesel)</v>
          </cell>
          <cell r="L1474">
            <v>0.18728</v>
          </cell>
        </row>
        <row r="1475">
          <cell r="J1475" t="str">
            <v>Scope 3WTT- delivery vehs &amp; freightWTT- HGV (all diesel)Articulated (&gt;3.5 - 33t)50% Ladenmiles</v>
          </cell>
          <cell r="K1475" t="str">
            <v>Articulated (&gt;3.5 - 33t) miles WTT- HGV (all diesel)</v>
          </cell>
          <cell r="L1475">
            <v>0.30141000000000001</v>
          </cell>
        </row>
        <row r="1476">
          <cell r="J1476" t="str">
            <v>Scope 3WTT- delivery vehs &amp; freightWTT- HGV (all diesel)Articulated (&gt;3.5 - 33t)50% Ladentonne.km</v>
          </cell>
          <cell r="K1476" t="str">
            <v>Articulated (&gt;3.5 - 33t) tonne.km WTT- HGV (all diesel)</v>
          </cell>
          <cell r="L1476">
            <v>2.9489999999999999E-2</v>
          </cell>
        </row>
        <row r="1477">
          <cell r="J1477" t="str">
            <v>Scope 3WTT- delivery vehs &amp; freightWTT- HGV (all diesel)Articulated (&gt;3.5 - 33t)100% Ladenkm</v>
          </cell>
          <cell r="K1477" t="str">
            <v>Articulated (&gt;3.5 - 33t) km WTT- HGV (all diesel)</v>
          </cell>
          <cell r="L1477">
            <v>0.22474</v>
          </cell>
        </row>
        <row r="1478">
          <cell r="J1478" t="str">
            <v>Scope 3WTT- delivery vehs &amp; freightWTT- HGV (all diesel)Articulated (&gt;3.5 - 33t)100% Ladenmiles</v>
          </cell>
          <cell r="K1478" t="str">
            <v>Articulated (&gt;3.5 - 33t) miles WTT- HGV (all diesel)</v>
          </cell>
          <cell r="L1478">
            <v>0.36169000000000001</v>
          </cell>
        </row>
        <row r="1479">
          <cell r="J1479" t="str">
            <v>Scope 3WTT- delivery vehs &amp; freightWTT- HGV (all diesel)Articulated (&gt;3.5 - 33t)100% Ladentonne.km</v>
          </cell>
          <cell r="K1479" t="str">
            <v>Articulated (&gt;3.5 - 33t) tonne.km WTT- HGV (all diesel)</v>
          </cell>
          <cell r="L1479">
            <v>1.7690000000000001E-2</v>
          </cell>
        </row>
        <row r="1480">
          <cell r="J1480" t="str">
            <v>Scope 3WTT- delivery vehs &amp; freightWTT- HGV (all diesel)Articulated (&gt;3.5 - 33t)Average ladenkm</v>
          </cell>
          <cell r="K1480" t="str">
            <v>Articulated (&gt;3.5 - 33t) km WTT- HGV (all diesel)</v>
          </cell>
          <cell r="L1480">
            <v>0.18579000000000001</v>
          </cell>
        </row>
        <row r="1481">
          <cell r="J1481" t="str">
            <v>Scope 3WTT- delivery vehs &amp; freightWTT- HGV (all diesel)Articulated (&gt;3.5 - 33t)Average ladenmiles</v>
          </cell>
          <cell r="K1481" t="str">
            <v>Articulated (&gt;3.5 - 33t) miles WTT- HGV (all diesel)</v>
          </cell>
          <cell r="L1481">
            <v>0.29898999999999998</v>
          </cell>
        </row>
        <row r="1482">
          <cell r="J1482" t="str">
            <v>Scope 3WTT- delivery vehs &amp; freightWTT- HGV (all diesel)Articulated (&gt;3.5 - 33t)Average ladentonne.km</v>
          </cell>
          <cell r="K1482" t="str">
            <v>Articulated (&gt;3.5 - 33t) tonne.km WTT- HGV (all diesel)</v>
          </cell>
          <cell r="L1482">
            <v>3.0470000000000001E-2</v>
          </cell>
        </row>
        <row r="1483">
          <cell r="J1483" t="str">
            <v>Scope 3WTT- delivery vehs &amp; freightWTT- HGV (all diesel)Articulated (&gt;33t)0% Ladenkm</v>
          </cell>
          <cell r="K1483" t="str">
            <v>Articulated (&gt;33t) km WTT- HGV (all diesel)</v>
          </cell>
          <cell r="L1483">
            <v>0.15568000000000001</v>
          </cell>
        </row>
        <row r="1484">
          <cell r="J1484" t="str">
            <v>Scope 3WTT- delivery vehs &amp; freightWTT- HGV (all diesel)Articulated (&gt;33t)0% Ladenmiles</v>
          </cell>
          <cell r="K1484" t="str">
            <v>Articulated (&gt;33t) miles WTT- HGV (all diesel)</v>
          </cell>
          <cell r="L1484">
            <v>0.25053999999999998</v>
          </cell>
        </row>
        <row r="1485">
          <cell r="J1485" t="str">
            <v>Scope 3WTT- delivery vehs &amp; freightWTT- HGV (all diesel)Articulated (&gt;33t)0% Ladentonne.km</v>
          </cell>
          <cell r="K1485" t="str">
            <v>Articulated (&gt;33t) tonne.km WTT- HGV (all diesel)</v>
          </cell>
        </row>
        <row r="1486">
          <cell r="J1486" t="str">
            <v>Scope 3WTT- delivery vehs &amp; freightWTT- HGV (all diesel)Articulated (&gt;33t)50% Ladenkm</v>
          </cell>
          <cell r="K1486" t="str">
            <v>Articulated (&gt;33t) km WTT- HGV (all diesel)</v>
          </cell>
          <cell r="L1486">
            <v>0.20757</v>
          </cell>
        </row>
        <row r="1487">
          <cell r="J1487" t="str">
            <v>Scope 3WTT- delivery vehs &amp; freightWTT- HGV (all diesel)Articulated (&gt;33t)50% Ladenmiles</v>
          </cell>
          <cell r="K1487" t="str">
            <v>Articulated (&gt;33t) miles WTT- HGV (all diesel)</v>
          </cell>
          <cell r="L1487">
            <v>0.33405000000000001</v>
          </cell>
        </row>
        <row r="1488">
          <cell r="J1488" t="str">
            <v>Scope 3WTT- delivery vehs &amp; freightWTT- HGV (all diesel)Articulated (&gt;33t)50% Ladentonne.km</v>
          </cell>
          <cell r="K1488" t="str">
            <v>Articulated (&gt;33t) tonne.km WTT- HGV (all diesel)</v>
          </cell>
          <cell r="L1488">
            <v>2.2880000000000001E-2</v>
          </cell>
        </row>
        <row r="1489">
          <cell r="J1489" t="str">
            <v>Scope 3WTT- delivery vehs &amp; freightWTT- HGV (all diesel)Articulated (&gt;33t)100% Ladenkm</v>
          </cell>
          <cell r="K1489" t="str">
            <v>Articulated (&gt;33t) km WTT- HGV (all diesel)</v>
          </cell>
          <cell r="L1489">
            <v>0.25946000000000002</v>
          </cell>
        </row>
        <row r="1490">
          <cell r="J1490" t="str">
            <v>Scope 3WTT- delivery vehs &amp; freightWTT- HGV (all diesel)Articulated (&gt;33t)100% Ladenmiles</v>
          </cell>
          <cell r="K1490" t="str">
            <v>Articulated (&gt;33t) miles WTT- HGV (all diesel)</v>
          </cell>
          <cell r="L1490">
            <v>0.41755999999999999</v>
          </cell>
        </row>
        <row r="1491">
          <cell r="J1491" t="str">
            <v>Scope 3WTT- delivery vehs &amp; freightWTT- HGV (all diesel)Articulated (&gt;33t)100% Ladentonne.km</v>
          </cell>
          <cell r="K1491" t="str">
            <v>Articulated (&gt;33t) tonne.km WTT- HGV (all diesel)</v>
          </cell>
          <cell r="L1491">
            <v>1.43E-2</v>
          </cell>
        </row>
        <row r="1492">
          <cell r="J1492" t="str">
            <v>Scope 3WTT- delivery vehs &amp; freightWTT- HGV (all diesel)Articulated (&gt;33t)Average ladenkm</v>
          </cell>
          <cell r="K1492" t="str">
            <v>Articulated (&gt;33t) km WTT- HGV (all diesel)</v>
          </cell>
          <cell r="L1492">
            <v>0.22106000000000001</v>
          </cell>
        </row>
        <row r="1493">
          <cell r="J1493" t="str">
            <v>Scope 3WTT- delivery vehs &amp; freightWTT- HGV (all diesel)Articulated (&gt;33t)Average ladenmiles</v>
          </cell>
          <cell r="K1493" t="str">
            <v>Articulated (&gt;33t) miles WTT- HGV (all diesel)</v>
          </cell>
          <cell r="L1493">
            <v>0.35576999999999998</v>
          </cell>
        </row>
        <row r="1494">
          <cell r="J1494" t="str">
            <v>Scope 3WTT- delivery vehs &amp; freightWTT- HGV (all diesel)Articulated (&gt;33t)Average ladentonne.km</v>
          </cell>
          <cell r="K1494" t="str">
            <v>Articulated (&gt;33t) tonne.km WTT- HGV (all diesel)</v>
          </cell>
          <cell r="L1494">
            <v>1.934E-2</v>
          </cell>
        </row>
        <row r="1495">
          <cell r="J1495" t="str">
            <v>Scope 3WTT- delivery vehs &amp; freightWTT- HGV (all diesel)All artics0% Ladenkm</v>
          </cell>
          <cell r="K1495" t="str">
            <v>All artics km WTT- HGV (all diesel)</v>
          </cell>
          <cell r="L1495">
            <v>0.15543999999999999</v>
          </cell>
        </row>
        <row r="1496">
          <cell r="J1496" t="str">
            <v>Scope 3WTT- delivery vehs &amp; freightWTT- HGV (all diesel)All artics0% Ladenmiles</v>
          </cell>
          <cell r="K1496" t="str">
            <v>All artics miles WTT- HGV (all diesel)</v>
          </cell>
          <cell r="L1496">
            <v>0.25014999999999998</v>
          </cell>
        </row>
        <row r="1497">
          <cell r="J1497" t="str">
            <v>Scope 3WTT- delivery vehs &amp; freightWTT- HGV (all diesel)All artics0% Ladentonne.km</v>
          </cell>
          <cell r="K1497" t="str">
            <v>All artics tonne.km WTT- HGV (all diesel)</v>
          </cell>
        </row>
        <row r="1498">
          <cell r="J1498" t="str">
            <v>Scope 3WTT- delivery vehs &amp; freightWTT- HGV (all diesel)All artics50% Ladenkm</v>
          </cell>
          <cell r="K1498" t="str">
            <v>All artics km WTT- HGV (all diesel)</v>
          </cell>
          <cell r="L1498">
            <v>0.20674000000000001</v>
          </cell>
        </row>
        <row r="1499">
          <cell r="J1499" t="str">
            <v>Scope 3WTT- delivery vehs &amp; freightWTT- HGV (all diesel)All artics50% Ladenmiles</v>
          </cell>
          <cell r="K1499" t="str">
            <v>All artics miles WTT- HGV (all diesel)</v>
          </cell>
          <cell r="L1499">
            <v>0.33271000000000001</v>
          </cell>
        </row>
        <row r="1500">
          <cell r="J1500" t="str">
            <v>Scope 3WTT- delivery vehs &amp; freightWTT- HGV (all diesel)All artics50% Ladentonne.km</v>
          </cell>
          <cell r="K1500" t="str">
            <v>All artics tonne.km WTT- HGV (all diesel)</v>
          </cell>
          <cell r="L1500">
            <v>2.3029999999999998E-2</v>
          </cell>
        </row>
        <row r="1501">
          <cell r="J1501" t="str">
            <v>Scope 3WTT- delivery vehs &amp; freightWTT- HGV (all diesel)All artics100% Ladenkm</v>
          </cell>
          <cell r="K1501" t="str">
            <v>All artics km WTT- HGV (all diesel)</v>
          </cell>
          <cell r="L1501">
            <v>0.25803999999999999</v>
          </cell>
        </row>
        <row r="1502">
          <cell r="J1502" t="str">
            <v>Scope 3WTT- delivery vehs &amp; freightWTT- HGV (all diesel)All artics100% Ladenmiles</v>
          </cell>
          <cell r="K1502" t="str">
            <v>All artics miles WTT- HGV (all diesel)</v>
          </cell>
          <cell r="L1502">
            <v>0.41527999999999998</v>
          </cell>
        </row>
        <row r="1503">
          <cell r="J1503" t="str">
            <v>Scope 3WTT- delivery vehs &amp; freightWTT- HGV (all diesel)All artics100% Ladentonne.km</v>
          </cell>
          <cell r="K1503" t="str">
            <v>All artics tonne.km WTT- HGV (all diesel)</v>
          </cell>
          <cell r="L1503">
            <v>1.4370000000000001E-2</v>
          </cell>
        </row>
        <row r="1504">
          <cell r="J1504" t="str">
            <v>Scope 3WTT- delivery vehs &amp; freightWTT- HGV (all diesel)All articsAverage ladenkm</v>
          </cell>
          <cell r="K1504" t="str">
            <v>All artics km WTT- HGV (all diesel)</v>
          </cell>
          <cell r="L1504">
            <v>0.21962000000000001</v>
          </cell>
        </row>
        <row r="1505">
          <cell r="J1505" t="str">
            <v>Scope 3WTT- delivery vehs &amp; freightWTT- HGV (all diesel)All articsAverage ladenmiles</v>
          </cell>
          <cell r="K1505" t="str">
            <v>All artics miles WTT- HGV (all diesel)</v>
          </cell>
          <cell r="L1505">
            <v>0.35343999999999998</v>
          </cell>
        </row>
        <row r="1506">
          <cell r="J1506" t="str">
            <v>Scope 3WTT- delivery vehs &amp; freightWTT- HGV (all diesel)All articsAverage ladentonne.km</v>
          </cell>
          <cell r="K1506" t="str">
            <v>All artics tonne.km WTT- HGV (all diesel)</v>
          </cell>
          <cell r="L1506">
            <v>1.959E-2</v>
          </cell>
        </row>
        <row r="1507">
          <cell r="J1507" t="str">
            <v>Scope 3WTT- delivery vehs &amp; freightWTT- HGV (all diesel)All HGVs0% Ladenkm</v>
          </cell>
          <cell r="K1507" t="str">
            <v>All HGVs km WTT- HGV (all diesel)</v>
          </cell>
          <cell r="L1507">
            <v>0.15772</v>
          </cell>
        </row>
        <row r="1508">
          <cell r="J1508" t="str">
            <v>Scope 3WTT- delivery vehs &amp; freightWTT- HGV (all diesel)All HGVs0% Ladenmiles</v>
          </cell>
          <cell r="K1508" t="str">
            <v>All HGVs miles WTT- HGV (all diesel)</v>
          </cell>
          <cell r="L1508">
            <v>0.25383</v>
          </cell>
        </row>
        <row r="1509">
          <cell r="J1509" t="str">
            <v>Scope 3WTT- delivery vehs &amp; freightWTT- HGV (all diesel)All HGVs0% Ladentonne.km</v>
          </cell>
          <cell r="K1509" t="str">
            <v>All HGVs tonne.km WTT- HGV (all diesel)</v>
          </cell>
        </row>
        <row r="1510">
          <cell r="J1510" t="str">
            <v>Scope 3WTT- delivery vehs &amp; freightWTT- HGV (all diesel)All HGVs50% Ladenkm</v>
          </cell>
          <cell r="K1510" t="str">
            <v>All HGVs km WTT- HGV (all diesel)</v>
          </cell>
          <cell r="L1510">
            <v>0.20016</v>
          </cell>
        </row>
        <row r="1511">
          <cell r="J1511" t="str">
            <v>Scope 3WTT- delivery vehs &amp; freightWTT- HGV (all diesel)All HGVs50% Ladenmiles</v>
          </cell>
          <cell r="K1511" t="str">
            <v>All HGVs miles WTT- HGV (all diesel)</v>
          </cell>
          <cell r="L1511">
            <v>0.32212000000000002</v>
          </cell>
        </row>
        <row r="1512">
          <cell r="J1512" t="str">
            <v>Scope 3WTT- delivery vehs &amp; freightWTT- HGV (all diesel)All HGVs50% Ladentonne.km</v>
          </cell>
          <cell r="K1512" t="str">
            <v>All HGVs tonne.km WTT- HGV (all diesel)</v>
          </cell>
          <cell r="L1512">
            <v>2.9360000000000001E-2</v>
          </cell>
        </row>
        <row r="1513">
          <cell r="J1513" t="str">
            <v>Scope 3WTT- delivery vehs &amp; freightWTT- HGV (all diesel)All HGVs100% Ladenkm</v>
          </cell>
          <cell r="K1513" t="str">
            <v>All HGVs km WTT- HGV (all diesel)</v>
          </cell>
          <cell r="L1513">
            <v>0.24259</v>
          </cell>
        </row>
        <row r="1514">
          <cell r="J1514" t="str">
            <v>Scope 3WTT- delivery vehs &amp; freightWTT- HGV (all diesel)All HGVs100% Ladenmiles</v>
          </cell>
          <cell r="K1514" t="str">
            <v>All HGVs miles WTT- HGV (all diesel)</v>
          </cell>
          <cell r="L1514">
            <v>0.39041999999999999</v>
          </cell>
        </row>
        <row r="1515">
          <cell r="J1515" t="str">
            <v>Scope 3WTT- delivery vehs &amp; freightWTT- HGV (all diesel)All HGVs100% Ladentonne.km</v>
          </cell>
          <cell r="K1515" t="str">
            <v>All HGVs tonne.km WTT- HGV (all diesel)</v>
          </cell>
          <cell r="L1515">
            <v>1.787E-2</v>
          </cell>
        </row>
        <row r="1516">
          <cell r="J1516" t="str">
            <v>Scope 3WTT- delivery vehs &amp; freightWTT- HGV (all diesel)All HGVsAverage ladenkm</v>
          </cell>
          <cell r="K1516" t="str">
            <v>All HGVs km WTT- HGV (all diesel)</v>
          </cell>
          <cell r="L1516">
            <v>0.20888999999999999</v>
          </cell>
        </row>
        <row r="1517">
          <cell r="J1517" t="str">
            <v>Scope 3WTT- delivery vehs &amp; freightWTT- HGV (all diesel)All HGVsAverage ladenmiles</v>
          </cell>
          <cell r="K1517" t="str">
            <v>All HGVs miles WTT- HGV (all diesel)</v>
          </cell>
          <cell r="L1517">
            <v>0.33617999999999998</v>
          </cell>
        </row>
        <row r="1518">
          <cell r="J1518" t="str">
            <v>Scope 3WTT- delivery vehs &amp; freightWTT- HGV (all diesel)All HGVsAverage ladentonne.km</v>
          </cell>
          <cell r="K1518" t="str">
            <v>All HGVs tonne.km WTT- HGV (all diesel)</v>
          </cell>
          <cell r="L1518">
            <v>2.5989999999999999E-2</v>
          </cell>
        </row>
        <row r="1519">
          <cell r="J1519" t="str">
            <v>Scope 3WTT- delivery vehs &amp; freightWTT- HGV refrigerated (all diesel)Rigid (&gt;3.5 - 7.5 tonnes)0% Ladenkm</v>
          </cell>
          <cell r="K1519" t="str">
            <v>Rigid (&gt;3.5 - 7.5 tonnes) km WTT- HGV refrigerated (all diesel)</v>
          </cell>
          <cell r="L1519">
            <v>0.12878999999999999</v>
          </cell>
        </row>
        <row r="1520">
          <cell r="J1520" t="str">
            <v>Scope 3WTT- delivery vehs &amp; freightWTT- HGV refrigerated (all diesel)Rigid (&gt;3.5 - 7.5 tonnes)0% Ladenmiles</v>
          </cell>
          <cell r="K1520" t="str">
            <v>Rigid (&gt;3.5 - 7.5 tonnes) miles WTT- HGV refrigerated (all diesel)</v>
          </cell>
          <cell r="L1520">
            <v>0.20727000000000001</v>
          </cell>
        </row>
        <row r="1521">
          <cell r="J1521" t="str">
            <v>Scope 3WTT- delivery vehs &amp; freightWTT- HGV refrigerated (all diesel)Rigid (&gt;3.5 - 7.5 tonnes)0% Ladentonne.km</v>
          </cell>
          <cell r="K1521" t="str">
            <v>Rigid (&gt;3.5 - 7.5 tonnes) tonne.km WTT- HGV refrigerated (all diesel)</v>
          </cell>
        </row>
        <row r="1522">
          <cell r="J1522" t="str">
            <v>Scope 3WTT- delivery vehs &amp; freightWTT- HGV refrigerated (all diesel)Rigid (&gt;3.5 - 7.5 tonnes)50% Ladenkm</v>
          </cell>
          <cell r="K1522" t="str">
            <v>Rigid (&gt;3.5 - 7.5 tonnes) km WTT- HGV refrigerated (all diesel)</v>
          </cell>
          <cell r="L1522">
            <v>0.13999</v>
          </cell>
        </row>
        <row r="1523">
          <cell r="J1523" t="str">
            <v>Scope 3WTT- delivery vehs &amp; freightWTT- HGV refrigerated (all diesel)Rigid (&gt;3.5 - 7.5 tonnes)50% Ladenmiles</v>
          </cell>
          <cell r="K1523" t="str">
            <v>Rigid (&gt;3.5 - 7.5 tonnes) miles WTT- HGV refrigerated (all diesel)</v>
          </cell>
          <cell r="L1523">
            <v>0.2253</v>
          </cell>
        </row>
        <row r="1524">
          <cell r="J1524" t="str">
            <v>Scope 3WTT- delivery vehs &amp; freightWTT- HGV refrigerated (all diesel)Rigid (&gt;3.5 - 7.5 tonnes)50% Ladentonne.km</v>
          </cell>
          <cell r="K1524" t="str">
            <v>Rigid (&gt;3.5 - 7.5 tonnes) tonne.km WTT- HGV refrigerated (all diesel)</v>
          </cell>
          <cell r="L1524">
            <v>0.13044</v>
          </cell>
        </row>
        <row r="1525">
          <cell r="J1525" t="str">
            <v>Scope 3WTT- delivery vehs &amp; freightWTT- HGV refrigerated (all diesel)Rigid (&gt;3.5 - 7.5 tonnes)100% Ladenkm</v>
          </cell>
          <cell r="K1525" t="str">
            <v>Rigid (&gt;3.5 - 7.5 tonnes) km WTT- HGV refrigerated (all diesel)</v>
          </cell>
          <cell r="L1525">
            <v>0.15118999999999999</v>
          </cell>
        </row>
        <row r="1526">
          <cell r="J1526" t="str">
            <v>Scope 3WTT- delivery vehs &amp; freightWTT- HGV refrigerated (all diesel)Rigid (&gt;3.5 - 7.5 tonnes)100% Ladenmiles</v>
          </cell>
          <cell r="K1526" t="str">
            <v>Rigid (&gt;3.5 - 7.5 tonnes) miles WTT- HGV refrigerated (all diesel)</v>
          </cell>
          <cell r="L1526">
            <v>0.24332000000000001</v>
          </cell>
        </row>
        <row r="1527">
          <cell r="J1527" t="str">
            <v>Scope 3WTT- delivery vehs &amp; freightWTT- HGV refrigerated (all diesel)Rigid (&gt;3.5 - 7.5 tonnes)100% Ladentonne.km</v>
          </cell>
          <cell r="K1527" t="str">
            <v>Rigid (&gt;3.5 - 7.5 tonnes) tonne.km WTT- HGV refrigerated (all diesel)</v>
          </cell>
          <cell r="L1527">
            <v>7.0440000000000003E-2</v>
          </cell>
        </row>
        <row r="1528">
          <cell r="J1528" t="str">
            <v>Scope 3WTT- delivery vehs &amp; freightWTT- HGV refrigerated (all diesel)Rigid (&gt;3.5 - 7.5 tonnes)Average ladenkm</v>
          </cell>
          <cell r="K1528" t="str">
            <v>Rigid (&gt;3.5 - 7.5 tonnes) km WTT- HGV refrigerated (all diesel)</v>
          </cell>
          <cell r="L1528">
            <v>0.1391</v>
          </cell>
        </row>
        <row r="1529">
          <cell r="J1529" t="str">
            <v>Scope 3WTT- delivery vehs &amp; freightWTT- HGV refrigerated (all diesel)Rigid (&gt;3.5 - 7.5 tonnes)Average ladenmiles</v>
          </cell>
          <cell r="K1529" t="str">
            <v>Rigid (&gt;3.5 - 7.5 tonnes) miles WTT- HGV refrigerated (all diesel)</v>
          </cell>
          <cell r="L1529">
            <v>0.22384999999999999</v>
          </cell>
        </row>
        <row r="1530">
          <cell r="J1530" t="str">
            <v>Scope 3WTT- delivery vehs &amp; freightWTT- HGV refrigerated (all diesel)Rigid (&gt;3.5 - 7.5 tonnes)Average ladentonne.km</v>
          </cell>
          <cell r="K1530" t="str">
            <v>Rigid (&gt;3.5 - 7.5 tonnes) tonne.km WTT- HGV refrigerated (all diesel)</v>
          </cell>
          <cell r="L1530">
            <v>0.14088000000000001</v>
          </cell>
        </row>
        <row r="1531">
          <cell r="J1531" t="str">
            <v>Scope 3WTT- delivery vehs &amp; freightWTT- HGV refrigerated (all diesel)Rigid (&gt;7.5 tonnes-17 tonnes)0% Ladenkm</v>
          </cell>
          <cell r="K1531" t="str">
            <v>Rigid (&gt;7.5 tonnes-17 tonnes) km WTT- HGV refrigerated (all diesel)</v>
          </cell>
          <cell r="L1531">
            <v>0.15461</v>
          </cell>
        </row>
        <row r="1532">
          <cell r="J1532" t="str">
            <v>Scope 3WTT- delivery vehs &amp; freightWTT- HGV refrigerated (all diesel)Rigid (&gt;7.5 tonnes-17 tonnes)0% Ladenmiles</v>
          </cell>
          <cell r="K1532" t="str">
            <v>Rigid (&gt;7.5 tonnes-17 tonnes) miles WTT- HGV refrigerated (all diesel)</v>
          </cell>
          <cell r="L1532">
            <v>0.24882000000000001</v>
          </cell>
        </row>
        <row r="1533">
          <cell r="J1533" t="str">
            <v>Scope 3WTT- delivery vehs &amp; freightWTT- HGV refrigerated (all diesel)Rigid (&gt;7.5 tonnes-17 tonnes)0% Ladentonne.km</v>
          </cell>
          <cell r="K1533" t="str">
            <v>Rigid (&gt;7.5 tonnes-17 tonnes) tonne.km WTT- HGV refrigerated (all diesel)</v>
          </cell>
        </row>
        <row r="1534">
          <cell r="J1534" t="str">
            <v>Scope 3WTT- delivery vehs &amp; freightWTT- HGV refrigerated (all diesel)Rigid (&gt;7.5 tonnes-17 tonnes)50% Ladenkm</v>
          </cell>
          <cell r="K1534" t="str">
            <v>Rigid (&gt;7.5 tonnes-17 tonnes) km WTT- HGV refrigerated (all diesel)</v>
          </cell>
          <cell r="L1534">
            <v>0.1767</v>
          </cell>
        </row>
        <row r="1535">
          <cell r="J1535" t="str">
            <v>Scope 3WTT- delivery vehs &amp; freightWTT- HGV refrigerated (all diesel)Rigid (&gt;7.5 tonnes-17 tonnes)50% Ladenmiles</v>
          </cell>
          <cell r="K1535" t="str">
            <v>Rigid (&gt;7.5 tonnes-17 tonnes) miles WTT- HGV refrigerated (all diesel)</v>
          </cell>
          <cell r="L1535">
            <v>0.28437000000000001</v>
          </cell>
        </row>
        <row r="1536">
          <cell r="J1536" t="str">
            <v>Scope 3WTT- delivery vehs &amp; freightWTT- HGV refrigerated (all diesel)Rigid (&gt;7.5 tonnes-17 tonnes)50% Ladentonne.km</v>
          </cell>
          <cell r="K1536" t="str">
            <v>Rigid (&gt;7.5 tonnes-17 tonnes) tonne.km WTT- HGV refrigerated (all diesel)</v>
          </cell>
          <cell r="L1536">
            <v>6.9610000000000005E-2</v>
          </cell>
        </row>
        <row r="1537">
          <cell r="J1537" t="str">
            <v>Scope 3WTT- delivery vehs &amp; freightWTT- HGV refrigerated (all diesel)Rigid (&gt;7.5 tonnes-17 tonnes)100% Ladenkm</v>
          </cell>
          <cell r="K1537" t="str">
            <v>Rigid (&gt;7.5 tonnes-17 tonnes) km WTT- HGV refrigerated (all diesel)</v>
          </cell>
          <cell r="L1537">
            <v>0.19878000000000001</v>
          </cell>
        </row>
        <row r="1538">
          <cell r="J1538" t="str">
            <v>Scope 3WTT- delivery vehs &amp; freightWTT- HGV refrigerated (all diesel)Rigid (&gt;7.5 tonnes-17 tonnes)100% Ladenmiles</v>
          </cell>
          <cell r="K1538" t="str">
            <v>Rigid (&gt;7.5 tonnes-17 tonnes) miles WTT- HGV refrigerated (all diesel)</v>
          </cell>
          <cell r="L1538">
            <v>0.31991000000000003</v>
          </cell>
        </row>
        <row r="1539">
          <cell r="J1539" t="str">
            <v>Scope 3WTT- delivery vehs &amp; freightWTT- HGV refrigerated (all diesel)Rigid (&gt;7.5 tonnes-17 tonnes)100% Ladentonne.km</v>
          </cell>
          <cell r="K1539" t="str">
            <v>Rigid (&gt;7.5 tonnes-17 tonnes) tonne.km WTT- HGV refrigerated (all diesel)</v>
          </cell>
          <cell r="L1539">
            <v>3.9149999999999997E-2</v>
          </cell>
        </row>
        <row r="1540">
          <cell r="J1540" t="str">
            <v>Scope 3WTT- delivery vehs &amp; freightWTT- HGV refrigerated (all diesel)Rigid (&gt;7.5 tonnes-17 tonnes)Average ladenkm</v>
          </cell>
          <cell r="K1540" t="str">
            <v>Rigid (&gt;7.5 tonnes-17 tonnes) km WTT- HGV refrigerated (all diesel)</v>
          </cell>
          <cell r="L1540">
            <v>0.16963</v>
          </cell>
        </row>
        <row r="1541">
          <cell r="J1541" t="str">
            <v>Scope 3WTT- delivery vehs &amp; freightWTT- HGV refrigerated (all diesel)Rigid (&gt;7.5 tonnes-17 tonnes)Average ladenmiles</v>
          </cell>
          <cell r="K1541" t="str">
            <v>Rigid (&gt;7.5 tonnes-17 tonnes) miles WTT- HGV refrigerated (all diesel)</v>
          </cell>
          <cell r="L1541">
            <v>0.27299000000000001</v>
          </cell>
        </row>
        <row r="1542">
          <cell r="J1542" t="str">
            <v>Scope 3WTT- delivery vehs &amp; freightWTT- HGV refrigerated (all diesel)Rigid (&gt;7.5 tonnes-17 tonnes)Average ladentonne.km</v>
          </cell>
          <cell r="K1542" t="str">
            <v>Rigid (&gt;7.5 tonnes-17 tonnes) tonne.km WTT- HGV refrigerated (all diesel)</v>
          </cell>
          <cell r="L1542">
            <v>9.8269999999999996E-2</v>
          </cell>
        </row>
        <row r="1543">
          <cell r="J1543" t="str">
            <v>Scope 3WTT- delivery vehs &amp; freightWTT- HGV refrigerated (all diesel)Rigid (&gt;17 tonnes)0% Ladenkm</v>
          </cell>
          <cell r="K1543" t="str">
            <v>Rigid (&gt;17 tonnes) km WTT- HGV refrigerated (all diesel)</v>
          </cell>
          <cell r="L1543">
            <v>0.22103999999999999</v>
          </cell>
        </row>
        <row r="1544">
          <cell r="J1544" t="str">
            <v>Scope 3WTT- delivery vehs &amp; freightWTT- HGV refrigerated (all diesel)Rigid (&gt;17 tonnes)0% Ladenmiles</v>
          </cell>
          <cell r="K1544" t="str">
            <v>Rigid (&gt;17 tonnes) miles WTT- HGV refrigerated (all diesel)</v>
          </cell>
          <cell r="L1544">
            <v>0.35574</v>
          </cell>
        </row>
        <row r="1545">
          <cell r="J1545" t="str">
            <v>Scope 3WTT- delivery vehs &amp; freightWTT- HGV refrigerated (all diesel)Rigid (&gt;17 tonnes)0% Ladentonne.km</v>
          </cell>
          <cell r="K1545" t="str">
            <v>Rigid (&gt;17 tonnes) tonne.km WTT- HGV refrigerated (all diesel)</v>
          </cell>
        </row>
        <row r="1546">
          <cell r="J1546" t="str">
            <v>Scope 3WTT- delivery vehs &amp; freightWTT- HGV refrigerated (all diesel)Rigid (&gt;17 tonnes)50% Ladenkm</v>
          </cell>
          <cell r="K1546" t="str">
            <v>Rigid (&gt;17 tonnes) km WTT- HGV refrigerated (all diesel)</v>
          </cell>
          <cell r="L1546">
            <v>0.26956999999999998</v>
          </cell>
        </row>
        <row r="1547">
          <cell r="J1547" t="str">
            <v>Scope 3WTT- delivery vehs &amp; freightWTT- HGV refrigerated (all diesel)Rigid (&gt;17 tonnes)50% Ladenmiles</v>
          </cell>
          <cell r="K1547" t="str">
            <v>Rigid (&gt;17 tonnes) miles WTT- HGV refrigerated (all diesel)</v>
          </cell>
          <cell r="L1547">
            <v>0.43382999999999999</v>
          </cell>
        </row>
        <row r="1548">
          <cell r="J1548" t="str">
            <v>Scope 3WTT- delivery vehs &amp; freightWTT- HGV refrigerated (all diesel)Rigid (&gt;17 tonnes)50% Ladentonne.km</v>
          </cell>
          <cell r="K1548" t="str">
            <v>Rigid (&gt;17 tonnes) tonne.km WTT- HGV refrigerated (all diesel)</v>
          </cell>
          <cell r="L1548">
            <v>5.8999999999999997E-2</v>
          </cell>
        </row>
        <row r="1549">
          <cell r="J1549" t="str">
            <v>Scope 3WTT- delivery vehs &amp; freightWTT- HGV refrigerated (all diesel)Rigid (&gt;17 tonnes)100% Ladenkm</v>
          </cell>
          <cell r="K1549" t="str">
            <v>Rigid (&gt;17 tonnes) km WTT- HGV refrigerated (all diesel)</v>
          </cell>
          <cell r="L1549">
            <v>0.31808999999999998</v>
          </cell>
        </row>
        <row r="1550">
          <cell r="J1550" t="str">
            <v>Scope 3WTT- delivery vehs &amp; freightWTT- HGV refrigerated (all diesel)Rigid (&gt;17 tonnes)100% Ladenmiles</v>
          </cell>
          <cell r="K1550" t="str">
            <v>Rigid (&gt;17 tonnes) miles WTT- HGV refrigerated (all diesel)</v>
          </cell>
          <cell r="L1550">
            <v>0.51190999999999998</v>
          </cell>
        </row>
        <row r="1551">
          <cell r="J1551" t="str">
            <v>Scope 3WTT- delivery vehs &amp; freightWTT- HGV refrigerated (all diesel)Rigid (&gt;17 tonnes)100% Ladentonne.km</v>
          </cell>
          <cell r="K1551" t="str">
            <v>Rigid (&gt;17 tonnes) tonne.km WTT- HGV refrigerated (all diesel)</v>
          </cell>
          <cell r="L1551">
            <v>3.4810000000000001E-2</v>
          </cell>
        </row>
        <row r="1552">
          <cell r="J1552" t="str">
            <v>Scope 3WTT- delivery vehs &amp; freightWTT- HGV refrigerated (all diesel)Rigid (&gt;17 tonnes)Average ladenkm</v>
          </cell>
          <cell r="K1552" t="str">
            <v>Rigid (&gt;17 tonnes) km WTT- HGV refrigerated (all diesel)</v>
          </cell>
          <cell r="L1552">
            <v>0.27709</v>
          </cell>
        </row>
        <row r="1553">
          <cell r="J1553" t="str">
            <v>Scope 3WTT- delivery vehs &amp; freightWTT- HGV refrigerated (all diesel)Rigid (&gt;17 tonnes)Average ladenmiles</v>
          </cell>
          <cell r="K1553" t="str">
            <v>Rigid (&gt;17 tonnes) miles WTT- HGV refrigerated (all diesel)</v>
          </cell>
          <cell r="L1553">
            <v>0.44594</v>
          </cell>
        </row>
        <row r="1554">
          <cell r="J1554" t="str">
            <v>Scope 3WTT- delivery vehs &amp; freightWTT- HGV refrigerated (all diesel)Rigid (&gt;17 tonnes)Average ladentonne.km</v>
          </cell>
          <cell r="K1554" t="str">
            <v>Rigid (&gt;17 tonnes) tonne.km WTT- HGV refrigerated (all diesel)</v>
          </cell>
          <cell r="L1554">
            <v>5.2499999999999998E-2</v>
          </cell>
        </row>
        <row r="1555">
          <cell r="J1555" t="str">
            <v>Scope 3WTT- delivery vehs &amp; freightWTT- HGV refrigerated (all diesel)All rigids0% Ladenkm</v>
          </cell>
          <cell r="K1555" t="str">
            <v>All rigids km WTT- HGV refrigerated (all diesel)</v>
          </cell>
          <cell r="L1555">
            <v>0.19173999999999999</v>
          </cell>
        </row>
        <row r="1556">
          <cell r="J1556" t="str">
            <v>Scope 3WTT- delivery vehs &amp; freightWTT- HGV refrigerated (all diesel)All rigids0% Ladenmiles</v>
          </cell>
          <cell r="K1556" t="str">
            <v>All rigids miles WTT- HGV refrigerated (all diesel)</v>
          </cell>
          <cell r="L1556">
            <v>0.30857000000000001</v>
          </cell>
        </row>
        <row r="1557">
          <cell r="J1557" t="str">
            <v>Scope 3WTT- delivery vehs &amp; freightWTT- HGV refrigerated (all diesel)All rigids0% Ladentonne.km</v>
          </cell>
          <cell r="K1557" t="str">
            <v>All rigids tonne.km WTT- HGV refrigerated (all diesel)</v>
          </cell>
        </row>
        <row r="1558">
          <cell r="J1558" t="str">
            <v>Scope 3WTT- delivery vehs &amp; freightWTT- HGV refrigerated (all diesel)All rigids50% Ladenkm</v>
          </cell>
          <cell r="K1558" t="str">
            <v>All rigids km WTT- HGV refrigerated (all diesel)</v>
          </cell>
          <cell r="L1558">
            <v>0.22844999999999999</v>
          </cell>
        </row>
        <row r="1559">
          <cell r="J1559" t="str">
            <v>Scope 3WTT- delivery vehs &amp; freightWTT- HGV refrigerated (all diesel)All rigids50% Ladenmiles</v>
          </cell>
          <cell r="K1559" t="str">
            <v>All rigids miles WTT- HGV refrigerated (all diesel)</v>
          </cell>
          <cell r="L1559">
            <v>0.36765999999999999</v>
          </cell>
        </row>
        <row r="1560">
          <cell r="J1560" t="str">
            <v>Scope 3WTT- delivery vehs &amp; freightWTT- HGV refrigerated (all diesel)All rigids50% Ladentonne.km</v>
          </cell>
          <cell r="K1560" t="str">
            <v>All rigids tonne.km WTT- HGV refrigerated (all diesel)</v>
          </cell>
          <cell r="L1560">
            <v>6.3880000000000006E-2</v>
          </cell>
        </row>
        <row r="1561">
          <cell r="J1561" t="str">
            <v>Scope 3WTT- delivery vehs &amp; freightWTT- HGV refrigerated (all diesel)All rigids100% Ladenkm</v>
          </cell>
          <cell r="K1561" t="str">
            <v>All rigids km WTT- HGV refrigerated (all diesel)</v>
          </cell>
          <cell r="L1561">
            <v>0.26517000000000002</v>
          </cell>
        </row>
        <row r="1562">
          <cell r="J1562" t="str">
            <v>Scope 3WTT- delivery vehs &amp; freightWTT- HGV refrigerated (all diesel)All rigids100% Ladenmiles</v>
          </cell>
          <cell r="K1562" t="str">
            <v>All rigids miles WTT- HGV refrigerated (all diesel)</v>
          </cell>
          <cell r="L1562">
            <v>0.42674000000000001</v>
          </cell>
        </row>
        <row r="1563">
          <cell r="J1563" t="str">
            <v>Scope 3WTT- delivery vehs &amp; freightWTT- HGV refrigerated (all diesel)All rigids100% Ladentonne.km</v>
          </cell>
          <cell r="K1563" t="str">
            <v>All rigids tonne.km WTT- HGV refrigerated (all diesel)</v>
          </cell>
          <cell r="L1563">
            <v>3.7199999999999997E-2</v>
          </cell>
        </row>
        <row r="1564">
          <cell r="J1564" t="str">
            <v>Scope 3WTT- delivery vehs &amp; freightWTT- HGV refrigerated (all diesel)All rigidsAverage ladenkm</v>
          </cell>
          <cell r="K1564" t="str">
            <v>All rigids km WTT- HGV refrigerated (all diesel)</v>
          </cell>
          <cell r="L1564">
            <v>0.23236999999999999</v>
          </cell>
        </row>
        <row r="1565">
          <cell r="J1565" t="str">
            <v>Scope 3WTT- delivery vehs &amp; freightWTT- HGV refrigerated (all diesel)All rigidsAverage ladenmiles</v>
          </cell>
          <cell r="K1565" t="str">
            <v>All rigids miles WTT- HGV refrigerated (all diesel)</v>
          </cell>
          <cell r="L1565">
            <v>0.37397000000000002</v>
          </cell>
        </row>
        <row r="1566">
          <cell r="J1566" t="str">
            <v>Scope 3WTT- delivery vehs &amp; freightWTT- HGV refrigerated (all diesel)All rigidsAverage ladentonne.km</v>
          </cell>
          <cell r="K1566" t="str">
            <v>All rigids tonne.km WTT- HGV refrigerated (all diesel)</v>
          </cell>
          <cell r="L1566">
            <v>6.0130000000000003E-2</v>
          </cell>
        </row>
        <row r="1567">
          <cell r="J1567" t="str">
            <v>Scope 3WTT- delivery vehs &amp; freightWTT- HGV refrigerated (all diesel)Articulated (&gt;3.5 - 33t)0% Ladenkm</v>
          </cell>
          <cell r="K1567" t="str">
            <v>Articulated (&gt;3.5 - 33t) km WTT- HGV refrigerated (all diesel)</v>
          </cell>
          <cell r="L1567">
            <v>0.17369999999999999</v>
          </cell>
        </row>
        <row r="1568">
          <cell r="J1568" t="str">
            <v>Scope 3WTT- delivery vehs &amp; freightWTT- HGV refrigerated (all diesel)Articulated (&gt;3.5 - 33t)0% Ladenmiles</v>
          </cell>
          <cell r="K1568" t="str">
            <v>Articulated (&gt;3.5 - 33t) miles WTT- HGV refrigerated (all diesel)</v>
          </cell>
          <cell r="L1568">
            <v>0.27954000000000001</v>
          </cell>
        </row>
        <row r="1569">
          <cell r="J1569" t="str">
            <v>Scope 3WTT- delivery vehs &amp; freightWTT- HGV refrigerated (all diesel)Articulated (&gt;3.5 - 33t)0% Ladentonne.km</v>
          </cell>
          <cell r="K1569" t="str">
            <v>Articulated (&gt;3.5 - 33t) tonne.km WTT- HGV refrigerated (all diesel)</v>
          </cell>
        </row>
        <row r="1570">
          <cell r="J1570" t="str">
            <v>Scope 3WTT- delivery vehs &amp; freightWTT- HGV refrigerated (all diesel)Articulated (&gt;3.5 - 33t)50% Ladenkm</v>
          </cell>
          <cell r="K1570" t="str">
            <v>Articulated (&gt;3.5 - 33t) km WTT- HGV refrigerated (all diesel)</v>
          </cell>
          <cell r="L1570">
            <v>0.21712000000000001</v>
          </cell>
        </row>
        <row r="1571">
          <cell r="J1571" t="str">
            <v>Scope 3WTT- delivery vehs &amp; freightWTT- HGV refrigerated (all diesel)Articulated (&gt;3.5 - 33t)50% Ladenmiles</v>
          </cell>
          <cell r="K1571" t="str">
            <v>Articulated (&gt;3.5 - 33t) miles WTT- HGV refrigerated (all diesel)</v>
          </cell>
          <cell r="L1571">
            <v>0.34942000000000001</v>
          </cell>
        </row>
        <row r="1572">
          <cell r="J1572" t="str">
            <v>Scope 3WTT- delivery vehs &amp; freightWTT- HGV refrigerated (all diesel)Articulated (&gt;3.5 - 33t)50% Ladentonne.km</v>
          </cell>
          <cell r="K1572" t="str">
            <v>Articulated (&gt;3.5 - 33t) tonne.km WTT- HGV refrigerated (all diesel)</v>
          </cell>
          <cell r="L1572">
            <v>3.4189999999999998E-2</v>
          </cell>
        </row>
        <row r="1573">
          <cell r="J1573" t="str">
            <v>Scope 3WTT- delivery vehs &amp; freightWTT- HGV refrigerated (all diesel)Articulated (&gt;3.5 - 33t)100% Ladenkm</v>
          </cell>
          <cell r="K1573" t="str">
            <v>Articulated (&gt;3.5 - 33t) km WTT- HGV refrigerated (all diesel)</v>
          </cell>
          <cell r="L1573">
            <v>0.26055</v>
          </cell>
        </row>
        <row r="1574">
          <cell r="J1574" t="str">
            <v>Scope 3WTT- delivery vehs &amp; freightWTT- HGV refrigerated (all diesel)Articulated (&gt;3.5 - 33t)100% Ladenmiles</v>
          </cell>
          <cell r="K1574" t="str">
            <v>Articulated (&gt;3.5 - 33t) miles WTT- HGV refrigerated (all diesel)</v>
          </cell>
          <cell r="L1574">
            <v>0.41931000000000002</v>
          </cell>
        </row>
        <row r="1575">
          <cell r="J1575" t="str">
            <v>Scope 3WTT- delivery vehs &amp; freightWTT- HGV refrigerated (all diesel)Articulated (&gt;3.5 - 33t)100% Ladentonne.km</v>
          </cell>
          <cell r="K1575" t="str">
            <v>Articulated (&gt;3.5 - 33t) tonne.km WTT- HGV refrigerated (all diesel)</v>
          </cell>
          <cell r="L1575">
            <v>2.051E-2</v>
          </cell>
        </row>
        <row r="1576">
          <cell r="J1576" t="str">
            <v>Scope 3WTT- delivery vehs &amp; freightWTT- HGV refrigerated (all diesel)Articulated (&gt;3.5 - 33t)Average ladenkm</v>
          </cell>
          <cell r="K1576" t="str">
            <v>Articulated (&gt;3.5 - 33t) km WTT- HGV refrigerated (all diesel)</v>
          </cell>
          <cell r="L1576">
            <v>0.21539</v>
          </cell>
        </row>
        <row r="1577">
          <cell r="J1577" t="str">
            <v>Scope 3WTT- delivery vehs &amp; freightWTT- HGV refrigerated (all diesel)Articulated (&gt;3.5 - 33t)Average ladenmiles</v>
          </cell>
          <cell r="K1577" t="str">
            <v>Articulated (&gt;3.5 - 33t) miles WTT- HGV refrigerated (all diesel)</v>
          </cell>
          <cell r="L1577">
            <v>0.34662999999999999</v>
          </cell>
        </row>
        <row r="1578">
          <cell r="J1578" t="str">
            <v>Scope 3WTT- delivery vehs &amp; freightWTT- HGV refrigerated (all diesel)Articulated (&gt;3.5 - 33t)Average ladentonne.km</v>
          </cell>
          <cell r="K1578" t="str">
            <v>Articulated (&gt;3.5 - 33t) tonne.km WTT- HGV refrigerated (all diesel)</v>
          </cell>
          <cell r="L1578">
            <v>3.533E-2</v>
          </cell>
        </row>
        <row r="1579">
          <cell r="J1579" t="str">
            <v>Scope 3WTT- delivery vehs &amp; freightWTT- HGV refrigerated (all diesel)Articulated (&gt;33t)0% Ladenkm</v>
          </cell>
          <cell r="K1579" t="str">
            <v>Articulated (&gt;33t) km WTT- HGV refrigerated (all diesel)</v>
          </cell>
          <cell r="L1579">
            <v>0.18048</v>
          </cell>
        </row>
        <row r="1580">
          <cell r="J1580" t="str">
            <v>Scope 3WTT- delivery vehs &amp; freightWTT- HGV refrigerated (all diesel)Articulated (&gt;33t)0% Ladenmiles</v>
          </cell>
          <cell r="K1580" t="str">
            <v>Articulated (&gt;33t) miles WTT- HGV refrigerated (all diesel)</v>
          </cell>
          <cell r="L1580">
            <v>0.29044999999999999</v>
          </cell>
        </row>
        <row r="1581">
          <cell r="J1581" t="str">
            <v>Scope 3WTT- delivery vehs &amp; freightWTT- HGV refrigerated (all diesel)Articulated (&gt;33t)0% Ladentonne.km</v>
          </cell>
          <cell r="K1581" t="str">
            <v>Articulated (&gt;33t) tonne.km WTT- HGV refrigerated (all diesel)</v>
          </cell>
        </row>
        <row r="1582">
          <cell r="J1582" t="str">
            <v>Scope 3WTT- delivery vehs &amp; freightWTT- HGV refrigerated (all diesel)Articulated (&gt;33t)50% Ladenkm</v>
          </cell>
          <cell r="K1582" t="str">
            <v>Articulated (&gt;33t) km WTT- HGV refrigerated (all diesel)</v>
          </cell>
          <cell r="L1582">
            <v>0.24063999999999999</v>
          </cell>
        </row>
        <row r="1583">
          <cell r="J1583" t="str">
            <v>Scope 3WTT- delivery vehs &amp; freightWTT- HGV refrigerated (all diesel)Articulated (&gt;33t)50% Ladenmiles</v>
          </cell>
          <cell r="K1583" t="str">
            <v>Articulated (&gt;33t) miles WTT- HGV refrigerated (all diesel)</v>
          </cell>
          <cell r="L1583">
            <v>0.38727</v>
          </cell>
        </row>
        <row r="1584">
          <cell r="J1584" t="str">
            <v>Scope 3WTT- delivery vehs &amp; freightWTT- HGV refrigerated (all diesel)Articulated (&gt;33t)50% Ladentonne.km</v>
          </cell>
          <cell r="K1584" t="str">
            <v>Articulated (&gt;33t) tonne.km WTT- HGV refrigerated (all diesel)</v>
          </cell>
          <cell r="L1584">
            <v>2.6519999999999998E-2</v>
          </cell>
        </row>
        <row r="1585">
          <cell r="J1585" t="str">
            <v>Scope 3WTT- delivery vehs &amp; freightWTT- HGV refrigerated (all diesel)Articulated (&gt;33t)100% Ladenkm</v>
          </cell>
          <cell r="K1585" t="str">
            <v>Articulated (&gt;33t) km WTT- HGV refrigerated (all diesel)</v>
          </cell>
          <cell r="L1585">
            <v>0.30080000000000001</v>
          </cell>
        </row>
        <row r="1586">
          <cell r="J1586" t="str">
            <v>Scope 3WTT- delivery vehs &amp; freightWTT- HGV refrigerated (all diesel)Articulated (&gt;33t)100% Ladenmiles</v>
          </cell>
          <cell r="K1586" t="str">
            <v>Articulated (&gt;33t) miles WTT- HGV refrigerated (all diesel)</v>
          </cell>
          <cell r="L1586">
            <v>0.48409000000000002</v>
          </cell>
        </row>
        <row r="1587">
          <cell r="J1587" t="str">
            <v>Scope 3WTT- delivery vehs &amp; freightWTT- HGV refrigerated (all diesel)Articulated (&gt;33t)100% Ladentonne.km</v>
          </cell>
          <cell r="K1587" t="str">
            <v>Articulated (&gt;33t) tonne.km WTT- HGV refrigerated (all diesel)</v>
          </cell>
          <cell r="L1587">
            <v>1.6580000000000001E-2</v>
          </cell>
        </row>
        <row r="1588">
          <cell r="J1588" t="str">
            <v>Scope 3WTT- delivery vehs &amp; freightWTT- HGV refrigerated (all diesel)Articulated (&gt;33t)Average ladenkm</v>
          </cell>
          <cell r="K1588" t="str">
            <v>Articulated (&gt;33t) km WTT- HGV refrigerated (all diesel)</v>
          </cell>
          <cell r="L1588">
            <v>0.25628000000000001</v>
          </cell>
        </row>
        <row r="1589">
          <cell r="J1589" t="str">
            <v>Scope 3WTT- delivery vehs &amp; freightWTT- HGV refrigerated (all diesel)Articulated (&gt;33t)Average ladenmiles</v>
          </cell>
          <cell r="K1589" t="str">
            <v>Articulated (&gt;33t) miles WTT- HGV refrigerated (all diesel)</v>
          </cell>
          <cell r="L1589">
            <v>0.41243999999999997</v>
          </cell>
        </row>
        <row r="1590">
          <cell r="J1590" t="str">
            <v>Scope 3WTT- delivery vehs &amp; freightWTT- HGV refrigerated (all diesel)Articulated (&gt;33t)Average ladentonne.km</v>
          </cell>
          <cell r="K1590" t="str">
            <v>Articulated (&gt;33t) tonne.km WTT- HGV refrigerated (all diesel)</v>
          </cell>
          <cell r="L1590">
            <v>2.2419999999999999E-2</v>
          </cell>
        </row>
        <row r="1591">
          <cell r="J1591" t="str">
            <v>Scope 3WTT- delivery vehs &amp; freightWTT- HGV refrigerated (all diesel)All artics0% Ladenkm</v>
          </cell>
          <cell r="K1591" t="str">
            <v>All artics km WTT- HGV refrigerated (all diesel)</v>
          </cell>
          <cell r="L1591">
            <v>0.1802</v>
          </cell>
        </row>
        <row r="1592">
          <cell r="J1592" t="str">
            <v>Scope 3WTT- delivery vehs &amp; freightWTT- HGV refrigerated (all diesel)All artics0% Ladenmiles</v>
          </cell>
          <cell r="K1592" t="str">
            <v>All artics miles WTT- HGV refrigerated (all diesel)</v>
          </cell>
          <cell r="L1592">
            <v>0.29000999999999999</v>
          </cell>
        </row>
        <row r="1593">
          <cell r="J1593" t="str">
            <v>Scope 3WTT- delivery vehs &amp; freightWTT- HGV refrigerated (all diesel)All artics0% Ladentonne.km</v>
          </cell>
          <cell r="K1593" t="str">
            <v>All artics tonne.km WTT- HGV refrigerated (all diesel)</v>
          </cell>
        </row>
        <row r="1594">
          <cell r="J1594" t="str">
            <v>Scope 3WTT- delivery vehs &amp; freightWTT- HGV refrigerated (all diesel)All artics50% Ladenkm</v>
          </cell>
          <cell r="K1594" t="str">
            <v>All artics km WTT- HGV refrigerated (all diesel)</v>
          </cell>
          <cell r="L1594">
            <v>0.23968</v>
          </cell>
        </row>
        <row r="1595">
          <cell r="J1595" t="str">
            <v>Scope 3WTT- delivery vehs &amp; freightWTT- HGV refrigerated (all diesel)All artics50% Ladenmiles</v>
          </cell>
          <cell r="K1595" t="str">
            <v>All artics miles WTT- HGV refrigerated (all diesel)</v>
          </cell>
          <cell r="L1595">
            <v>0.38572000000000001</v>
          </cell>
        </row>
        <row r="1596">
          <cell r="J1596" t="str">
            <v>Scope 3WTT- delivery vehs &amp; freightWTT- HGV refrigerated (all diesel)All artics50% Ladentonne.km</v>
          </cell>
          <cell r="K1596" t="str">
            <v>All artics tonne.km WTT- HGV refrigerated (all diesel)</v>
          </cell>
          <cell r="L1596">
            <v>2.6689999999999998E-2</v>
          </cell>
        </row>
        <row r="1597">
          <cell r="J1597" t="str">
            <v>Scope 3WTT- delivery vehs &amp; freightWTT- HGV refrigerated (all diesel)All artics100% Ladenkm</v>
          </cell>
          <cell r="K1597" t="str">
            <v>All artics km WTT- HGV refrigerated (all diesel)</v>
          </cell>
          <cell r="L1597">
            <v>0.29915000000000003</v>
          </cell>
        </row>
        <row r="1598">
          <cell r="J1598" t="str">
            <v>Scope 3WTT- delivery vehs &amp; freightWTT- HGV refrigerated (all diesel)All artics100% Ladenmiles</v>
          </cell>
          <cell r="K1598" t="str">
            <v>All artics miles WTT- HGV refrigerated (all diesel)</v>
          </cell>
          <cell r="L1598">
            <v>0.48143999999999998</v>
          </cell>
        </row>
        <row r="1599">
          <cell r="J1599" t="str">
            <v>Scope 3WTT- delivery vehs &amp; freightWTT- HGV refrigerated (all diesel)All artics100% Ladentonne.km</v>
          </cell>
          <cell r="K1599" t="str">
            <v>All artics tonne.km WTT- HGV refrigerated (all diesel)</v>
          </cell>
          <cell r="L1599">
            <v>1.6660000000000001E-2</v>
          </cell>
        </row>
        <row r="1600">
          <cell r="J1600" t="str">
            <v>Scope 3WTT- delivery vehs &amp; freightWTT- HGV refrigerated (all diesel)All articsAverage ladenkm</v>
          </cell>
          <cell r="K1600" t="str">
            <v>All artics km WTT- HGV refrigerated (all diesel)</v>
          </cell>
          <cell r="L1600">
            <v>0.25461</v>
          </cell>
        </row>
        <row r="1601">
          <cell r="J1601" t="str">
            <v>Scope 3WTT- delivery vehs &amp; freightWTT- HGV refrigerated (all diesel)All articsAverage ladenmiles</v>
          </cell>
          <cell r="K1601" t="str">
            <v>All artics miles WTT- HGV refrigerated (all diesel)</v>
          </cell>
          <cell r="L1601">
            <v>0.40975</v>
          </cell>
        </row>
        <row r="1602">
          <cell r="J1602" t="str">
            <v>Scope 3WTT- delivery vehs &amp; freightWTT- HGV refrigerated (all diesel)All articsAverage ladentonne.km</v>
          </cell>
          <cell r="K1602" t="str">
            <v>All artics tonne.km WTT- HGV refrigerated (all diesel)</v>
          </cell>
          <cell r="L1602">
            <v>2.2710000000000001E-2</v>
          </cell>
        </row>
        <row r="1603">
          <cell r="J1603" t="str">
            <v>Scope 3WTT- delivery vehs &amp; freightWTT- HGV refrigerated (all diesel)All HGVs0% Ladenkm</v>
          </cell>
          <cell r="K1603" t="str">
            <v>All HGVs km WTT- HGV refrigerated (all diesel)</v>
          </cell>
          <cell r="L1603">
            <v>0.18514</v>
          </cell>
        </row>
        <row r="1604">
          <cell r="J1604" t="str">
            <v>Scope 3WTT- delivery vehs &amp; freightWTT- HGV refrigerated (all diesel)All HGVs0% Ladenmiles</v>
          </cell>
          <cell r="K1604" t="str">
            <v>All HGVs miles WTT- HGV refrigerated (all diesel)</v>
          </cell>
          <cell r="L1604">
            <v>0.29796</v>
          </cell>
        </row>
        <row r="1605">
          <cell r="J1605" t="str">
            <v>Scope 3WTT- delivery vehs &amp; freightWTT- HGV refrigerated (all diesel)All HGVs0% Ladentonne.km</v>
          </cell>
          <cell r="K1605" t="str">
            <v>All HGVs tonne.km WTT- HGV refrigerated (all diesel)</v>
          </cell>
        </row>
        <row r="1606">
          <cell r="J1606" t="str">
            <v>Scope 3WTT- delivery vehs &amp; freightWTT- HGV refrigerated (all diesel)All HGVs50% Ladenkm</v>
          </cell>
          <cell r="K1606" t="str">
            <v>All HGVs km WTT- HGV refrigerated (all diesel)</v>
          </cell>
          <cell r="L1606">
            <v>0.23494999999999999</v>
          </cell>
        </row>
        <row r="1607">
          <cell r="J1607" t="str">
            <v>Scope 3WTT- delivery vehs &amp; freightWTT- HGV refrigerated (all diesel)All HGVs50% Ladenmiles</v>
          </cell>
          <cell r="K1607" t="str">
            <v>All HGVs miles WTT- HGV refrigerated (all diesel)</v>
          </cell>
          <cell r="L1607">
            <v>0.37812000000000001</v>
          </cell>
        </row>
        <row r="1608">
          <cell r="J1608" t="str">
            <v>Scope 3WTT- delivery vehs &amp; freightWTT- HGV refrigerated (all diesel)All HGVs50% Ladentonne.km</v>
          </cell>
          <cell r="K1608" t="str">
            <v>All HGVs tonne.km WTT- HGV refrigerated (all diesel)</v>
          </cell>
          <cell r="L1608">
            <v>3.4470000000000001E-2</v>
          </cell>
        </row>
        <row r="1609">
          <cell r="J1609" t="str">
            <v>Scope 3WTT- delivery vehs &amp; freightWTT- HGV refrigerated (all diesel)All HGVs100% Ladenkm</v>
          </cell>
          <cell r="K1609" t="str">
            <v>All HGVs km WTT- HGV refrigerated (all diesel)</v>
          </cell>
          <cell r="L1609">
            <v>0.28476000000000001</v>
          </cell>
        </row>
        <row r="1610">
          <cell r="J1610" t="str">
            <v>Scope 3WTT- delivery vehs &amp; freightWTT- HGV refrigerated (all diesel)All HGVs100% Ladenmiles</v>
          </cell>
          <cell r="K1610" t="str">
            <v>All HGVs miles WTT- HGV refrigerated (all diesel)</v>
          </cell>
          <cell r="L1610">
            <v>0.45828000000000002</v>
          </cell>
        </row>
        <row r="1611">
          <cell r="J1611" t="str">
            <v>Scope 3WTT- delivery vehs &amp; freightWTT- HGV refrigerated (all diesel)All HGVs100% Ladentonne.km</v>
          </cell>
          <cell r="K1611" t="str">
            <v>All HGVs tonne.km WTT- HGV refrigerated (all diesel)</v>
          </cell>
          <cell r="L1611">
            <v>2.0969999999999999E-2</v>
          </cell>
        </row>
        <row r="1612">
          <cell r="J1612" t="str">
            <v>Scope 3WTT- delivery vehs &amp; freightWTT- HGV refrigerated (all diesel)All HGVsAverage ladenkm</v>
          </cell>
          <cell r="K1612" t="str">
            <v>All HGVs km WTT- HGV refrigerated (all diesel)</v>
          </cell>
          <cell r="L1612">
            <v>0.24521000000000001</v>
          </cell>
        </row>
        <row r="1613">
          <cell r="J1613" t="str">
            <v>Scope 3WTT- delivery vehs &amp; freightWTT- HGV refrigerated (all diesel)All HGVsAverage ladenmiles</v>
          </cell>
          <cell r="K1613" t="str">
            <v>All HGVs miles WTT- HGV refrigerated (all diesel)</v>
          </cell>
          <cell r="L1613">
            <v>0.39462000000000003</v>
          </cell>
        </row>
        <row r="1614">
          <cell r="J1614" t="str">
            <v>Scope 3WTT- delivery vehs &amp; freightWTT- HGV refrigerated (all diesel)All HGVsAverage ladentonne.km</v>
          </cell>
          <cell r="K1614" t="str">
            <v>All HGVs tonne.km WTT- HGV refrigerated (all diesel)</v>
          </cell>
          <cell r="L1614">
            <v>3.0499999999999999E-2</v>
          </cell>
        </row>
        <row r="1615">
          <cell r="J1615" t="str">
            <v>Scope 3WTT- delivery vehs &amp; freightWTT- freight flightsDomestic, to/from UKWith RFtonne.km</v>
          </cell>
          <cell r="K1615" t="str">
            <v>Domestic, to/from UK tonne.km WTT- freight flights</v>
          </cell>
          <cell r="L1615">
            <v>0.49186000000000002</v>
          </cell>
        </row>
        <row r="1616">
          <cell r="J1616" t="str">
            <v>Scope 3WTT- delivery vehs &amp; freightWTT- freight flightsDomestic, to/from UKWithout RFtonne.km</v>
          </cell>
          <cell r="K1616" t="str">
            <v>Domestic, to/from UK tonne.km WTT- freight flights</v>
          </cell>
          <cell r="L1616">
            <v>0.49186000000000002</v>
          </cell>
        </row>
        <row r="1617">
          <cell r="J1617" t="str">
            <v>Scope 3WTT- delivery vehs &amp; freightWTT- freight flightsShort-haul, to/from UKWith RFtonne.km</v>
          </cell>
          <cell r="K1617" t="str">
            <v>Short-haul, to/from UK tonne.km WTT- freight flights</v>
          </cell>
          <cell r="L1617">
            <v>0.25209999999999999</v>
          </cell>
        </row>
        <row r="1618">
          <cell r="J1618" t="str">
            <v>Scope 3WTT- delivery vehs &amp; freightWTT- freight flightsShort-haul, to/from UKWithout RFtonne.km</v>
          </cell>
          <cell r="K1618" t="str">
            <v>Short-haul, to/from UK tonne.km WTT- freight flights</v>
          </cell>
          <cell r="L1618">
            <v>0.25209999999999999</v>
          </cell>
        </row>
        <row r="1619">
          <cell r="J1619" t="str">
            <v>Scope 3WTT- delivery vehs &amp; freightWTT- freight flightsLong-haul, to/from UKWith RFtonne.km</v>
          </cell>
          <cell r="K1619" t="str">
            <v>Long-haul, to/from UK tonne.km WTT- freight flights</v>
          </cell>
          <cell r="L1619">
            <v>0.11157</v>
          </cell>
        </row>
        <row r="1620">
          <cell r="J1620" t="str">
            <v>Scope 3WTT- delivery vehs &amp; freightWTT- freight flightsLong-haul, to/from UKWithout RFtonne.km</v>
          </cell>
          <cell r="K1620" t="str">
            <v>Long-haul, to/from UK tonne.km WTT- freight flights</v>
          </cell>
          <cell r="L1620">
            <v>0.11157</v>
          </cell>
        </row>
        <row r="1621">
          <cell r="J1621" t="str">
            <v>Scope 3WTT- delivery vehs &amp; freightWTT- freight flightsInternational, to/from non-UKWith RFtonne.km</v>
          </cell>
          <cell r="K1621" t="str">
            <v>International, to/from non-UK tonne.km WTT- freight flights</v>
          </cell>
          <cell r="L1621">
            <v>0.11157</v>
          </cell>
        </row>
        <row r="1622">
          <cell r="J1622" t="str">
            <v>Scope 3WTT- delivery vehs &amp; freightWTT- freight flightsInternational, to/from non-UKWithout RFtonne.km</v>
          </cell>
          <cell r="K1622" t="str">
            <v>International, to/from non-UK tonne.km WTT- freight flights</v>
          </cell>
          <cell r="L1622">
            <v>0.11157</v>
          </cell>
        </row>
        <row r="1623">
          <cell r="J1623" t="str">
            <v>Scope 3WTT- delivery vehs &amp; freightWTT- railFreight traintonne.km</v>
          </cell>
          <cell r="K1623" t="str">
            <v>Freight train tonne.km WTT- rail</v>
          </cell>
          <cell r="L1623">
            <v>6.6100000000000004E-3</v>
          </cell>
        </row>
        <row r="1624">
          <cell r="J1624" t="str">
            <v>Scope 3WTT- delivery vehs &amp; freightWTT- sea tankerCrude tanker200,000+ dwttonne.km</v>
          </cell>
          <cell r="K1624" t="str">
            <v>Crude tanker 200,000+ dwt</v>
          </cell>
          <cell r="L1624">
            <v>6.6E-4</v>
          </cell>
        </row>
        <row r="1625">
          <cell r="J1625" t="str">
            <v>Scope 3WTT- delivery vehs &amp; freightWTT- sea tankerCrude tanker120,000–199,999 dwttonne.km</v>
          </cell>
          <cell r="K1625" t="str">
            <v>Crude tanker 120,000–199,999 dwt</v>
          </cell>
          <cell r="L1625">
            <v>1.0020000000000001E-3</v>
          </cell>
        </row>
        <row r="1626">
          <cell r="J1626" t="str">
            <v>Scope 3WTT- delivery vehs &amp; freightWTT- sea tankerCrude tanker80,000–119,999 dwttonne.km</v>
          </cell>
          <cell r="K1626" t="str">
            <v>Crude tanker 80,000–119,999 dwt</v>
          </cell>
          <cell r="L1626">
            <v>1.343E-3</v>
          </cell>
        </row>
        <row r="1627">
          <cell r="J1627" t="str">
            <v>Scope 3WTT- delivery vehs &amp; freightWTT- sea tankerCrude tanker60,000–79,999 dwttonne.km</v>
          </cell>
          <cell r="K1627" t="str">
            <v>Crude tanker 60,000–79,999 dwt</v>
          </cell>
          <cell r="L1627">
            <v>1.7080000000000001E-3</v>
          </cell>
        </row>
        <row r="1628">
          <cell r="J1628" t="str">
            <v>Scope 3WTT- delivery vehs &amp; freightWTT- sea tankerCrude tanker10,000–59,999 dwttonne.km</v>
          </cell>
          <cell r="K1628" t="str">
            <v>Crude tanker 10,000–59,999 dwt</v>
          </cell>
          <cell r="L1628">
            <v>2.0720000000000001E-3</v>
          </cell>
        </row>
        <row r="1629">
          <cell r="J1629" t="str">
            <v>Scope 3WTT- delivery vehs &amp; freightWTT- sea tankerCrude tanker0–9999 dwttonne.km</v>
          </cell>
          <cell r="K1629" t="str">
            <v>Crude tanker 0–9999 dwt</v>
          </cell>
          <cell r="L1629">
            <v>7.5830000000000003E-3</v>
          </cell>
        </row>
        <row r="1630">
          <cell r="J1630" t="str">
            <v>Scope 3WTT- delivery vehs &amp; freightWTT- sea tankerCrude tankerAveragetonne.km</v>
          </cell>
          <cell r="K1630" t="str">
            <v>Crude tanker Average</v>
          </cell>
          <cell r="L1630">
            <v>1.0269999999999999E-3</v>
          </cell>
        </row>
        <row r="1631">
          <cell r="J1631" t="str">
            <v>Scope 3WTT- delivery vehs &amp; freightWTT- sea tankerProducts tanker 60,000+ dwttonne.km</v>
          </cell>
          <cell r="K1631" t="str">
            <v>Products tanker  60,000+ dwt</v>
          </cell>
          <cell r="L1631">
            <v>1.2979999999999999E-3</v>
          </cell>
        </row>
        <row r="1632">
          <cell r="J1632" t="str">
            <v>Scope 3WTT- delivery vehs &amp; freightWTT- sea tankerProducts tanker 20,000–59,999 dwttonne.km</v>
          </cell>
          <cell r="K1632" t="str">
            <v>Products tanker  20,000–59,999 dwt</v>
          </cell>
          <cell r="L1632">
            <v>2.3449999999999999E-3</v>
          </cell>
        </row>
        <row r="1633">
          <cell r="J1633" t="str">
            <v>Scope 3WTT- delivery vehs &amp; freightWTT- sea tankerProducts tanker 10,000–19,999 dwttonne.km</v>
          </cell>
          <cell r="K1633" t="str">
            <v>Products tanker  10,000–19,999 dwt</v>
          </cell>
          <cell r="L1633">
            <v>4.2579999999999996E-3</v>
          </cell>
        </row>
        <row r="1634">
          <cell r="J1634" t="str">
            <v>Scope 3WTT- delivery vehs &amp; freightWTT- sea tankerProducts tanker 5000–9999 dwttonne.km</v>
          </cell>
          <cell r="K1634" t="str">
            <v>Products tanker  5000–9999 dwt</v>
          </cell>
          <cell r="L1634">
            <v>6.6490000000000004E-3</v>
          </cell>
        </row>
        <row r="1635">
          <cell r="J1635" t="str">
            <v>Scope 3WTT- delivery vehs &amp; freightWTT- sea tankerProducts tanker 0–4999 dwttonne.km</v>
          </cell>
          <cell r="K1635" t="str">
            <v>Products tanker  0–4999 dwt</v>
          </cell>
          <cell r="L1635">
            <v>1.0246999999999999E-2</v>
          </cell>
        </row>
        <row r="1636">
          <cell r="J1636" t="str">
            <v>Scope 3WTT- delivery vehs &amp; freightWTT- sea tankerProducts tanker Averagetonne.km</v>
          </cell>
          <cell r="K1636" t="str">
            <v>Products tanker  Average</v>
          </cell>
          <cell r="L1636">
            <v>2.029E-3</v>
          </cell>
        </row>
        <row r="1637">
          <cell r="J1637" t="str">
            <v>Scope 3WTT- delivery vehs &amp; freightWTT- sea tankerChemical tanker 20,000+ dwttonne.km</v>
          </cell>
          <cell r="K1637" t="str">
            <v>Chemical tanker  20,000+ dwt</v>
          </cell>
          <cell r="L1637">
            <v>1.913E-3</v>
          </cell>
        </row>
        <row r="1638">
          <cell r="J1638" t="str">
            <v>Scope 3WTT- delivery vehs &amp; freightWTT- sea tankerChemical tanker 10,000–19,999 dwttonne.km</v>
          </cell>
          <cell r="K1638" t="str">
            <v>Chemical tanker  10,000–19,999 dwt</v>
          </cell>
          <cell r="L1638">
            <v>2.4589999999999998E-3</v>
          </cell>
        </row>
        <row r="1639">
          <cell r="J1639" t="str">
            <v>Scope 3WTT- delivery vehs &amp; freightWTT- sea tankerChemical tanker 5000–9999 dwttonne.km</v>
          </cell>
          <cell r="K1639" t="str">
            <v>Chemical tanker  5000–9999 dwt</v>
          </cell>
          <cell r="L1639">
            <v>3.4380000000000001E-3</v>
          </cell>
        </row>
        <row r="1640">
          <cell r="J1640" t="str">
            <v>Scope 3WTT- delivery vehs &amp; freightWTT- sea tankerChemical tanker 0–4999 dwttonne.km</v>
          </cell>
          <cell r="K1640" t="str">
            <v>Chemical tanker  0–4999 dwt</v>
          </cell>
          <cell r="L1640">
            <v>5.0549999999999996E-3</v>
          </cell>
        </row>
        <row r="1641">
          <cell r="J1641" t="str">
            <v>Scope 3WTT- delivery vehs &amp; freightWTT- sea tankerChemical tanker Averagetonne.km</v>
          </cell>
          <cell r="K1641" t="str">
            <v>Chemical tanker  Average</v>
          </cell>
          <cell r="L1641">
            <v>2.3180000000000002E-3</v>
          </cell>
        </row>
        <row r="1642">
          <cell r="J1642" t="str">
            <v>Scope 3WTT- delivery vehs &amp; freightWTT- sea tankerLNG tanker200,000+ m3tonne.km</v>
          </cell>
          <cell r="K1642" t="str">
            <v>LNG tanker 200,000+ m3</v>
          </cell>
          <cell r="L1642">
            <v>2.1180000000000001E-3</v>
          </cell>
        </row>
        <row r="1643">
          <cell r="J1643" t="str">
            <v>Scope 3WTT- delivery vehs &amp; freightWTT- sea tankerLNG tanker0–199,999 m3tonne.km</v>
          </cell>
          <cell r="K1643" t="str">
            <v>LNG tanker 0–199,999 m3</v>
          </cell>
          <cell r="L1643">
            <v>3.3019999999999998E-3</v>
          </cell>
        </row>
        <row r="1644">
          <cell r="J1644" t="str">
            <v>Scope 3WTT- delivery vehs &amp; freightWTT- sea tankerLNG tankerAveragetonne.km</v>
          </cell>
          <cell r="K1644" t="str">
            <v>LNG tanker Average</v>
          </cell>
          <cell r="L1644">
            <v>2.594E-3</v>
          </cell>
        </row>
        <row r="1645">
          <cell r="J1645" t="str">
            <v>Scope 3WTT- delivery vehs &amp; freightWTT- sea tankerLPG tanker50,000+ m3tonne.km</v>
          </cell>
          <cell r="K1645" t="str">
            <v>LPG tanker 50,000+ m3</v>
          </cell>
          <cell r="L1645">
            <v>2.049E-3</v>
          </cell>
        </row>
        <row r="1646">
          <cell r="J1646" t="str">
            <v>Scope 3WTT- delivery vehs &amp; freightWTT- sea tankerLPG tanker0–49,999 m3tonne.km</v>
          </cell>
          <cell r="K1646" t="str">
            <v>LPG tanker 0–49,999 m3</v>
          </cell>
          <cell r="L1646">
            <v>9.9050000000000006E-3</v>
          </cell>
        </row>
        <row r="1647">
          <cell r="J1647" t="str">
            <v>Scope 3WTT- delivery vehs &amp; freightWTT- sea tankerLPG tankerAveragetonne.km</v>
          </cell>
          <cell r="K1647" t="str">
            <v>LPG tanker Average</v>
          </cell>
          <cell r="L1647">
            <v>2.3319999999999999E-3</v>
          </cell>
        </row>
        <row r="1648">
          <cell r="J1648" t="str">
            <v>Scope 3WTT- delivery vehs &amp; freightWTT- cargo shipGeneral cargo10,000+ dwttonne.km</v>
          </cell>
          <cell r="K1648" t="str">
            <v>General cargo 10,000+ dwt</v>
          </cell>
          <cell r="L1648">
            <v>2.7100000000000002E-3</v>
          </cell>
        </row>
        <row r="1649">
          <cell r="J1649" t="str">
            <v>Scope 3WTT- delivery vehs &amp; freightWTT- cargo shipGeneral cargo5000–9999 dwttonne.km</v>
          </cell>
          <cell r="K1649" t="str">
            <v>General cargo 5000–9999 dwt</v>
          </cell>
          <cell r="L1649">
            <v>3.5980000000000001E-3</v>
          </cell>
        </row>
        <row r="1650">
          <cell r="J1650" t="str">
            <v>Scope 3WTT- delivery vehs &amp; freightWTT- cargo shipGeneral cargo0–4999 dwttonne.km</v>
          </cell>
          <cell r="K1650" t="str">
            <v>General cargo 0–4999 dwt</v>
          </cell>
          <cell r="L1650">
            <v>3.1649999999999998E-3</v>
          </cell>
        </row>
        <row r="1651">
          <cell r="J1651" t="str">
            <v>Scope 3WTT- delivery vehs &amp; freightWTT- cargo shipGeneral cargo10,000+ dwt 100+ TEUtonne.km</v>
          </cell>
          <cell r="K1651" t="str">
            <v>General cargo 10,000+ dwt 100+ TEU</v>
          </cell>
          <cell r="L1651">
            <v>2.5049999999999998E-3</v>
          </cell>
        </row>
        <row r="1652">
          <cell r="J1652" t="str">
            <v>Scope 3WTT- delivery vehs &amp; freightWTT- cargo shipGeneral cargo5000–9999 dwt 100+ TEUtonne.km</v>
          </cell>
          <cell r="K1652" t="str">
            <v>General cargo 5000–9999 dwt 100+ TEU</v>
          </cell>
          <cell r="L1652">
            <v>3.9849999999999998E-3</v>
          </cell>
        </row>
        <row r="1653">
          <cell r="J1653" t="str">
            <v>Scope 3WTT- delivery vehs &amp; freightWTT- cargo shipGeneral cargo0–4999 dwt 100+ TEUtonne.km</v>
          </cell>
          <cell r="K1653" t="str">
            <v>General cargo 0–4999 dwt 100+ TEU</v>
          </cell>
          <cell r="L1653">
            <v>4.509E-3</v>
          </cell>
        </row>
        <row r="1654">
          <cell r="J1654" t="str">
            <v>Scope 3WTT- delivery vehs &amp; freightWTT- cargo shipGeneral cargoAveragetonne.km</v>
          </cell>
          <cell r="K1654" t="str">
            <v>General cargo Average</v>
          </cell>
          <cell r="L1654">
            <v>2.9719999999999998E-3</v>
          </cell>
        </row>
        <row r="1655">
          <cell r="J1655" t="str">
            <v>Scope 3WTT- delivery vehs &amp; freightWTT- cargo shipRefrigerated cargo All dwttonne.km</v>
          </cell>
          <cell r="K1655" t="str">
            <v>Refrigerated cargo  All dwt</v>
          </cell>
          <cell r="L1655">
            <v>2.9369999999999999E-3</v>
          </cell>
        </row>
        <row r="1656">
          <cell r="J1656" t="str">
            <v>Scope 3WTT- delivery vehs &amp; freightWTT- cargo shipVehicle transport4000+ CEUtonne.km</v>
          </cell>
          <cell r="K1656" t="str">
            <v>Vehicle transport 4000+ CEU</v>
          </cell>
          <cell r="L1656">
            <v>7.2870000000000001E-3</v>
          </cell>
        </row>
        <row r="1657">
          <cell r="J1657" t="str">
            <v>Scope 3WTT- delivery vehs &amp; freightWTT- cargo shipVehicle transport0–3999 CEUtonne.km</v>
          </cell>
          <cell r="K1657" t="str">
            <v>Vehicle transport 0–3999 CEU</v>
          </cell>
          <cell r="L1657">
            <v>1.3115999999999999E-2</v>
          </cell>
        </row>
        <row r="1658">
          <cell r="J1658" t="str">
            <v>Scope 3WTT- delivery vehs &amp; freightWTT- cargo shipVehicle transportAveragetonne.km</v>
          </cell>
          <cell r="K1658" t="str">
            <v>Vehicle transport Average</v>
          </cell>
          <cell r="L1658">
            <v>8.6639999999999998E-3</v>
          </cell>
        </row>
        <row r="1659">
          <cell r="J1659" t="str">
            <v>Scope 3WTT- delivery vehs &amp; freightWTT- cargo shipRoRo-Ferry2000+ LMtonne.km</v>
          </cell>
          <cell r="K1659" t="str">
            <v>RoRo-Ferry 2000+ LM</v>
          </cell>
          <cell r="L1659">
            <v>1.1272000000000001E-2</v>
          </cell>
        </row>
        <row r="1660">
          <cell r="J1660" t="str">
            <v>Scope 3WTT- delivery vehs &amp; freightWTT- cargo shipRoRo-Ferry0–1999 LMtonne.km</v>
          </cell>
          <cell r="K1660" t="str">
            <v>RoRo-Ferry 0–1999 LM</v>
          </cell>
          <cell r="L1660">
            <v>1.3731E-2</v>
          </cell>
        </row>
        <row r="1661">
          <cell r="J1661" t="str">
            <v>Scope 3WTT- delivery vehs &amp; freightWTT- cargo shipRoRo-FerryAveragetonne.km</v>
          </cell>
          <cell r="K1661" t="str">
            <v>RoRo-Ferry Average</v>
          </cell>
          <cell r="L1661">
            <v>1.1601999999999999E-2</v>
          </cell>
        </row>
        <row r="1662">
          <cell r="J1662" t="str">
            <v>Scope 3WTT- delivery vehs &amp; freightWTT- cargo shipLarge RoPax ferryAveragetonne.km</v>
          </cell>
          <cell r="K1662" t="str">
            <v>Large RoPax ferry Average</v>
          </cell>
          <cell r="L1662">
            <v>8.4594000000000003E-2</v>
          </cell>
        </row>
        <row r="1663">
          <cell r="J1663" t="str">
            <v>Scope 3WTT- delivery vehs &amp; freightWTT- cargo shipContainer ship8000+ TEUtonne.km</v>
          </cell>
          <cell r="K1663" t="str">
            <v>Container ship 8000+ TEU</v>
          </cell>
          <cell r="L1663">
            <v>2.846E-3</v>
          </cell>
        </row>
        <row r="1664">
          <cell r="J1664" t="str">
            <v>Scope 3WTT- delivery vehs &amp; freightWTT- cargo shipContainer ship5000–7999 TEUtonne.km</v>
          </cell>
          <cell r="K1664" t="str">
            <v>Container ship 5000–7999 TEU</v>
          </cell>
          <cell r="L1664">
            <v>3.7799999999999999E-3</v>
          </cell>
        </row>
        <row r="1665">
          <cell r="J1665" t="str">
            <v>Scope 3WTT- delivery vehs &amp; freightWTT- cargo shipContainer ship3000–4999 TEUtonne.km</v>
          </cell>
          <cell r="K1665" t="str">
            <v>Container ship 3000–4999 TEU</v>
          </cell>
          <cell r="L1665">
            <v>3.7799999999999999E-3</v>
          </cell>
        </row>
        <row r="1666">
          <cell r="J1666" t="str">
            <v>Scope 3WTT- delivery vehs &amp; freightWTT- cargo shipContainer ship2000–2999 TEUtonne.km</v>
          </cell>
          <cell r="K1666" t="str">
            <v>Container ship 2000–2999 TEU</v>
          </cell>
          <cell r="L1666">
            <v>4.5539999999999999E-3</v>
          </cell>
        </row>
        <row r="1667">
          <cell r="J1667" t="str">
            <v>Scope 3WTT- delivery vehs &amp; freightWTT- cargo shipContainer ship1000–1999 TEUtonne.km</v>
          </cell>
          <cell r="K1667" t="str">
            <v>Container ship 1000–1999 TEU</v>
          </cell>
          <cell r="L1667">
            <v>7.3090000000000004E-3</v>
          </cell>
        </row>
        <row r="1668">
          <cell r="J1668" t="str">
            <v>Scope 3WTT- delivery vehs &amp; freightWTT- cargo shipContainer ship0–999 TEUtonne.km</v>
          </cell>
          <cell r="K1668" t="str">
            <v>Container ship 0–999 TEU</v>
          </cell>
          <cell r="L1668">
            <v>8.2660000000000008E-3</v>
          </cell>
        </row>
        <row r="1669">
          <cell r="J1669" t="str">
            <v>Scope 3WTT- delivery vehs &amp; freightWTT- cargo shipContainer shipAveragetonne.km</v>
          </cell>
          <cell r="K1669" t="str">
            <v>Container ship Average</v>
          </cell>
          <cell r="L1669">
            <v>3.6250000000000002E-3</v>
          </cell>
        </row>
        <row r="1670">
          <cell r="J1670" t="str">
            <v>Scope 3WTT- delivery vehs &amp; freightWTT- cargo shipBulk carrier200,000+ dwttonne.km</v>
          </cell>
          <cell r="K1670" t="str">
            <v>Bulk carrier 200,000+ dwt</v>
          </cell>
          <cell r="L1670">
            <v>5.6899999999999995E-4</v>
          </cell>
        </row>
        <row r="1671">
          <cell r="J1671" t="str">
            <v>Scope 3WTT- delivery vehs &amp; freightWTT- cargo shipBulk carrier100,000–199,999 dwttonne.km</v>
          </cell>
          <cell r="K1671" t="str">
            <v>Bulk carrier 100,000–199,999 dwt</v>
          </cell>
          <cell r="L1671">
            <v>6.8300000000000001E-4</v>
          </cell>
        </row>
        <row r="1672">
          <cell r="J1672" t="str">
            <v>Scope 3WTT- delivery vehs &amp; freightWTT- cargo shipBulk carrier60,000–99,999 dwttonne.km</v>
          </cell>
          <cell r="K1672" t="str">
            <v>Bulk carrier 60,000–99,999 dwt</v>
          </cell>
          <cell r="L1672">
            <v>9.3400000000000004E-4</v>
          </cell>
        </row>
        <row r="1673">
          <cell r="J1673" t="str">
            <v>Scope 3WTT- delivery vehs &amp; freightWTT- cargo shipBulk carrier35,000–59,999 dwttonne.km</v>
          </cell>
          <cell r="K1673" t="str">
            <v>Bulk carrier 35,000–59,999 dwt</v>
          </cell>
          <cell r="L1673">
            <v>1.2979999999999999E-3</v>
          </cell>
        </row>
        <row r="1674">
          <cell r="J1674" t="str">
            <v>Scope 3WTT- delivery vehs &amp; freightWTT- cargo shipBulk carrier10,000–34,999 dwttonne.km</v>
          </cell>
          <cell r="K1674" t="str">
            <v>Bulk carrier 10,000–34,999 dwt</v>
          </cell>
          <cell r="L1674">
            <v>1.799E-3</v>
          </cell>
        </row>
        <row r="1675">
          <cell r="J1675" t="str">
            <v>Scope 3WTT- delivery vehs &amp; freightWTT- cargo shipBulk carrier0–9999 dwttonne.km</v>
          </cell>
          <cell r="K1675" t="str">
            <v>Bulk carrier 0–9999 dwt</v>
          </cell>
          <cell r="L1675">
            <v>6.6490000000000004E-3</v>
          </cell>
        </row>
        <row r="1676">
          <cell r="J1676" t="str">
            <v>Scope 3WTT- delivery vehs &amp; freightWTT- cargo shipBulk carrierAveragetonne.km</v>
          </cell>
          <cell r="K1676" t="str">
            <v>Bulk carrier Average</v>
          </cell>
          <cell r="L1676">
            <v>7.9500000000000003E-4</v>
          </cell>
        </row>
        <row r="1677">
          <cell r="J1677" t="str">
            <v>Scope 3WTT- bioenergyWTT- biofuelBioethanolGJ</v>
          </cell>
          <cell r="K1677" t="str">
            <v>Bioethanol GJ</v>
          </cell>
          <cell r="L1677">
            <v>25.60643</v>
          </cell>
        </row>
        <row r="1678">
          <cell r="J1678" t="str">
            <v>Scope 3WTT- bioenergyWTT- biofuelBioethanolkg</v>
          </cell>
          <cell r="K1678" t="str">
            <v>Bioethanol kg</v>
          </cell>
          <cell r="L1678">
            <v>0.68625000000000003</v>
          </cell>
        </row>
        <row r="1679">
          <cell r="J1679" t="str">
            <v>Scope 3WTT- bioenergyWTT- biofuelBioethanollitres</v>
          </cell>
          <cell r="K1679" t="str">
            <v>Bioethanol litres</v>
          </cell>
          <cell r="L1679">
            <v>0.54488000000000003</v>
          </cell>
        </row>
        <row r="1680">
          <cell r="J1680" t="str">
            <v>Scope 3WTT- bioenergyWTT- biofuelBiodiesel MEGJ</v>
          </cell>
          <cell r="K1680" t="str">
            <v>Biodiesel ME GJ</v>
          </cell>
          <cell r="L1680">
            <v>12.66351</v>
          </cell>
        </row>
        <row r="1681">
          <cell r="J1681" t="str">
            <v>Scope 3WTT- bioenergyWTT- biofuelBiodiesel MEkg</v>
          </cell>
          <cell r="K1681" t="str">
            <v>Biodiesel ME kg</v>
          </cell>
          <cell r="L1681">
            <v>0.47108</v>
          </cell>
        </row>
        <row r="1682">
          <cell r="J1682" t="str">
            <v>Scope 3WTT- bioenergyWTT- biofuelBiodiesel MElitres</v>
          </cell>
          <cell r="K1682" t="str">
            <v>Biodiesel ME litres</v>
          </cell>
          <cell r="L1682">
            <v>0.41926000000000002</v>
          </cell>
        </row>
        <row r="1683">
          <cell r="J1683" t="str">
            <v>Scope 3WTT- bioenergyWTT- biofuelBiomethaneGJ</v>
          </cell>
          <cell r="K1683" t="str">
            <v>Biomethane GJ</v>
          </cell>
          <cell r="L1683">
            <v>17.451609999999999</v>
          </cell>
        </row>
        <row r="1684">
          <cell r="J1684" t="str">
            <v>Scope 3WTT- bioenergyWTT- biofuelBiomethanekg</v>
          </cell>
          <cell r="K1684" t="str">
            <v>Biomethane kg</v>
          </cell>
          <cell r="L1684">
            <v>0.85512999999999995</v>
          </cell>
        </row>
        <row r="1685">
          <cell r="J1685" t="str">
            <v>Scope 3WTT- bioenergyWTT- biofuelBiomethanelitres</v>
          </cell>
          <cell r="K1685" t="str">
            <v>Biomethane litres</v>
          </cell>
        </row>
        <row r="1686">
          <cell r="J1686" t="str">
            <v>Scope 3WTT- bioenergyWTT- biofuelBiodiesel ME (from used cooking oil)GJ</v>
          </cell>
          <cell r="K1686" t="str">
            <v>Biodiesel ME (from used cooking oil) GJ</v>
          </cell>
          <cell r="L1686">
            <v>10.54167</v>
          </cell>
        </row>
        <row r="1687">
          <cell r="J1687" t="str">
            <v>Scope 3WTT- bioenergyWTT- biofuelBiodiesel ME (from used cooking oil)kg</v>
          </cell>
          <cell r="K1687" t="str">
            <v>Biodiesel ME (from used cooking oil) kg</v>
          </cell>
          <cell r="L1687">
            <v>0.39215</v>
          </cell>
        </row>
        <row r="1688">
          <cell r="J1688" t="str">
            <v>Scope 3WTT- bioenergyWTT- biofuelBiodiesel ME (from used cooking oil)litres</v>
          </cell>
          <cell r="K1688" t="str">
            <v>Biodiesel ME (from used cooking oil) litres</v>
          </cell>
          <cell r="L1688">
            <v>0.34900999999999999</v>
          </cell>
        </row>
        <row r="1689">
          <cell r="J1689" t="str">
            <v>Scope 3WTT- bioenergyWTT- biofuelBiodiesel ME (from tallow)GJ</v>
          </cell>
          <cell r="K1689" t="str">
            <v>Biodiesel ME (from tallow) GJ</v>
          </cell>
          <cell r="L1689">
            <v>13.168570000000001</v>
          </cell>
        </row>
        <row r="1690">
          <cell r="J1690" t="str">
            <v>Scope 3WTT- bioenergyWTT- biofuelBiodiesel ME (from tallow)kg</v>
          </cell>
          <cell r="K1690" t="str">
            <v>Biodiesel ME (from tallow) kg</v>
          </cell>
          <cell r="L1690">
            <v>0.48987000000000003</v>
          </cell>
        </row>
        <row r="1691">
          <cell r="J1691" t="str">
            <v>Scope 3WTT- bioenergyWTT- biofuelBiodiesel ME (from tallow)litres</v>
          </cell>
          <cell r="K1691" t="str">
            <v>Biodiesel ME (from tallow) litres</v>
          </cell>
          <cell r="L1691">
            <v>0.43597999999999998</v>
          </cell>
        </row>
        <row r="1692">
          <cell r="J1692" t="str">
            <v>Scope 3WTT- bioenergyWTT- biofuelBiodiesel HVOGJ</v>
          </cell>
          <cell r="K1692" t="str">
            <v>Biodiesel HVO GJ</v>
          </cell>
          <cell r="L1692">
            <v>6.2121199999999996</v>
          </cell>
        </row>
        <row r="1693">
          <cell r="J1693" t="str">
            <v>Scope 3WTT- bioenergyWTT- biofuelBiodiesel HVOkg</v>
          </cell>
          <cell r="K1693" t="str">
            <v>Biodiesel HVO kg</v>
          </cell>
          <cell r="L1693">
            <v>0.27333000000000002</v>
          </cell>
        </row>
        <row r="1694">
          <cell r="J1694" t="str">
            <v>Scope 3WTT- bioenergyWTT- biofuelBiodiesel HVOlitres</v>
          </cell>
          <cell r="K1694" t="str">
            <v>Biodiesel HVO litres</v>
          </cell>
          <cell r="L1694">
            <v>0.2132</v>
          </cell>
        </row>
        <row r="1695">
          <cell r="J1695" t="str">
            <v>Scope 3WTT- bioenergyWTT- biofuelBiopropaneGJ</v>
          </cell>
          <cell r="K1695" t="str">
            <v>Biopropane GJ</v>
          </cell>
          <cell r="L1695">
            <v>12.16667</v>
          </cell>
        </row>
        <row r="1696">
          <cell r="J1696" t="str">
            <v>Scope 3WTT- bioenergyWTT- biofuelBiopropanekg</v>
          </cell>
          <cell r="K1696" t="str">
            <v>Biopropane kg</v>
          </cell>
          <cell r="L1696">
            <v>0.56452999999999998</v>
          </cell>
        </row>
        <row r="1697">
          <cell r="J1697" t="str">
            <v>Scope 3WTT- bioenergyWTT- biofuelBiopropanelitres</v>
          </cell>
          <cell r="K1697" t="str">
            <v>Biopropane litres</v>
          </cell>
          <cell r="L1697">
            <v>0.29070000000000001</v>
          </cell>
        </row>
        <row r="1698">
          <cell r="J1698" t="str">
            <v>Scope 3WTT- bioenergyWTT- biofuelBio PetrolGJ</v>
          </cell>
          <cell r="K1698" t="str">
            <v>Bio Petrol GJ</v>
          </cell>
          <cell r="L1698">
            <v>9</v>
          </cell>
        </row>
        <row r="1699">
          <cell r="J1699" t="str">
            <v>Scope 3WTT- bioenergyWTT- biofuelBio Petrolkg</v>
          </cell>
          <cell r="K1699" t="str">
            <v>Bio Petrol kg</v>
          </cell>
          <cell r="L1699">
            <v>0.40183999999999997</v>
          </cell>
        </row>
        <row r="1700">
          <cell r="J1700" t="str">
            <v>Scope 3WTT- bioenergyWTT- biofuelBio Petrollitres</v>
          </cell>
          <cell r="K1700" t="str">
            <v>Bio Petrol litres</v>
          </cell>
          <cell r="L1700">
            <v>0.29809999999999998</v>
          </cell>
        </row>
        <row r="1701">
          <cell r="J1701" t="str">
            <v>Scope 3WTT- bioenergyWTT- biofuelRenewable PetrolGJ</v>
          </cell>
          <cell r="K1701" t="str">
            <v>Renewable Petrol GJ</v>
          </cell>
          <cell r="L1701">
            <v>24.27206</v>
          </cell>
        </row>
        <row r="1702">
          <cell r="J1702" t="str">
            <v>Scope 3WTT- bioenergyWTT- biofuelRenewable Petrolkg</v>
          </cell>
          <cell r="K1702" t="str">
            <v>Renewable Petrol kg</v>
          </cell>
          <cell r="L1702">
            <v>0.67208000000000001</v>
          </cell>
        </row>
        <row r="1703">
          <cell r="J1703" t="str">
            <v>Scope 3WTT- bioenergyWTT- biofuelRenewable Petrollitres</v>
          </cell>
          <cell r="K1703" t="str">
            <v>Renewable Petrol litres</v>
          </cell>
          <cell r="L1703">
            <v>0.57906999999999997</v>
          </cell>
        </row>
        <row r="1704">
          <cell r="J1704" t="str">
            <v>Scope 3WTT- bioenergyWTT- biomassWood logskWh</v>
          </cell>
          <cell r="K1704" t="str">
            <v>Wood logs kWh</v>
          </cell>
          <cell r="L1704">
            <v>1.277E-2</v>
          </cell>
        </row>
        <row r="1705">
          <cell r="J1705" t="str">
            <v>Scope 3WTT- bioenergyWTT- biomassWood logstonnes</v>
          </cell>
          <cell r="K1705" t="str">
            <v>Wood logs tonnes</v>
          </cell>
          <cell r="L1705">
            <v>52.14</v>
          </cell>
        </row>
        <row r="1706">
          <cell r="J1706" t="str">
            <v>Scope 3WTT- bioenergyWTT- biomassWood chipskWh</v>
          </cell>
          <cell r="K1706" t="str">
            <v>Wood chips kWh</v>
          </cell>
          <cell r="L1706">
            <v>7.92E-3</v>
          </cell>
        </row>
        <row r="1707">
          <cell r="J1707" t="str">
            <v>Scope 3WTT- bioenergyWTT- biomassWood chipstonnes</v>
          </cell>
          <cell r="K1707" t="str">
            <v>Wood chips tonnes</v>
          </cell>
          <cell r="L1707">
            <v>30.4</v>
          </cell>
        </row>
        <row r="1708">
          <cell r="J1708" t="str">
            <v>Scope 3WTT- bioenergyWTT- biomassWood pelletskWh</v>
          </cell>
          <cell r="K1708" t="str">
            <v>Wood pellets kWh</v>
          </cell>
          <cell r="L1708">
            <v>3.7440000000000001E-2</v>
          </cell>
        </row>
        <row r="1709">
          <cell r="J1709" t="str">
            <v>Scope 3WTT- bioenergyWTT- biomassWood pelletstonnes</v>
          </cell>
          <cell r="K1709" t="str">
            <v>Wood pellets tonnes</v>
          </cell>
          <cell r="L1709">
            <v>177</v>
          </cell>
        </row>
        <row r="1710">
          <cell r="J1710" t="str">
            <v>Scope 3WTT- bioenergyWTT- biomassGrass/strawkWh</v>
          </cell>
          <cell r="K1710" t="str">
            <v>Grass/straw kWh</v>
          </cell>
          <cell r="L1710">
            <v>1.6039999999999999E-2</v>
          </cell>
        </row>
        <row r="1711">
          <cell r="J1711" t="str">
            <v>Scope 3WTT- bioenergyWTT- biomassGrass/strawtonnes</v>
          </cell>
          <cell r="K1711" t="str">
            <v>Grass/straw tonnes</v>
          </cell>
          <cell r="L1711">
            <v>68.650000000000006</v>
          </cell>
        </row>
        <row r="1712">
          <cell r="J1712" t="str">
            <v>Scope 3WTT- bioenergyWTT- biogasBiogaskWh</v>
          </cell>
          <cell r="K1712" t="str">
            <v>Biogas kWh</v>
          </cell>
          <cell r="L1712">
            <v>2.4049999999999998E-2</v>
          </cell>
        </row>
        <row r="1713">
          <cell r="J1713" t="str">
            <v>Scope 3WTT- bioenergyWTT- biogasBiogastonnes</v>
          </cell>
          <cell r="K1713" t="str">
            <v>Biogas tonnes</v>
          </cell>
          <cell r="L1713">
            <v>133.60714999999999</v>
          </cell>
        </row>
        <row r="1714">
          <cell r="J1714" t="str">
            <v>Scope 3WTT- bioenergyWTT- biogasLandfill gaskWh</v>
          </cell>
          <cell r="K1714" t="str">
            <v>Landfill gas kWh</v>
          </cell>
          <cell r="L1714">
            <v>0</v>
          </cell>
        </row>
        <row r="1715">
          <cell r="J1715" t="str">
            <v>Scope 3WTT- bioenergyWTT- biogasLandfill gastonnes</v>
          </cell>
          <cell r="K1715" t="str">
            <v>Landfill gas tonnes</v>
          </cell>
          <cell r="L1715">
            <v>0</v>
          </cell>
        </row>
        <row r="1716">
          <cell r="J1716" t="str">
            <v>Scope 3Business travel- airFlightsDomestic, to/from UKAverage passengerWith RFpassenger.km</v>
          </cell>
          <cell r="K1716" t="str">
            <v>Domestic, to/from UK Average passenger</v>
          </cell>
          <cell r="L1716">
            <v>0.24586999999999998</v>
          </cell>
        </row>
        <row r="1717">
          <cell r="J1717" t="str">
            <v>Scope 3Business travel- airFlightsDomestic, to/from UKAverage passengerWithout RFpassenger.km</v>
          </cell>
          <cell r="K1717" t="str">
            <v>Domestic, to/from UK Average passenger</v>
          </cell>
          <cell r="L1717">
            <v>0.13002999999999998</v>
          </cell>
        </row>
        <row r="1718">
          <cell r="J1718" t="str">
            <v>Scope 3Business travel- airFlightsShort-haul, to/from UKBusiness classWith RFpassenger.km</v>
          </cell>
          <cell r="K1718" t="str">
            <v>Short-haul, to/from UK Business class</v>
          </cell>
          <cell r="L1718">
            <v>0.22652000000000003</v>
          </cell>
        </row>
        <row r="1719">
          <cell r="J1719" t="str">
            <v>Scope 3Business travel- airFlightsShort-haul, to/from UKEconomy classWith RFpassenger.km</v>
          </cell>
          <cell r="K1719" t="str">
            <v>Short-haul, to/from UK Economy class</v>
          </cell>
          <cell r="L1719">
            <v>0.15102000000000002</v>
          </cell>
        </row>
        <row r="1720">
          <cell r="J1720" t="str">
            <v>Scope 3Business travel- airFlightsShort-haul, to/from UKAverage passengerWith RFpassenger.km</v>
          </cell>
          <cell r="K1720" t="str">
            <v>Short-haul, to/from UK Average passenger</v>
          </cell>
          <cell r="L1720">
            <v>0.15353000000000003</v>
          </cell>
        </row>
        <row r="1721">
          <cell r="J1721" t="str">
            <v>Scope 3Business travel- airFlightsShort-haul, to/from UKBusiness classWithout RFpassenger.km</v>
          </cell>
          <cell r="K1721" t="str">
            <v>Short-haul, to/from UK Business class</v>
          </cell>
          <cell r="L1721">
            <v>0.11975999999999999</v>
          </cell>
        </row>
        <row r="1722">
          <cell r="J1722" t="str">
            <v>Scope 3Business travel- airFlightsShort-haul, to/from UKEconomy classWithout RFpassenger.km</v>
          </cell>
          <cell r="K1722" t="str">
            <v>Short-haul, to/from UK Economy class</v>
          </cell>
          <cell r="L1722">
            <v>7.9839999999999994E-2</v>
          </cell>
        </row>
        <row r="1723">
          <cell r="J1723" t="str">
            <v>Scope 3Business travel- airFlightsShort-haul, to/from UKAverage passengerWithout RFpassenger.km</v>
          </cell>
          <cell r="K1723" t="str">
            <v>Short-haul, to/from UK Average passenger</v>
          </cell>
          <cell r="L1723">
            <v>8.1169999999999992E-2</v>
          </cell>
        </row>
        <row r="1724">
          <cell r="J1724" t="str">
            <v>Scope 3Business travel- airFlightsLong-haul, to/from UKAverage passengerWith RFpassenger.km</v>
          </cell>
          <cell r="K1724" t="str">
            <v>Long-haul, to/from UK Average passenger</v>
          </cell>
          <cell r="L1724">
            <v>0.19309000000000001</v>
          </cell>
        </row>
        <row r="1725">
          <cell r="J1725" t="str">
            <v>Scope 3Business travel- airFlightsLong-haul, to/from UKEconomy classWith RFpassenger.km</v>
          </cell>
          <cell r="K1725" t="str">
            <v>Long-haul, to/from UK Economy class</v>
          </cell>
          <cell r="L1725">
            <v>0.14787000000000003</v>
          </cell>
        </row>
        <row r="1726">
          <cell r="J1726" t="str">
            <v>Scope 3Business travel- airFlightsLong-haul, to/from UKPremium economy classWith RFpassenger.km</v>
          </cell>
          <cell r="K1726" t="str">
            <v>Long-haul, to/from UK Premium economy class</v>
          </cell>
          <cell r="L1726">
            <v>0.23659000000000002</v>
          </cell>
        </row>
        <row r="1727">
          <cell r="J1727" t="str">
            <v>Scope 3Business travel- airFlightsLong-haul, to/from UKBusiness classWith RFpassenger.km</v>
          </cell>
          <cell r="K1727" t="str">
            <v>Long-haul, to/from UK Business class</v>
          </cell>
          <cell r="L1727">
            <v>0.42882000000000003</v>
          </cell>
        </row>
        <row r="1728">
          <cell r="J1728" t="str">
            <v>Scope 3Business travel- airFlightsLong-haul, to/from UKFirst classWith RFpassenger.km</v>
          </cell>
          <cell r="K1728" t="str">
            <v>Long-haul, to/from UK First class</v>
          </cell>
          <cell r="L1728">
            <v>0.59147000000000005</v>
          </cell>
        </row>
        <row r="1729">
          <cell r="J1729" t="str">
            <v>Scope 3Business travel- airFlightsLong-haul, to/from UKAverage passengerWithout RFpassenger.km</v>
          </cell>
          <cell r="K1729" t="str">
            <v>Long-haul, to/from UK Average passenger</v>
          </cell>
          <cell r="L1729">
            <v>0.10208</v>
          </cell>
        </row>
        <row r="1730">
          <cell r="J1730" t="str">
            <v>Scope 3Business travel- airFlightsLong-haul, to/from UKEconomy classWithout RFpassenger.km</v>
          </cell>
          <cell r="K1730" t="str">
            <v>Long-haul, to/from UK Economy class</v>
          </cell>
          <cell r="L1730">
            <v>7.8179999999999986E-2</v>
          </cell>
        </row>
        <row r="1731">
          <cell r="J1731" t="str">
            <v>Scope 3Business travel- airFlightsLong-haul, to/from UKPremium economy classWithout RFpassenger.km</v>
          </cell>
          <cell r="K1731" t="str">
            <v>Long-haul, to/from UK Premium economy class</v>
          </cell>
          <cell r="L1731">
            <v>0.12508</v>
          </cell>
        </row>
        <row r="1732">
          <cell r="J1732" t="str">
            <v>Scope 3Business travel- airFlightsLong-haul, to/from UKBusiness classWithout RFpassenger.km</v>
          </cell>
          <cell r="K1732" t="str">
            <v>Long-haul, to/from UK Business class</v>
          </cell>
          <cell r="L1732">
            <v>0.22670999999999999</v>
          </cell>
        </row>
        <row r="1733">
          <cell r="J1733" t="str">
            <v>Scope 3Business travel- airFlightsLong-haul, to/from UKFirst classWithout RFpassenger.km</v>
          </cell>
          <cell r="K1733" t="str">
            <v>Long-haul, to/from UK First class</v>
          </cell>
          <cell r="L1733">
            <v>0.31270000000000003</v>
          </cell>
        </row>
        <row r="1734">
          <cell r="J1734" t="str">
            <v>Scope 3Business travel- airFlightsInternational, to/from non-UKAverage passengerWith RFpassenger.km</v>
          </cell>
          <cell r="K1734" t="str">
            <v>International, to/from non-UK Average passenger</v>
          </cell>
          <cell r="L1734">
            <v>0.18362000000000001</v>
          </cell>
        </row>
        <row r="1735">
          <cell r="J1735" t="str">
            <v>Scope 3Business travel- airFlightsInternational, to/from non-UKEconomy classWith RFpassenger.km</v>
          </cell>
          <cell r="K1735" t="str">
            <v>International, to/from non-UK Economy class</v>
          </cell>
          <cell r="L1735">
            <v>0.140625</v>
          </cell>
        </row>
        <row r="1736">
          <cell r="J1736" t="str">
            <v>Scope 3Business travel- airFlightsInternational, to/from non-UKPremium economy classWith RFpassenger.km</v>
          </cell>
          <cell r="K1736" t="str">
            <v>International, to/from non-UK Premium economy class</v>
          </cell>
          <cell r="L1736">
            <v>0.22500000000000001</v>
          </cell>
        </row>
        <row r="1737">
          <cell r="J1737" t="str">
            <v>Scope 3Business travel- airFlightsInternational, to/from non-UKBusiness classWith RFpassenger.km</v>
          </cell>
          <cell r="K1737" t="str">
            <v>International, to/from non-UK Business class</v>
          </cell>
          <cell r="L1737">
            <v>0.40781000000000001</v>
          </cell>
        </row>
        <row r="1738">
          <cell r="J1738" t="str">
            <v>Scope 3Business travel- airFlightsInternational, to/from non-UKFirst classWith RFpassenger.km</v>
          </cell>
          <cell r="K1738" t="str">
            <v>International, to/from non-UK First class</v>
          </cell>
          <cell r="L1738">
            <v>0.56250999999999995</v>
          </cell>
        </row>
        <row r="1739">
          <cell r="J1739" t="str">
            <v>Scope 3Business travel- airFlightsInternational, to/from non-UKAverage passengerWithout RFpassenger.km</v>
          </cell>
          <cell r="K1739" t="str">
            <v>International, to/from non-UK Average passenger</v>
          </cell>
          <cell r="L1739">
            <v>9.7079999999999986E-2</v>
          </cell>
        </row>
        <row r="1740">
          <cell r="J1740" t="str">
            <v>Scope 3Business travel- airFlightsInternational, to/from non-UKEconomy classWithout RFpassenger.km</v>
          </cell>
          <cell r="K1740" t="str">
            <v>International, to/from non-UK Economy class</v>
          </cell>
          <cell r="L1740">
            <v>7.4345000000000008E-2</v>
          </cell>
        </row>
        <row r="1741">
          <cell r="J1741" t="str">
            <v>Scope 3Business travel- airFlightsInternational, to/from non-UKPremium economy classWithout RFpassenger.km</v>
          </cell>
          <cell r="K1741" t="str">
            <v>International, to/from non-UK Premium economy class</v>
          </cell>
          <cell r="L1741">
            <v>0.11895</v>
          </cell>
        </row>
        <row r="1742">
          <cell r="J1742" t="str">
            <v>Scope 3Business travel- airFlightsInternational, to/from non-UKBusiness classWithout RFpassenger.km</v>
          </cell>
          <cell r="K1742" t="str">
            <v>International, to/from non-UK Business class</v>
          </cell>
          <cell r="L1742">
            <v>0.21560000000000001</v>
          </cell>
        </row>
        <row r="1743">
          <cell r="J1743" t="str">
            <v>Scope 3Business travel- airFlightsInternational, to/from non-UKFirst classWithout RFpassenger.km</v>
          </cell>
          <cell r="K1743" t="str">
            <v>International, to/from non-UK First class</v>
          </cell>
          <cell r="L1743">
            <v>0.29739000000000004</v>
          </cell>
        </row>
        <row r="1744">
          <cell r="J1744" t="str">
            <v>Scope 3Business travel- seaFerryFoot passengerpassenger.km</v>
          </cell>
          <cell r="K1744" t="str">
            <v>Foot passenger</v>
          </cell>
          <cell r="L1744">
            <v>1.8737999999999998E-2</v>
          </cell>
        </row>
        <row r="1745">
          <cell r="J1745" t="str">
            <v>Scope 3Business travel- seaFerryCar passengerpassenger.km</v>
          </cell>
          <cell r="K1745" t="str">
            <v>Car passenger</v>
          </cell>
          <cell r="L1745">
            <v>0.12951699999999999</v>
          </cell>
        </row>
        <row r="1746">
          <cell r="J1746" t="str">
            <v>Scope 3Business travel- seaFerryAverage (all passenger)passenger.km</v>
          </cell>
          <cell r="K1746" t="str">
            <v>Average (all passenger)</v>
          </cell>
          <cell r="L1746">
            <v>0.112862</v>
          </cell>
        </row>
        <row r="1747">
          <cell r="J1747" t="str">
            <v>Scope 3Business travel- landCars (by market segment)MiniDieselkm</v>
          </cell>
          <cell r="K1747" t="str">
            <v>Business travel- land Mini Diesel km</v>
          </cell>
          <cell r="L1747">
            <v>0.10630000000000001</v>
          </cell>
        </row>
        <row r="1748">
          <cell r="J1748" t="str">
            <v>Scope 3Business travel- landCars (by market segment)MiniDieselmiles</v>
          </cell>
          <cell r="K1748" t="str">
            <v>Mini Diesel miles</v>
          </cell>
          <cell r="L1748">
            <v>0.17108000000000001</v>
          </cell>
        </row>
        <row r="1749">
          <cell r="J1749" t="str">
            <v>Scope 3Business travel- landCars (by market segment)MiniPetrolkm</v>
          </cell>
          <cell r="K1749" t="str">
            <v>Business travel- land Mini Petrol km</v>
          </cell>
          <cell r="L1749">
            <v>0.1361</v>
          </cell>
        </row>
        <row r="1750">
          <cell r="J1750" t="str">
            <v>Scope 3Business travel- landCars (by market segment)MiniPetrolmiles</v>
          </cell>
          <cell r="K1750" t="str">
            <v>Mini Petrol miles</v>
          </cell>
          <cell r="L1750">
            <v>0.21903</v>
          </cell>
        </row>
        <row r="1751">
          <cell r="J1751" t="str">
            <v>Scope 3Business travel- landCars (by market segment)MiniUnknownkm</v>
          </cell>
          <cell r="K1751" t="str">
            <v>Business travel- land Mini Unknown km</v>
          </cell>
          <cell r="L1751">
            <v>0.13578999999999999</v>
          </cell>
        </row>
        <row r="1752">
          <cell r="J1752" t="str">
            <v>Scope 3Business travel- landCars (by market segment)MiniUnknownmiles</v>
          </cell>
          <cell r="K1752" t="str">
            <v>Mini Unknown miles</v>
          </cell>
          <cell r="L1752">
            <v>0.21854000000000001</v>
          </cell>
        </row>
        <row r="1753">
          <cell r="J1753" t="str">
            <v>Scope 3Business travel- landCars (by market segment)MiniPlug-in Hybrid Electric Vehiclekm</v>
          </cell>
          <cell r="K1753" t="str">
            <v>Business travel- land Mini Plug-in Hybrid Electric Vehicle km</v>
          </cell>
          <cell r="L1753" t="str">
            <v/>
          </cell>
        </row>
        <row r="1754">
          <cell r="J1754" t="str">
            <v>Scope 3Business travel- landCars (by market segment)MiniPlug-in Hybrid Electric Vehiclemiles</v>
          </cell>
          <cell r="K1754" t="str">
            <v>Mini Plug-in Hybrid Electric Vehicle miles</v>
          </cell>
          <cell r="L1754" t="str">
            <v/>
          </cell>
        </row>
        <row r="1755">
          <cell r="J1755" t="str">
            <v>Scope 3Business travel- landCars (by market segment)MiniBattery Electric Vehiclekm</v>
          </cell>
          <cell r="K1755" t="str">
            <v>Business travel- land Mini Battery Electric Vehicle km</v>
          </cell>
          <cell r="L1755">
            <v>4.3910000000000005E-2</v>
          </cell>
        </row>
        <row r="1756">
          <cell r="J1756" t="str">
            <v>Scope 3Business travel- landCars (by market segment)MiniBattery Electric Vehiclemiles</v>
          </cell>
          <cell r="K1756" t="str">
            <v>Mini Battery Electric Vehicle miles</v>
          </cell>
          <cell r="L1756">
            <v>7.0679999999999993E-2</v>
          </cell>
        </row>
        <row r="1757">
          <cell r="J1757" t="str">
            <v>Scope 3Business travel- landCars (by market segment)SuperminiDieselkm</v>
          </cell>
          <cell r="K1757" t="str">
            <v>Business travel- land Supermini Diesel km</v>
          </cell>
          <cell r="L1757">
            <v>0.13078000000000001</v>
          </cell>
        </row>
        <row r="1758">
          <cell r="J1758" t="str">
            <v>Scope 3Business travel- landCars (by market segment)SuperminiDieselmiles</v>
          </cell>
          <cell r="K1758" t="str">
            <v>Supermini Diesel miles</v>
          </cell>
          <cell r="L1758">
            <v>0.21049000000000001</v>
          </cell>
        </row>
        <row r="1759">
          <cell r="J1759" t="str">
            <v>Scope 3Business travel- landCars (by market segment)SuperminiPetrolkm</v>
          </cell>
          <cell r="K1759" t="str">
            <v>Business travel- land Supermini Petrol km</v>
          </cell>
          <cell r="L1759">
            <v>0.15129999999999999</v>
          </cell>
        </row>
        <row r="1760">
          <cell r="J1760" t="str">
            <v>Scope 3Business travel- landCars (by market segment)SuperminiPetrolmiles</v>
          </cell>
          <cell r="K1760" t="str">
            <v>Supermini Petrol miles</v>
          </cell>
          <cell r="L1760">
            <v>0.24349999999999999</v>
          </cell>
        </row>
        <row r="1761">
          <cell r="J1761" t="str">
            <v>Scope 3Business travel- landCars (by market segment)SuperminiUnknownkm</v>
          </cell>
          <cell r="K1761" t="str">
            <v>Business travel- land Supermini Unknown km</v>
          </cell>
          <cell r="L1761">
            <v>0.14821999999999999</v>
          </cell>
        </row>
        <row r="1762">
          <cell r="J1762" t="str">
            <v>Scope 3Business travel- landCars (by market segment)SuperminiUnknownmiles</v>
          </cell>
          <cell r="K1762" t="str">
            <v>Supermini Unknown miles</v>
          </cell>
          <cell r="L1762">
            <v>0.23854000000000003</v>
          </cell>
        </row>
        <row r="1763">
          <cell r="J1763" t="str">
            <v>Scope 3Business travel- landCars (by market segment)SuperminiPlug-in Hybrid Electric Vehiclekm</v>
          </cell>
          <cell r="K1763" t="str">
            <v>Business travel- land Supermini Plug-in Hybrid Electric Vehicle km</v>
          </cell>
          <cell r="L1763">
            <v>5.568E-2</v>
          </cell>
        </row>
        <row r="1764">
          <cell r="J1764" t="str">
            <v>Scope 3Business travel- landCars (by market segment)SuperminiPlug-in Hybrid Electric Vehiclemiles</v>
          </cell>
          <cell r="K1764" t="str">
            <v>Supermini Plug-in Hybrid Electric Vehicle miles</v>
          </cell>
          <cell r="L1764">
            <v>8.9610000000000009E-2</v>
          </cell>
        </row>
        <row r="1765">
          <cell r="J1765" t="str">
            <v>Scope 3Business travel- landCars (by market segment)SuperminiBattery Electric Vehiclekm</v>
          </cell>
          <cell r="K1765" t="str">
            <v>Business travel- land Supermini Battery Electric Vehicle km</v>
          </cell>
          <cell r="L1765">
            <v>4.616E-2</v>
          </cell>
        </row>
        <row r="1766">
          <cell r="J1766" t="str">
            <v>Scope 3Business travel- landCars (by market segment)SuperminiBattery Electric Vehiclemiles</v>
          </cell>
          <cell r="K1766" t="str">
            <v>Supermini Battery Electric Vehicle miles</v>
          </cell>
          <cell r="L1766">
            <v>7.4279999999999999E-2</v>
          </cell>
        </row>
        <row r="1767">
          <cell r="J1767" t="str">
            <v>Scope 3Business travel- landCars (by market segment)Lower mediumDieselkm</v>
          </cell>
          <cell r="K1767" t="str">
            <v>Business travel- land Lower medium Diesel km</v>
          </cell>
          <cell r="L1767">
            <v>0.14307</v>
          </cell>
        </row>
        <row r="1768">
          <cell r="J1768" t="str">
            <v>Scope 3Business travel- landCars (by market segment)Lower mediumDieselmiles</v>
          </cell>
          <cell r="K1768" t="str">
            <v>Lower medium Diesel miles</v>
          </cell>
          <cell r="L1768">
            <v>0.23026000000000002</v>
          </cell>
        </row>
        <row r="1769">
          <cell r="J1769" t="str">
            <v>Scope 3Business travel- landCars (by market segment)Lower mediumPetrolkm</v>
          </cell>
          <cell r="K1769" t="str">
            <v>Business travel- land Lower medium Petrol km</v>
          </cell>
          <cell r="L1769">
            <v>0.17496999999999999</v>
          </cell>
        </row>
        <row r="1770">
          <cell r="J1770" t="str">
            <v>Scope 3Business travel- landCars (by market segment)Lower mediumPetrolmiles</v>
          </cell>
          <cell r="K1770" t="str">
            <v>Lower medium Petrol miles</v>
          </cell>
          <cell r="L1770">
            <v>0.28159000000000006</v>
          </cell>
        </row>
        <row r="1771">
          <cell r="J1771" t="str">
            <v>Scope 3Business travel- landCars (by market segment)Lower mediumUnknownkm</v>
          </cell>
          <cell r="K1771" t="str">
            <v>Business travel- land Lower medium Unknown km</v>
          </cell>
          <cell r="L1771">
            <v>0.15903</v>
          </cell>
        </row>
        <row r="1772">
          <cell r="J1772" t="str">
            <v>Scope 3Business travel- landCars (by market segment)Lower mediumUnknownmiles</v>
          </cell>
          <cell r="K1772" t="str">
            <v>Lower medium Unknown miles</v>
          </cell>
          <cell r="L1772">
            <v>0.25592999999999999</v>
          </cell>
        </row>
        <row r="1773">
          <cell r="J1773" t="str">
            <v>Scope 3Business travel- landCars (by market segment)Lower mediumPlug-in Hybrid Electric Vehiclekm</v>
          </cell>
          <cell r="K1773" t="str">
            <v>Business travel- land Lower medium Plug-in Hybrid Electric Vehicle km</v>
          </cell>
          <cell r="L1773">
            <v>8.8760000000000006E-2</v>
          </cell>
        </row>
        <row r="1774">
          <cell r="J1774" t="str">
            <v>Scope 3Business travel- landCars (by market segment)Lower mediumPlug-in Hybrid Electric Vehiclemiles</v>
          </cell>
          <cell r="K1774" t="str">
            <v>Lower medium Plug-in Hybrid Electric Vehicle miles</v>
          </cell>
          <cell r="L1774">
            <v>0.14283999999999999</v>
          </cell>
        </row>
        <row r="1775">
          <cell r="J1775" t="str">
            <v>Scope 3Business travel- landCars (by market segment)Lower mediumBattery Electric Vehiclekm</v>
          </cell>
          <cell r="K1775" t="str">
            <v>Business travel- land Lower medium Battery Electric Vehicle km</v>
          </cell>
          <cell r="L1775">
            <v>5.2559999999999996E-2</v>
          </cell>
        </row>
        <row r="1776">
          <cell r="J1776" t="str">
            <v>Scope 3Business travel- landCars (by market segment)Lower mediumBattery Electric Vehiclemiles</v>
          </cell>
          <cell r="K1776" t="str">
            <v>Lower medium Battery Electric Vehicle miles</v>
          </cell>
          <cell r="L1776">
            <v>8.4580000000000002E-2</v>
          </cell>
        </row>
        <row r="1777">
          <cell r="J1777" t="str">
            <v>Scope 3Business travel- landCars (by market segment)Upper mediumDieselkm</v>
          </cell>
          <cell r="K1777" t="str">
            <v>Business travel- land Upper medium Diesel km</v>
          </cell>
          <cell r="L1777">
            <v>0.15955</v>
          </cell>
        </row>
        <row r="1778">
          <cell r="J1778" t="str">
            <v>Scope 3Business travel- landCars (by market segment)Upper mediumDieselmiles</v>
          </cell>
          <cell r="K1778" t="str">
            <v>Upper medium Diesel miles</v>
          </cell>
          <cell r="L1778">
            <v>0.25678000000000001</v>
          </cell>
        </row>
        <row r="1779">
          <cell r="J1779" t="str">
            <v>Scope 3Business travel- landCars (by market segment)Upper mediumPetrolkm</v>
          </cell>
          <cell r="K1779" t="str">
            <v>Business travel- land Upper medium Petrol km</v>
          </cell>
          <cell r="L1779">
            <v>0.20358999999999999</v>
          </cell>
        </row>
        <row r="1780">
          <cell r="J1780" t="str">
            <v>Scope 3Business travel- landCars (by market segment)Upper mediumPetrolmiles</v>
          </cell>
          <cell r="K1780" t="str">
            <v>Upper medium Petrol miles</v>
          </cell>
          <cell r="L1780">
            <v>0.32764000000000004</v>
          </cell>
        </row>
        <row r="1781">
          <cell r="J1781" t="str">
            <v>Scope 3Business travel- landCars (by market segment)Upper mediumUnknownkm</v>
          </cell>
          <cell r="K1781" t="str">
            <v>Business travel- land Upper medium Unknown km</v>
          </cell>
          <cell r="L1781">
            <v>0.16900000000000001</v>
          </cell>
        </row>
        <row r="1782">
          <cell r="J1782" t="str">
            <v>Scope 3Business travel- landCars (by market segment)Upper mediumUnknownmiles</v>
          </cell>
          <cell r="K1782" t="str">
            <v>Upper medium Unknown miles</v>
          </cell>
          <cell r="L1782">
            <v>0.27196999999999999</v>
          </cell>
        </row>
        <row r="1783">
          <cell r="J1783" t="str">
            <v>Scope 3Business travel- landCars (by market segment)Upper mediumPlug-in Hybrid Electric Vehiclekm</v>
          </cell>
          <cell r="K1783" t="str">
            <v>Business travel- land Upper medium Plug-in Hybrid Electric Vehicle km</v>
          </cell>
          <cell r="L1783">
            <v>9.2710000000000001E-2</v>
          </cell>
        </row>
        <row r="1784">
          <cell r="J1784" t="str">
            <v>Scope 3Business travel- landCars (by market segment)Upper mediumPlug-in Hybrid Electric Vehiclemiles</v>
          </cell>
          <cell r="K1784" t="str">
            <v>Upper medium Plug-in Hybrid Electric Vehicle miles</v>
          </cell>
          <cell r="L1784">
            <v>0.1492</v>
          </cell>
        </row>
        <row r="1785">
          <cell r="J1785" t="str">
            <v>Scope 3Business travel- landCars (by market segment)Upper mediumBattery Electric Vehiclekm</v>
          </cell>
          <cell r="K1785" t="str">
            <v>Business travel- land Upper medium Battery Electric Vehicle km</v>
          </cell>
          <cell r="L1785">
            <v>3.8829999999999996E-2</v>
          </cell>
        </row>
        <row r="1786">
          <cell r="J1786" t="str">
            <v>Scope 3Business travel- landCars (by market segment)Upper mediumBattery Electric Vehiclemiles</v>
          </cell>
          <cell r="K1786" t="str">
            <v>Upper medium Battery Electric Vehicle miles</v>
          </cell>
          <cell r="L1786">
            <v>6.2480000000000001E-2</v>
          </cell>
        </row>
        <row r="1787">
          <cell r="J1787" t="str">
            <v>Scope 3Business travel- landCars (by market segment)ExecutiveDieselkm</v>
          </cell>
          <cell r="K1787" t="str">
            <v>Business travel- land Executive Diesel km</v>
          </cell>
          <cell r="L1787">
            <v>0.17399000000000001</v>
          </cell>
        </row>
        <row r="1788">
          <cell r="J1788" t="str">
            <v>Scope 3Business travel- landCars (by market segment)ExecutiveDieselmiles</v>
          </cell>
          <cell r="K1788" t="str">
            <v>Executive Diesel miles</v>
          </cell>
          <cell r="L1788">
            <v>0.28001999999999999</v>
          </cell>
        </row>
        <row r="1789">
          <cell r="J1789" t="str">
            <v>Scope 3Business travel- landCars (by market segment)ExecutivePetrolkm</v>
          </cell>
          <cell r="K1789" t="str">
            <v>Business travel- land Executive Petrol km</v>
          </cell>
          <cell r="L1789">
            <v>0.22342000000000001</v>
          </cell>
        </row>
        <row r="1790">
          <cell r="J1790" t="str">
            <v>Scope 3Business travel- landCars (by market segment)ExecutivePetrolmiles</v>
          </cell>
          <cell r="K1790" t="str">
            <v>Executive Petrol miles</v>
          </cell>
          <cell r="L1790">
            <v>0.35956000000000005</v>
          </cell>
        </row>
        <row r="1791">
          <cell r="J1791" t="str">
            <v>Scope 3Business travel- landCars (by market segment)ExecutiveUnknownkm</v>
          </cell>
          <cell r="K1791" t="str">
            <v>Business travel- land Executive Unknown km</v>
          </cell>
          <cell r="L1791">
            <v>0.18576999999999999</v>
          </cell>
        </row>
        <row r="1792">
          <cell r="J1792" t="str">
            <v>Scope 3Business travel- landCars (by market segment)ExecutiveUnknownmiles</v>
          </cell>
          <cell r="K1792" t="str">
            <v>Executive Unknown miles</v>
          </cell>
          <cell r="L1792">
            <v>0.29898000000000002</v>
          </cell>
        </row>
        <row r="1793">
          <cell r="J1793" t="str">
            <v>Scope 3Business travel- landCars (by market segment)ExecutivePlug-in Hybrid Electric Vehiclekm</v>
          </cell>
          <cell r="K1793" t="str">
            <v>Business travel- land Executive Plug-in Hybrid Electric Vehicle km</v>
          </cell>
          <cell r="L1793">
            <v>9.4089999999999993E-2</v>
          </cell>
        </row>
        <row r="1794">
          <cell r="J1794" t="str">
            <v>Scope 3Business travel- landCars (by market segment)ExecutivePlug-in Hybrid Electric Vehiclemiles</v>
          </cell>
          <cell r="K1794" t="str">
            <v>Executive Plug-in Hybrid Electric Vehicle miles</v>
          </cell>
          <cell r="L1794">
            <v>0.15141999999999997</v>
          </cell>
        </row>
        <row r="1795">
          <cell r="J1795" t="str">
            <v>Scope 3Business travel- landCars (by market segment)ExecutiveBattery Electric Vehiclekm</v>
          </cell>
          <cell r="K1795" t="str">
            <v>Business travel- land Executive Battery Electric Vehicle km</v>
          </cell>
          <cell r="L1795">
            <v>5.1220000000000002E-2</v>
          </cell>
        </row>
        <row r="1796">
          <cell r="J1796" t="str">
            <v>Scope 3Business travel- landCars (by market segment)ExecutiveBattery Electric Vehiclemiles</v>
          </cell>
          <cell r="K1796" t="str">
            <v>Executive Battery Electric Vehicle miles</v>
          </cell>
          <cell r="L1796">
            <v>8.2430000000000003E-2</v>
          </cell>
        </row>
        <row r="1797">
          <cell r="J1797" t="str">
            <v>Scope 3Business travel- landCars (by market segment)LuxuryDieselkm</v>
          </cell>
          <cell r="K1797" t="str">
            <v>Business travel- land Luxury Diesel km</v>
          </cell>
          <cell r="L1797">
            <v>0.21174000000000001</v>
          </cell>
        </row>
        <row r="1798">
          <cell r="J1798" t="str">
            <v>Scope 3Business travel- landCars (by market segment)LuxuryDieselmiles</v>
          </cell>
          <cell r="K1798" t="str">
            <v>Luxury Diesel miles</v>
          </cell>
          <cell r="L1798">
            <v>0.34077999999999997</v>
          </cell>
        </row>
        <row r="1799">
          <cell r="J1799" t="str">
            <v>Scope 3Business travel- landCars (by market segment)LuxuryPetrolkm</v>
          </cell>
          <cell r="K1799" t="str">
            <v>Business travel- land Luxury Petrol km</v>
          </cell>
          <cell r="L1799">
            <v>0.32585999999999998</v>
          </cell>
        </row>
        <row r="1800">
          <cell r="J1800" t="str">
            <v>Scope 3Business travel- landCars (by market segment)LuxuryPetrolmiles</v>
          </cell>
          <cell r="K1800" t="str">
            <v>Luxury Petrol miles</v>
          </cell>
          <cell r="L1800">
            <v>0.52442</v>
          </cell>
        </row>
        <row r="1801">
          <cell r="J1801" t="str">
            <v>Scope 3Business travel- landCars (by market segment)LuxuryUnknownkm</v>
          </cell>
          <cell r="K1801" t="str">
            <v>Business travel- land Luxury Unknown km</v>
          </cell>
          <cell r="L1801">
            <v>0.26579000000000003</v>
          </cell>
        </row>
        <row r="1802">
          <cell r="J1802" t="str">
            <v>Scope 3Business travel- landCars (by market segment)LuxuryUnknownmiles</v>
          </cell>
          <cell r="K1802" t="str">
            <v>Luxury Unknown miles</v>
          </cell>
          <cell r="L1802">
            <v>0.42774999999999996</v>
          </cell>
        </row>
        <row r="1803">
          <cell r="J1803" t="str">
            <v>Scope 3Business travel- landCars (by market segment)LuxuryPlug-in Hybrid Electric Vehiclekm</v>
          </cell>
          <cell r="K1803" t="str">
            <v>Business travel- land Luxury Plug-in Hybrid Electric Vehicle km</v>
          </cell>
          <cell r="L1803">
            <v>0.11788</v>
          </cell>
        </row>
        <row r="1804">
          <cell r="J1804" t="str">
            <v>Scope 3Business travel- landCars (by market segment)LuxuryPlug-in Hybrid Electric Vehiclemiles</v>
          </cell>
          <cell r="K1804" t="str">
            <v>Luxury Plug-in Hybrid Electric Vehicle miles</v>
          </cell>
          <cell r="L1804">
            <v>0.18970999999999999</v>
          </cell>
        </row>
        <row r="1805">
          <cell r="J1805" t="str">
            <v>Scope 3Business travel- landCars (by market segment)LuxuryBattery Electric Vehiclekm</v>
          </cell>
          <cell r="K1805" t="str">
            <v>Business travel- land Luxury Battery Electric Vehicle km</v>
          </cell>
          <cell r="L1805">
            <v>5.9830000000000001E-2</v>
          </cell>
        </row>
        <row r="1806">
          <cell r="J1806" t="str">
            <v>Scope 3Business travel- landCars (by market segment)LuxuryBattery Electric Vehiclemiles</v>
          </cell>
          <cell r="K1806" t="str">
            <v>Luxury Battery Electric Vehicle miles</v>
          </cell>
          <cell r="L1806">
            <v>9.6279999999999991E-2</v>
          </cell>
        </row>
        <row r="1807">
          <cell r="J1807" t="str">
            <v>Scope 3Business travel- landCars (by market segment)SportsDieselkm</v>
          </cell>
          <cell r="K1807" t="str">
            <v>Business travel- land Sports Diesel km</v>
          </cell>
          <cell r="L1807">
            <v>0.16664000000000001</v>
          </cell>
        </row>
        <row r="1808">
          <cell r="J1808" t="str">
            <v>Scope 3Business travel- landCars (by market segment)SportsDieselmiles</v>
          </cell>
          <cell r="K1808" t="str">
            <v>Sports Diesel miles</v>
          </cell>
          <cell r="L1808">
            <v>0.26818999999999998</v>
          </cell>
        </row>
        <row r="1809">
          <cell r="J1809" t="str">
            <v>Scope 3Business travel- landCars (by market segment)SportsPetrolkm</v>
          </cell>
          <cell r="K1809" t="str">
            <v>Business travel- land Sports Petrol km</v>
          </cell>
          <cell r="L1809">
            <v>0.24265999999999999</v>
          </cell>
        </row>
        <row r="1810">
          <cell r="J1810" t="str">
            <v>Scope 3Business travel- landCars (by market segment)SportsPetrolmiles</v>
          </cell>
          <cell r="K1810" t="str">
            <v>Sports Petrol miles</v>
          </cell>
          <cell r="L1810">
            <v>0.39052000000000003</v>
          </cell>
        </row>
        <row r="1811">
          <cell r="J1811" t="str">
            <v>Scope 3Business travel- landCars (by market segment)SportsUnknownkm</v>
          </cell>
          <cell r="K1811" t="str">
            <v>Business travel- land Sports Unknown km</v>
          </cell>
          <cell r="L1811">
            <v>0.23053000000000001</v>
          </cell>
        </row>
        <row r="1812">
          <cell r="J1812" t="str">
            <v>Scope 3Business travel- landCars (by market segment)SportsUnknownmiles</v>
          </cell>
          <cell r="K1812" t="str">
            <v>Sports Unknown miles</v>
          </cell>
          <cell r="L1812">
            <v>0.37101000000000001</v>
          </cell>
        </row>
        <row r="1813">
          <cell r="J1813" t="str">
            <v>Scope 3Business travel- landCars (by market segment)SportsPlug-in Hybrid Electric Vehiclekm</v>
          </cell>
          <cell r="K1813" t="str">
            <v>Business travel- land Sports Plug-in Hybrid Electric Vehicle km</v>
          </cell>
          <cell r="L1813">
            <v>9.487000000000001E-2</v>
          </cell>
        </row>
        <row r="1814">
          <cell r="J1814" t="str">
            <v>Scope 3Business travel- landCars (by market segment)SportsPlug-in Hybrid Electric Vehiclemiles</v>
          </cell>
          <cell r="K1814" t="str">
            <v>Sports Plug-in Hybrid Electric Vehicle miles</v>
          </cell>
          <cell r="L1814">
            <v>0.15268000000000001</v>
          </cell>
        </row>
        <row r="1815">
          <cell r="J1815" t="str">
            <v>Scope 3Business travel- landCars (by market segment)SportsBattery Electric Vehiclekm</v>
          </cell>
          <cell r="K1815" t="str">
            <v>Business travel- land Sports Battery Electric Vehicle km</v>
          </cell>
          <cell r="L1815">
            <v>7.4740000000000001E-2</v>
          </cell>
        </row>
        <row r="1816">
          <cell r="J1816" t="str">
            <v>Scope 3Business travel- landCars (by market segment)SportsBattery Electric Vehiclemiles</v>
          </cell>
          <cell r="K1816" t="str">
            <v>Sports Battery Electric Vehicle miles</v>
          </cell>
          <cell r="L1816">
            <v>0.12028000000000001</v>
          </cell>
        </row>
        <row r="1817">
          <cell r="J1817" t="str">
            <v>Scope 3Business travel- landCars (by market segment)Dual purpose 4X4Dieselkm</v>
          </cell>
          <cell r="K1817" t="str">
            <v>Business travel- land Dual purpose 4X4 Diesel km</v>
          </cell>
          <cell r="L1817">
            <v>0.20376</v>
          </cell>
        </row>
        <row r="1818">
          <cell r="J1818" t="str">
            <v>Scope 3Business travel- landCars (by market segment)Dual purpose 4X4Dieselmiles</v>
          </cell>
          <cell r="K1818" t="str">
            <v>Dual purpose 4X4 Diesel miles</v>
          </cell>
          <cell r="L1818">
            <v>0.32793</v>
          </cell>
        </row>
        <row r="1819">
          <cell r="J1819" t="str">
            <v>Scope 3Business travel- landCars (by market segment)Dual purpose 4X4Petrolkm</v>
          </cell>
          <cell r="K1819" t="str">
            <v>Business travel- land Dual purpose 4X4 Petrol km</v>
          </cell>
          <cell r="L1819">
            <v>0.21657999999999999</v>
          </cell>
        </row>
        <row r="1820">
          <cell r="J1820" t="str">
            <v>Scope 3Business travel- landCars (by market segment)Dual purpose 4X4Petrolmiles</v>
          </cell>
          <cell r="K1820" t="str">
            <v>Dual purpose 4X4 Petrol miles</v>
          </cell>
          <cell r="L1820">
            <v>0.34854000000000002</v>
          </cell>
        </row>
        <row r="1821">
          <cell r="J1821" t="str">
            <v>Scope 3Business travel- landCars (by market segment)Dual purpose 4X4Unknownkm</v>
          </cell>
          <cell r="K1821" t="str">
            <v>Business travel- land Dual purpose 4X4 Unknown km</v>
          </cell>
          <cell r="L1821">
            <v>0.20716000000000001</v>
          </cell>
        </row>
        <row r="1822">
          <cell r="J1822" t="str">
            <v>Scope 3Business travel- landCars (by market segment)Dual purpose 4X4Unknownmiles</v>
          </cell>
          <cell r="K1822" t="str">
            <v>Dual purpose 4X4 Unknown miles</v>
          </cell>
          <cell r="L1822">
            <v>0.33337999999999995</v>
          </cell>
        </row>
        <row r="1823">
          <cell r="J1823" t="str">
            <v>Scope 3Business travel- landCars (by market segment)Dual purpose 4X4Plug-in Hybrid Electric Vehiclekm</v>
          </cell>
          <cell r="K1823" t="str">
            <v>Business travel- land Dual purpose 4X4 Plug-in Hybrid Electric Vehicle km</v>
          </cell>
          <cell r="L1823">
            <v>0.10700999999999999</v>
          </cell>
        </row>
        <row r="1824">
          <cell r="J1824" t="str">
            <v>Scope 3Business travel- landCars (by market segment)Dual purpose 4X4Plug-in Hybrid Electric Vehiclemiles</v>
          </cell>
          <cell r="K1824" t="str">
            <v>Dual purpose 4X4 Plug-in Hybrid Electric Vehicle miles</v>
          </cell>
          <cell r="L1824">
            <v>0.17222000000000001</v>
          </cell>
        </row>
        <row r="1825">
          <cell r="J1825" t="str">
            <v>Scope 3Business travel- landCars (by market segment)Dual purpose 4X4Battery Electric Vehiclekm</v>
          </cell>
          <cell r="K1825" t="str">
            <v>Business travel- land Dual purpose 4X4 Battery Electric Vehicle km</v>
          </cell>
          <cell r="L1825">
            <v>6.8189999999999987E-2</v>
          </cell>
        </row>
        <row r="1826">
          <cell r="J1826" t="str">
            <v>Scope 3Business travel- landCars (by market segment)Dual purpose 4X4Battery Electric Vehiclemiles</v>
          </cell>
          <cell r="K1826" t="str">
            <v>Dual purpose 4X4 Battery Electric Vehicle miles</v>
          </cell>
          <cell r="L1826">
            <v>0.10972999999999999</v>
          </cell>
        </row>
        <row r="1827">
          <cell r="J1827" t="str">
            <v>Scope 3Business travel- landCars (by market segment)MPVDieselkm</v>
          </cell>
          <cell r="K1827" t="str">
            <v>Business travel- land MPV Diesel km</v>
          </cell>
          <cell r="L1827">
            <v>0.17502999999999999</v>
          </cell>
        </row>
        <row r="1828">
          <cell r="J1828" t="str">
            <v>Scope 3Business travel- landCars (by market segment)MPVDieselmiles</v>
          </cell>
          <cell r="K1828" t="str">
            <v>MPV Diesel miles</v>
          </cell>
          <cell r="L1828">
            <v>0.28170000000000001</v>
          </cell>
        </row>
        <row r="1829">
          <cell r="J1829" t="str">
            <v>Scope 3Business travel- landCars (by market segment)MPVPetrolkm</v>
          </cell>
          <cell r="K1829" t="str">
            <v>Business travel- land MPV Petrol km</v>
          </cell>
          <cell r="L1829">
            <v>0.19478999999999999</v>
          </cell>
        </row>
        <row r="1830">
          <cell r="J1830" t="str">
            <v>Scope 3Business travel- landCars (by market segment)MPVPetrolmiles</v>
          </cell>
          <cell r="K1830" t="str">
            <v>MPV Petrol miles</v>
          </cell>
          <cell r="L1830">
            <v>0.31349000000000005</v>
          </cell>
        </row>
        <row r="1831">
          <cell r="J1831" t="str">
            <v>Scope 3Business travel- landCars (by market segment)MPVUnknownkm</v>
          </cell>
          <cell r="K1831" t="str">
            <v>Business travel- land MPV Unknown km</v>
          </cell>
          <cell r="L1831">
            <v>0.18031</v>
          </cell>
        </row>
        <row r="1832">
          <cell r="J1832" t="str">
            <v>Scope 3Business travel- landCars (by market segment)MPVUnknownmiles</v>
          </cell>
          <cell r="K1832" t="str">
            <v>MPV Unknown miles</v>
          </cell>
          <cell r="L1832">
            <v>0.29017999999999999</v>
          </cell>
        </row>
        <row r="1833">
          <cell r="J1833" t="str">
            <v>Scope 3Business travel- landCars (by market segment)MPVPlug-in Hybrid Electric Vehiclekm</v>
          </cell>
          <cell r="K1833" t="str">
            <v>Business travel- land MPV Plug-in Hybrid Electric Vehicle km</v>
          </cell>
          <cell r="L1833" t="str">
            <v/>
          </cell>
        </row>
        <row r="1834">
          <cell r="J1834" t="str">
            <v>Scope 3Business travel- landCars (by market segment)MPVPlug-in Hybrid Electric Vehiclemiles</v>
          </cell>
          <cell r="K1834" t="str">
            <v>MPV Plug-in Hybrid Electric Vehicle miles</v>
          </cell>
          <cell r="L1834" t="str">
            <v/>
          </cell>
        </row>
        <row r="1835">
          <cell r="J1835" t="str">
            <v>Scope 3Business travel- landCars (by market segment)MPVBattery Electric Vehiclekm</v>
          </cell>
          <cell r="K1835" t="str">
            <v>Business travel- land MPV Battery Electric Vehicle km</v>
          </cell>
          <cell r="L1835">
            <v>6.9069999999999993E-2</v>
          </cell>
        </row>
        <row r="1836">
          <cell r="J1836" t="str">
            <v>Scope 3Business travel- landCars (by market segment)MPVBattery Electric Vehiclemiles</v>
          </cell>
          <cell r="K1836" t="str">
            <v>MPV Battery Electric Vehicle miles</v>
          </cell>
          <cell r="L1836">
            <v>0.11117</v>
          </cell>
        </row>
        <row r="1837">
          <cell r="J1837" t="str">
            <v>Scope 3Business travel- landCars (by size)Small carDieselkm</v>
          </cell>
          <cell r="K1837" t="str">
            <v>Business travel- land Small car Diesel km</v>
          </cell>
          <cell r="L1837">
            <v>0.13758000000000001</v>
          </cell>
        </row>
        <row r="1838">
          <cell r="J1838" t="str">
            <v>Scope 3Business travel- landCars (by size)Small carDieselmiles</v>
          </cell>
          <cell r="K1838" t="str">
            <v>Small car Diesel miles</v>
          </cell>
          <cell r="L1838">
            <v>0.22143000000000002</v>
          </cell>
        </row>
        <row r="1839">
          <cell r="J1839" t="str">
            <v>Scope 3Business travel- landCars (by size)Small carPetrolkm</v>
          </cell>
          <cell r="K1839" t="str">
            <v>Business travel- land Small car Petrol km</v>
          </cell>
          <cell r="L1839">
            <v>0.14946000000000001</v>
          </cell>
        </row>
        <row r="1840">
          <cell r="J1840" t="str">
            <v>Scope 3Business travel- landCars (by size)Small carPetrolmiles</v>
          </cell>
          <cell r="K1840" t="str">
            <v>Small car Petrol miles</v>
          </cell>
          <cell r="L1840">
            <v>0.24052000000000001</v>
          </cell>
        </row>
        <row r="1841">
          <cell r="J1841" t="str">
            <v>Scope 3Business travel- landCars (by size)Small carHybridkm</v>
          </cell>
          <cell r="K1841" t="str">
            <v>Business travel- land Small car Hybrid km</v>
          </cell>
          <cell r="L1841">
            <v>0.10494000000000001</v>
          </cell>
        </row>
        <row r="1842">
          <cell r="J1842" t="str">
            <v>Scope 3Business travel- landCars (by size)Small carHybridmiles</v>
          </cell>
          <cell r="K1842" t="str">
            <v>Small car Hybrid miles</v>
          </cell>
          <cell r="L1842">
            <v>0.16889000000000001</v>
          </cell>
        </row>
        <row r="1843">
          <cell r="J1843" t="str">
            <v>Scope 3Business travel- landCars (by size)Small carCNGkm</v>
          </cell>
          <cell r="K1843" t="str">
            <v>Business travel- land Small car CNG km</v>
          </cell>
        </row>
        <row r="1844">
          <cell r="J1844" t="str">
            <v>Scope 3Business travel- landCars (by size)Small carCNGmiles</v>
          </cell>
          <cell r="K1844" t="str">
            <v>Small car CNG miles</v>
          </cell>
        </row>
        <row r="1845">
          <cell r="J1845" t="str">
            <v>Scope 3Business travel- landCars (by size)Small carLPGkm</v>
          </cell>
          <cell r="K1845" t="str">
            <v>Business travel- land Small car LPG km</v>
          </cell>
        </row>
        <row r="1846">
          <cell r="J1846" t="str">
            <v>Scope 3Business travel- landCars (by size)Small carLPGmiles</v>
          </cell>
          <cell r="K1846" t="str">
            <v>Small car LPG miles</v>
          </cell>
        </row>
        <row r="1847">
          <cell r="J1847" t="str">
            <v>Scope 3Business travel- landCars (by size)Small carUnknownkm</v>
          </cell>
          <cell r="K1847" t="str">
            <v>Business travel- land Small car Unknown km</v>
          </cell>
          <cell r="L1847">
            <v>0.14549000000000001</v>
          </cell>
        </row>
        <row r="1848">
          <cell r="J1848" t="str">
            <v>Scope 3Business travel- landCars (by size)Small carUnknownmiles</v>
          </cell>
          <cell r="K1848" t="str">
            <v>Small car Unknown miles</v>
          </cell>
          <cell r="L1848">
            <v>0.23414000000000001</v>
          </cell>
        </row>
        <row r="1849">
          <cell r="J1849" t="str">
            <v>Scope 3Business travel- landCars (by size)Small carPlug-in Hybrid Electric Vehiclekm</v>
          </cell>
          <cell r="K1849" t="str">
            <v>Business travel- land Small car Plug-in Hybrid Electric Vehicle km</v>
          </cell>
          <cell r="L1849">
            <v>5.568E-2</v>
          </cell>
        </row>
        <row r="1850">
          <cell r="J1850" t="str">
            <v>Scope 3Business travel- landCars (by size)Small carPlug-in Hybrid Electric Vehiclemiles</v>
          </cell>
          <cell r="K1850" t="str">
            <v>Small car Plug-in Hybrid Electric Vehicle miles</v>
          </cell>
          <cell r="L1850">
            <v>8.9610000000000009E-2</v>
          </cell>
        </row>
        <row r="1851">
          <cell r="J1851" t="str">
            <v>Scope 3Business travel- landCars (by size)Small carBattery Electric Vehiclekm</v>
          </cell>
          <cell r="K1851" t="str">
            <v>Business travel- land Small car Battery Electric Vehicle km</v>
          </cell>
          <cell r="L1851">
            <v>4.5649999999999996E-2</v>
          </cell>
        </row>
        <row r="1852">
          <cell r="J1852" t="str">
            <v>Scope 3Business travel- landCars (by size)Small carBattery Electric Vehiclemiles</v>
          </cell>
          <cell r="K1852" t="str">
            <v>Small car Battery Electric Vehicle miles</v>
          </cell>
          <cell r="L1852">
            <v>7.3480000000000004E-2</v>
          </cell>
        </row>
        <row r="1853">
          <cell r="J1853" t="str">
            <v>Scope 3Business travel- landCars (by size)Medium carDieselkm</v>
          </cell>
          <cell r="K1853" t="str">
            <v>Business travel- land Medium car Diesel km</v>
          </cell>
          <cell r="L1853">
            <v>0.16496</v>
          </cell>
        </row>
        <row r="1854">
          <cell r="J1854" t="str">
            <v>Scope 3Business travel- landCars (by size)Medium carDieselmiles</v>
          </cell>
          <cell r="K1854" t="str">
            <v>Medium car Diesel miles</v>
          </cell>
          <cell r="L1854">
            <v>0.26549</v>
          </cell>
        </row>
        <row r="1855">
          <cell r="J1855" t="str">
            <v>Scope 3Business travel- landCars (by size)Medium carPetrolkm</v>
          </cell>
          <cell r="K1855" t="str">
            <v>Business travel- land Medium car Petrol km</v>
          </cell>
          <cell r="L1855">
            <v>0.18784999999999999</v>
          </cell>
        </row>
        <row r="1856">
          <cell r="J1856" t="str">
            <v>Scope 3Business travel- landCars (by size)Medium carPetrolmiles</v>
          </cell>
          <cell r="K1856" t="str">
            <v>Medium car Petrol miles</v>
          </cell>
          <cell r="L1856">
            <v>0.30231000000000002</v>
          </cell>
        </row>
        <row r="1857">
          <cell r="J1857" t="str">
            <v>Scope 3Business travel- landCars (by size)Medium carHybridkm</v>
          </cell>
          <cell r="K1857" t="str">
            <v>Business travel- land Medium car Hybrid km</v>
          </cell>
          <cell r="L1857">
            <v>0.10957</v>
          </cell>
        </row>
        <row r="1858">
          <cell r="J1858" t="str">
            <v>Scope 3Business travel- landCars (by size)Medium carHybridmiles</v>
          </cell>
          <cell r="K1858" t="str">
            <v>Medium car Hybrid miles</v>
          </cell>
          <cell r="L1858">
            <v>0.17635000000000001</v>
          </cell>
        </row>
        <row r="1859">
          <cell r="J1859" t="str">
            <v>Scope 3Business travel- landCars (by size)Medium carCNGkm</v>
          </cell>
          <cell r="K1859" t="str">
            <v>Business travel- land Medium car CNG km</v>
          </cell>
          <cell r="L1859">
            <v>0.15948999999999999</v>
          </cell>
        </row>
        <row r="1860">
          <cell r="J1860" t="str">
            <v>Scope 3Business travel- landCars (by size)Medium carCNGmiles</v>
          </cell>
          <cell r="K1860" t="str">
            <v>Medium car CNG miles</v>
          </cell>
          <cell r="L1860">
            <v>0.25666999999999995</v>
          </cell>
        </row>
        <row r="1861">
          <cell r="J1861" t="str">
            <v>Scope 3Business travel- landCars (by size)Medium carLPGkm</v>
          </cell>
          <cell r="K1861" t="str">
            <v>Business travel- land Medium car LPG km</v>
          </cell>
          <cell r="L1861">
            <v>0.17927000000000001</v>
          </cell>
        </row>
        <row r="1862">
          <cell r="J1862" t="str">
            <v>Scope 3Business travel- landCars (by size)Medium carLPGmiles</v>
          </cell>
          <cell r="K1862" t="str">
            <v>Medium car LPG miles</v>
          </cell>
          <cell r="L1862">
            <v>0.28849000000000002</v>
          </cell>
        </row>
        <row r="1863">
          <cell r="J1863" t="str">
            <v>Scope 3Business travel- landCars (by size)Medium carUnknownkm</v>
          </cell>
          <cell r="K1863" t="str">
            <v>Business travel- land Medium car Unknown km</v>
          </cell>
          <cell r="L1863">
            <v>0.17562</v>
          </cell>
        </row>
        <row r="1864">
          <cell r="J1864" t="str">
            <v>Scope 3Business travel- landCars (by size)Medium carUnknownmiles</v>
          </cell>
          <cell r="K1864" t="str">
            <v>Medium car Unknown miles</v>
          </cell>
          <cell r="L1864">
            <v>0.28263000000000005</v>
          </cell>
        </row>
        <row r="1865">
          <cell r="J1865" t="str">
            <v>Scope 3Business travel- landCars (by size)Medium carPlug-in Hybrid Electric Vehiclekm</v>
          </cell>
          <cell r="K1865" t="str">
            <v>Business travel- land Medium car Plug-in Hybrid Electric Vehicle km</v>
          </cell>
          <cell r="L1865">
            <v>9.0970000000000009E-2</v>
          </cell>
        </row>
        <row r="1866">
          <cell r="J1866" t="str">
            <v>Scope 3Business travel- landCars (by size)Medium carPlug-in Hybrid Electric Vehiclemiles</v>
          </cell>
          <cell r="K1866" t="str">
            <v>Medium car Plug-in Hybrid Electric Vehicle miles</v>
          </cell>
          <cell r="L1866">
            <v>0.14638999999999999</v>
          </cell>
        </row>
        <row r="1867">
          <cell r="J1867" t="str">
            <v>Scope 3Business travel- landCars (by size)Medium carBattery Electric Vehiclekm</v>
          </cell>
          <cell r="K1867" t="str">
            <v>Business travel- land Medium car Battery Electric Vehicle km</v>
          </cell>
          <cell r="L1867">
            <v>5.2539999999999996E-2</v>
          </cell>
        </row>
        <row r="1868">
          <cell r="J1868" t="str">
            <v>Scope 3Business travel- landCars (by size)Medium carBattery Electric Vehiclemiles</v>
          </cell>
          <cell r="K1868" t="str">
            <v>Medium car Battery Electric Vehicle miles</v>
          </cell>
          <cell r="L1868">
            <v>8.455E-2</v>
          </cell>
        </row>
        <row r="1869">
          <cell r="J1869" t="str">
            <v>Scope 3Business travel- landCars (by size)Large carDieselkm</v>
          </cell>
          <cell r="K1869" t="str">
            <v>Business travel- land Large car Diesel km</v>
          </cell>
          <cell r="L1869">
            <v>0.20721000000000001</v>
          </cell>
        </row>
        <row r="1870">
          <cell r="J1870" t="str">
            <v>Scope 3Business travel- landCars (by size)Large carDieselmiles</v>
          </cell>
          <cell r="K1870" t="str">
            <v>Large car Diesel miles</v>
          </cell>
          <cell r="L1870">
            <v>0.33348</v>
          </cell>
        </row>
        <row r="1871">
          <cell r="J1871" t="str">
            <v>Scope 3Business travel- landCars (by size)Large carPetrolkm</v>
          </cell>
          <cell r="K1871" t="str">
            <v>Business travel- land Large car Petrol km</v>
          </cell>
          <cell r="L1871">
            <v>0.27909</v>
          </cell>
        </row>
        <row r="1872">
          <cell r="J1872" t="str">
            <v>Scope 3Business travel- landCars (by size)Large carPetrolmiles</v>
          </cell>
          <cell r="K1872" t="str">
            <v>Large car Petrol miles</v>
          </cell>
          <cell r="L1872">
            <v>0.44914000000000004</v>
          </cell>
        </row>
        <row r="1873">
          <cell r="J1873" t="str">
            <v>Scope 3Business travel- landCars (by size)Large carHybridkm</v>
          </cell>
          <cell r="K1873" t="str">
            <v>Business travel- land Large car Hybrid km</v>
          </cell>
          <cell r="L1873">
            <v>0.15151000000000001</v>
          </cell>
        </row>
        <row r="1874">
          <cell r="J1874" t="str">
            <v>Scope 3Business travel- landCars (by size)Large carHybridmiles</v>
          </cell>
          <cell r="K1874" t="str">
            <v>Large car Hybrid miles</v>
          </cell>
          <cell r="L1874">
            <v>0.24382000000000001</v>
          </cell>
        </row>
        <row r="1875">
          <cell r="J1875" t="str">
            <v>Scope 3Business travel- landCars (by size)Large carCNGkm</v>
          </cell>
          <cell r="K1875" t="str">
            <v>Business travel- land Large car CNG km</v>
          </cell>
          <cell r="L1875">
            <v>0.23626</v>
          </cell>
        </row>
        <row r="1876">
          <cell r="J1876" t="str">
            <v>Scope 3Business travel- landCars (by size)Large carCNGmiles</v>
          </cell>
          <cell r="K1876" t="str">
            <v>Large car CNG miles</v>
          </cell>
          <cell r="L1876">
            <v>0.38022999999999996</v>
          </cell>
        </row>
        <row r="1877">
          <cell r="J1877" t="str">
            <v>Scope 3Business travel- landCars (by size)Large carLPGkm</v>
          </cell>
          <cell r="K1877" t="str">
            <v>Business travel- land Large car LPG km</v>
          </cell>
          <cell r="L1877">
            <v>0.26643</v>
          </cell>
        </row>
        <row r="1878">
          <cell r="J1878" t="str">
            <v>Scope 3Business travel- landCars (by size)Large carLPGmiles</v>
          </cell>
          <cell r="K1878" t="str">
            <v>Large car LPG miles</v>
          </cell>
          <cell r="L1878">
            <v>0.42876000000000003</v>
          </cell>
        </row>
        <row r="1879">
          <cell r="J1879" t="str">
            <v>Scope 3Business travel- landCars (by size)Large carUnknownkm</v>
          </cell>
          <cell r="K1879" t="str">
            <v>Business travel- land Large car Unknown km</v>
          </cell>
          <cell r="L1879">
            <v>0.22597</v>
          </cell>
        </row>
        <row r="1880">
          <cell r="J1880" t="str">
            <v>Scope 3Business travel- landCars (by size)Large carUnknownmiles</v>
          </cell>
          <cell r="K1880" t="str">
            <v>Large car Unknown miles</v>
          </cell>
          <cell r="L1880">
            <v>0.36365999999999998</v>
          </cell>
        </row>
        <row r="1881">
          <cell r="J1881" t="str">
            <v>Scope 3Business travel- landCars (by size)Large carPlug-in Hybrid Electric Vehiclekm</v>
          </cell>
          <cell r="K1881" t="str">
            <v>Business travel- land Large car Plug-in Hybrid Electric Vehicle km</v>
          </cell>
          <cell r="L1881">
            <v>0.10492</v>
          </cell>
        </row>
        <row r="1882">
          <cell r="J1882" t="str">
            <v>Scope 3Business travel- landCars (by size)Large carPlug-in Hybrid Electric Vehiclemiles</v>
          </cell>
          <cell r="K1882" t="str">
            <v>Large car Plug-in Hybrid Electric Vehicle miles</v>
          </cell>
          <cell r="L1882">
            <v>0.16885999999999998</v>
          </cell>
        </row>
        <row r="1883">
          <cell r="J1883" t="str">
            <v>Scope 3Business travel- landCars (by size)Large carBattery Electric Vehiclekm</v>
          </cell>
          <cell r="K1883" t="str">
            <v>Business travel- land Large car Battery Electric Vehicle km</v>
          </cell>
          <cell r="L1883">
            <v>6.0660000000000006E-2</v>
          </cell>
        </row>
        <row r="1884">
          <cell r="J1884" t="str">
            <v>Scope 3Business travel- landCars (by size)Large carBattery Electric Vehiclemiles</v>
          </cell>
          <cell r="K1884" t="str">
            <v>Large car Battery Electric Vehicle miles</v>
          </cell>
          <cell r="L1884">
            <v>9.7619999999999998E-2</v>
          </cell>
        </row>
        <row r="1885">
          <cell r="J1885" t="str">
            <v>Scope 3Business travel- landCars (by size)Average carDieselkm</v>
          </cell>
          <cell r="K1885" t="str">
            <v>Business travel- land Average car Diesel km</v>
          </cell>
          <cell r="L1885">
            <v>0.16843</v>
          </cell>
        </row>
        <row r="1886">
          <cell r="J1886" t="str">
            <v>Scope 3Business travel- landCars (by size)Average carDieselmiles</v>
          </cell>
          <cell r="K1886" t="str">
            <v>Average car Diesel miles</v>
          </cell>
          <cell r="L1886">
            <v>0.27107999999999999</v>
          </cell>
        </row>
        <row r="1887">
          <cell r="J1887" t="str">
            <v>Scope 3Business travel- landCars (by size)Average carPetrolkm</v>
          </cell>
          <cell r="K1887" t="str">
            <v>Business travel- land Average car Petrol km</v>
          </cell>
          <cell r="L1887">
            <v>0.17430999999999999</v>
          </cell>
        </row>
        <row r="1888">
          <cell r="J1888" t="str">
            <v>Scope 3Business travel- landCars (by size)Average carPetrolmiles</v>
          </cell>
          <cell r="K1888" t="str">
            <v>Average car Petrol miles</v>
          </cell>
          <cell r="L1888">
            <v>0.28053000000000006</v>
          </cell>
        </row>
        <row r="1889">
          <cell r="J1889" t="str">
            <v>Scope 3Business travel- landCars (by size)Average carHybridkm</v>
          </cell>
          <cell r="K1889" t="str">
            <v>Business travel- land Average car Hybrid km</v>
          </cell>
          <cell r="L1889">
            <v>0.11952</v>
          </cell>
        </row>
        <row r="1890">
          <cell r="J1890" t="str">
            <v>Scope 3Business travel- landCars (by size)Average carHybridmiles</v>
          </cell>
          <cell r="K1890" t="str">
            <v>Average car Hybrid miles</v>
          </cell>
          <cell r="L1890">
            <v>0.19234000000000001</v>
          </cell>
        </row>
        <row r="1891">
          <cell r="J1891" t="str">
            <v>Scope 3Business travel- landCars (by size)Average carCNGkm</v>
          </cell>
          <cell r="K1891" t="str">
            <v>Business travel- land Average car CNG km</v>
          </cell>
          <cell r="L1891">
            <v>0.17624000000000001</v>
          </cell>
        </row>
        <row r="1892">
          <cell r="J1892" t="str">
            <v>Scope 3Business travel- landCars (by size)Average carCNGmiles</v>
          </cell>
          <cell r="K1892" t="str">
            <v>Average car CNG miles</v>
          </cell>
          <cell r="L1892">
            <v>0.28361999999999998</v>
          </cell>
        </row>
        <row r="1893">
          <cell r="J1893" t="str">
            <v>Scope 3Business travel- landCars (by size)Average carLPGkm</v>
          </cell>
          <cell r="K1893" t="str">
            <v>Business travel- land Average car LPG km</v>
          </cell>
          <cell r="L1893">
            <v>0.19828000000000001</v>
          </cell>
        </row>
        <row r="1894">
          <cell r="J1894" t="str">
            <v>Scope 3Business travel- landCars (by size)Average carLPGmiles</v>
          </cell>
          <cell r="K1894" t="str">
            <v>Average car LPG miles</v>
          </cell>
          <cell r="L1894">
            <v>0.31908999999999998</v>
          </cell>
        </row>
        <row r="1895">
          <cell r="J1895" t="str">
            <v>Scope 3Business travel- landCars (by size)Average carUnknownkm</v>
          </cell>
          <cell r="K1895" t="str">
            <v>Business travel- land Average car Unknown km</v>
          </cell>
          <cell r="L1895">
            <v>0.17147999999999999</v>
          </cell>
        </row>
        <row r="1896">
          <cell r="J1896" t="str">
            <v>Scope 3Business travel- landCars (by size)Average carUnknownmiles</v>
          </cell>
          <cell r="K1896" t="str">
            <v>Average car Unknown miles</v>
          </cell>
          <cell r="L1896">
            <v>0.27595999999999998</v>
          </cell>
        </row>
        <row r="1897">
          <cell r="J1897" t="str">
            <v>Scope 3Business travel- landCars (by size)Average carPlug-in Hybrid Electric Vehiclekm</v>
          </cell>
          <cell r="K1897" t="str">
            <v>Business travel- land Average car Plug-in Hybrid Electric Vehicle km</v>
          </cell>
          <cell r="L1897">
            <v>9.6939999999999998E-2</v>
          </cell>
        </row>
        <row r="1898">
          <cell r="J1898" t="str">
            <v>Scope 3Business travel- landCars (by size)Average carPlug-in Hybrid Electric Vehiclemiles</v>
          </cell>
          <cell r="K1898" t="str">
            <v>Average car Plug-in Hybrid Electric Vehicle miles</v>
          </cell>
          <cell r="L1898">
            <v>0.15600999999999998</v>
          </cell>
        </row>
        <row r="1899">
          <cell r="J1899" t="str">
            <v>Scope 3Business travel- landCars (by size)Average carBattery Electric Vehiclekm</v>
          </cell>
          <cell r="K1899" t="str">
            <v>Business travel- land Average car Battery Electric Vehicle km</v>
          </cell>
          <cell r="L1899">
            <v>5.4770000000000006E-2</v>
          </cell>
        </row>
        <row r="1900">
          <cell r="J1900" t="str">
            <v>Scope 3Business travel- landCars (by size)Average carBattery Electric Vehiclemiles</v>
          </cell>
          <cell r="K1900" t="str">
            <v>Average car Battery Electric Vehicle miles</v>
          </cell>
          <cell r="L1900">
            <v>8.8139999999999996E-2</v>
          </cell>
        </row>
        <row r="1901">
          <cell r="J1901" t="str">
            <v>Scope 3Business travel- landMotorbikeSmallkm</v>
          </cell>
          <cell r="K1901" t="str">
            <v>Business travel- land Small  km</v>
          </cell>
          <cell r="L1901">
            <v>8.3060000000000009E-2</v>
          </cell>
        </row>
        <row r="1902">
          <cell r="J1902" t="str">
            <v>Scope 3Business travel- landMotorbikeSmallMotorbikemiles</v>
          </cell>
          <cell r="K1902" t="str">
            <v>Small Motorbike miles</v>
          </cell>
          <cell r="L1902">
            <v>0.13369</v>
          </cell>
        </row>
        <row r="1903">
          <cell r="J1903" t="str">
            <v>Scope 3Business travel- landMotorbikeMediumkm</v>
          </cell>
          <cell r="K1903" t="str">
            <v>Business travel- land Medium  km</v>
          </cell>
          <cell r="L1903">
            <v>0.1009</v>
          </cell>
        </row>
        <row r="1904">
          <cell r="J1904" t="str">
            <v>Scope 3Business travel- landMotorbikeMediumMotorbikemiles</v>
          </cell>
          <cell r="K1904" t="str">
            <v>Medium Motorbike miles</v>
          </cell>
          <cell r="L1904">
            <v>0.16236999999999999</v>
          </cell>
        </row>
        <row r="1905">
          <cell r="J1905" t="str">
            <v>Scope 3Business travel- landMotorbikeLargekm</v>
          </cell>
          <cell r="K1905" t="str">
            <v>Business travel- land Large  km</v>
          </cell>
          <cell r="L1905">
            <v>0.13244999999999998</v>
          </cell>
        </row>
        <row r="1906">
          <cell r="J1906" t="str">
            <v>Scope 3Business travel- landMotorbikeLargeMotorbikemiles</v>
          </cell>
          <cell r="K1906" t="str">
            <v>Large Motorbike miles</v>
          </cell>
          <cell r="L1906">
            <v>0.21314999999999998</v>
          </cell>
        </row>
        <row r="1907">
          <cell r="J1907" t="str">
            <v>Scope 3Business travel- landMotorbikeAveragekm</v>
          </cell>
          <cell r="K1907" t="str">
            <v>Business travel- land Average  km</v>
          </cell>
          <cell r="L1907">
            <v>0.11355</v>
          </cell>
        </row>
        <row r="1908">
          <cell r="J1908" t="str">
            <v>Scope 3Business travel- landMotorbikeAverageMotorbikemiles</v>
          </cell>
          <cell r="K1908" t="str">
            <v>Average Motorbike miles</v>
          </cell>
          <cell r="L1908">
            <v>0.18273999999999999</v>
          </cell>
        </row>
        <row r="1909">
          <cell r="J1909" t="str">
            <v>Scope 3Business travel- landTaxisRegular taxikm</v>
          </cell>
          <cell r="K1909" t="str">
            <v>Business travel- land Regular taxi  km</v>
          </cell>
          <cell r="L1909">
            <v>0.20826</v>
          </cell>
        </row>
        <row r="1910">
          <cell r="J1910" t="str">
            <v>Scope 3Business travel- landTaxisRegular taxipassenger.km</v>
          </cell>
          <cell r="K1910" t="str">
            <v>Business travel- land Regular taxi  passenger.km</v>
          </cell>
          <cell r="L1910">
            <v>0.14876</v>
          </cell>
        </row>
        <row r="1911">
          <cell r="J1911" t="str">
            <v>Scope 3Business travel- landTaxisBlack cabkm</v>
          </cell>
          <cell r="K1911" t="str">
            <v>Business travel- land Black cab  km</v>
          </cell>
          <cell r="L1911">
            <v>0.30624000000000001</v>
          </cell>
        </row>
        <row r="1912">
          <cell r="J1912" t="str">
            <v>Scope 3Business travel- landTaxisBlack cabpassenger.km</v>
          </cell>
          <cell r="K1912" t="str">
            <v>Business travel- land Black cab  passenger.km</v>
          </cell>
          <cell r="L1912">
            <v>0.20416000000000001</v>
          </cell>
        </row>
        <row r="1913">
          <cell r="J1913" t="str">
            <v>Scope 3Business travel- landBusLocal bus (not London)passenger.km</v>
          </cell>
          <cell r="K1913" t="str">
            <v>Business travel- land Local bus (not London)  passenger.km</v>
          </cell>
          <cell r="L1913">
            <v>0.11774000000000001</v>
          </cell>
        </row>
        <row r="1914">
          <cell r="J1914" t="str">
            <v>Scope 3Business travel- landBusLocal London buspassenger.km</v>
          </cell>
          <cell r="K1914" t="str">
            <v>Business travel- land Local London bus  passenger.km</v>
          </cell>
          <cell r="L1914">
            <v>7.7179999999999999E-2</v>
          </cell>
        </row>
        <row r="1915">
          <cell r="J1915" t="str">
            <v>Scope 3Business travel- landBusAverage local buspassenger.km</v>
          </cell>
          <cell r="K1915" t="str">
            <v>Business travel- land Average local bus  passenger.km</v>
          </cell>
          <cell r="L1915">
            <v>0.10227</v>
          </cell>
        </row>
        <row r="1916">
          <cell r="J1916" t="str">
            <v>Scope 3Business travel- landBusCoachpassenger.km</v>
          </cell>
          <cell r="K1916" t="str">
            <v>Business travel- land Coach  passenger.km</v>
          </cell>
          <cell r="L1916">
            <v>2.6839999999999999E-2</v>
          </cell>
        </row>
        <row r="1917">
          <cell r="J1917" t="str">
            <v>Scope 3Business travel- landRailNational railpassenger.km</v>
          </cell>
          <cell r="K1917" t="str">
            <v>Business travel- land National rail  passenger.km</v>
          </cell>
          <cell r="L1917">
            <v>3.5490000000000001E-2</v>
          </cell>
        </row>
        <row r="1918">
          <cell r="J1918" t="str">
            <v>Scope 3Business travel- landRailInternational railpassenger.km</v>
          </cell>
          <cell r="K1918" t="str">
            <v>Business travel- land International rail  passenger.km</v>
          </cell>
          <cell r="L1918">
            <v>4.4599999999999996E-3</v>
          </cell>
        </row>
        <row r="1919">
          <cell r="J1919" t="str">
            <v>Scope 3Business travel- landRailLight rail and trampassenger.km</v>
          </cell>
          <cell r="K1919" t="str">
            <v>Business travel- land Light rail and tram  passenger.km</v>
          </cell>
          <cell r="L1919">
            <v>2.8129999999999999E-2</v>
          </cell>
        </row>
        <row r="1920">
          <cell r="J1920" t="str">
            <v>Scope 3Business travel- landRailLondon Undergroundpassenger.km</v>
          </cell>
          <cell r="K1920" t="str">
            <v>Business travel- land London Underground  passenger.km</v>
          </cell>
          <cell r="L1920">
            <v>2.7809999999999998E-2</v>
          </cell>
        </row>
        <row r="1921">
          <cell r="J1921" t="str">
            <v>Scope 3Managed assets- electricityUK electricity generated (managed assets)Electricity: UKkWh</v>
          </cell>
          <cell r="K1921" t="str">
            <v>Electricity: UK kWh</v>
          </cell>
          <cell r="L1921">
            <v>0.21233000000000002</v>
          </cell>
        </row>
        <row r="1922">
          <cell r="J1922" t="str">
            <v>Scope 3Managed assets- vehiclesManaged cars (by market segment)MiniDieselkm</v>
          </cell>
          <cell r="K1922" t="str">
            <v>Mini km Managed cars (by market segment)</v>
          </cell>
          <cell r="L1922">
            <v>0.10630000000000001</v>
          </cell>
        </row>
        <row r="1923">
          <cell r="J1923" t="str">
            <v>Scope 3Managed assets- vehiclesManaged cars (by market segment)MiniDieselmiles</v>
          </cell>
          <cell r="K1923" t="str">
            <v>Mini miles Managed cars (by market segment)</v>
          </cell>
          <cell r="L1923">
            <v>0.17108000000000001</v>
          </cell>
        </row>
        <row r="1924">
          <cell r="J1924" t="str">
            <v>Scope 3Managed assets- vehiclesManaged cars (by market segment)MiniPetrolkm</v>
          </cell>
          <cell r="K1924" t="str">
            <v>Mini km Managed cars (by market segment)</v>
          </cell>
          <cell r="L1924">
            <v>0.1361</v>
          </cell>
        </row>
        <row r="1925">
          <cell r="J1925" t="str">
            <v>Scope 3Managed assets- vehiclesManaged cars (by market segment)MiniPetrolmiles</v>
          </cell>
          <cell r="K1925" t="str">
            <v>Mini miles Managed cars (by market segment)</v>
          </cell>
          <cell r="L1925">
            <v>0.21903</v>
          </cell>
        </row>
        <row r="1926">
          <cell r="J1926" t="str">
            <v>Scope 3Managed assets- vehiclesManaged cars (by market segment)MiniUnknownkm</v>
          </cell>
          <cell r="K1926" t="str">
            <v>Mini km Managed cars (by market segment)</v>
          </cell>
          <cell r="L1926">
            <v>0.13578999999999999</v>
          </cell>
        </row>
        <row r="1927">
          <cell r="J1927" t="str">
            <v>Scope 3Managed assets- vehiclesManaged cars (by market segment)MiniUnknownmiles</v>
          </cell>
          <cell r="K1927" t="str">
            <v>Mini miles Managed cars (by market segment)</v>
          </cell>
          <cell r="L1927">
            <v>0.21854000000000001</v>
          </cell>
        </row>
        <row r="1928">
          <cell r="J1928" t="str">
            <v>Scope 3Managed assets- vehiclesManaged cars (by market segment)MiniPlug-in Hybrid Electric Vehiclekm</v>
          </cell>
          <cell r="K1928" t="str">
            <v>Mini km Managed cars (by market segment)</v>
          </cell>
        </row>
        <row r="1929">
          <cell r="J1929" t="str">
            <v>Scope 3Managed assets- vehiclesManaged cars (by market segment)MiniPlug-in Hybrid Electric Vehiclemiles</v>
          </cell>
          <cell r="K1929" t="str">
            <v>Mini miles Managed cars (by market segment)</v>
          </cell>
        </row>
        <row r="1930">
          <cell r="J1930" t="str">
            <v>Scope 3Managed assets- vehiclesManaged cars (by market segment)MiniBattery Electric Vehiclekm</v>
          </cell>
          <cell r="K1930" t="str">
            <v>Mini km Managed cars (by market segment)</v>
          </cell>
          <cell r="L1930">
            <v>4.3910000000000005E-2</v>
          </cell>
        </row>
        <row r="1931">
          <cell r="J1931" t="str">
            <v>Scope 3Managed assets- vehiclesManaged cars (by market segment)MiniBattery Electric Vehiclemiles</v>
          </cell>
          <cell r="K1931" t="str">
            <v>Mini miles Managed cars (by market segment)</v>
          </cell>
          <cell r="L1931">
            <v>7.0679999999999993E-2</v>
          </cell>
        </row>
        <row r="1932">
          <cell r="J1932" t="str">
            <v>Scope 3Managed assets- vehiclesManaged cars (by market segment)SuperminiDieselkm</v>
          </cell>
          <cell r="K1932" t="str">
            <v>Supermini km Managed cars (by market segment)</v>
          </cell>
          <cell r="L1932">
            <v>0.13078000000000001</v>
          </cell>
        </row>
        <row r="1933">
          <cell r="J1933" t="str">
            <v>Scope 3Managed assets- vehiclesManaged cars (by market segment)SuperminiDieselmiles</v>
          </cell>
          <cell r="K1933" t="str">
            <v>Supermini miles Managed cars (by market segment)</v>
          </cell>
          <cell r="L1933">
            <v>0.21049000000000001</v>
          </cell>
        </row>
        <row r="1934">
          <cell r="J1934" t="str">
            <v>Scope 3Managed assets- vehiclesManaged cars (by market segment)SuperminiPetrolkm</v>
          </cell>
          <cell r="K1934" t="str">
            <v>Supermini km Managed cars (by market segment)</v>
          </cell>
          <cell r="L1934">
            <v>0.15129999999999999</v>
          </cell>
        </row>
        <row r="1935">
          <cell r="J1935" t="str">
            <v>Scope 3Managed assets- vehiclesManaged cars (by market segment)SuperminiPetrolmiles</v>
          </cell>
          <cell r="K1935" t="str">
            <v>Supermini miles Managed cars (by market segment)</v>
          </cell>
          <cell r="L1935">
            <v>0.24349999999999999</v>
          </cell>
        </row>
        <row r="1936">
          <cell r="J1936" t="str">
            <v>Scope 3Managed assets- vehiclesManaged cars (by market segment)SuperminiUnknownkm</v>
          </cell>
          <cell r="K1936" t="str">
            <v>Supermini km Managed cars (by market segment)</v>
          </cell>
          <cell r="L1936">
            <v>0.14821999999999999</v>
          </cell>
        </row>
        <row r="1937">
          <cell r="J1937" t="str">
            <v>Scope 3Managed assets- vehiclesManaged cars (by market segment)SuperminiUnknownmiles</v>
          </cell>
          <cell r="K1937" t="str">
            <v>Supermini miles Managed cars (by market segment)</v>
          </cell>
          <cell r="L1937">
            <v>0.23854000000000003</v>
          </cell>
        </row>
        <row r="1938">
          <cell r="J1938" t="str">
            <v>Scope 3Managed assets- vehiclesManaged cars (by market segment)SuperminiPlug-in Hybrid Electric Vehiclekm</v>
          </cell>
          <cell r="K1938" t="str">
            <v>Supermini km Managed cars (by market segment)</v>
          </cell>
          <cell r="L1938">
            <v>5.568E-2</v>
          </cell>
        </row>
        <row r="1939">
          <cell r="J1939" t="str">
            <v>Scope 3Managed assets- vehiclesManaged cars (by market segment)SuperminiPlug-in Hybrid Electric Vehiclemiles</v>
          </cell>
          <cell r="K1939" t="str">
            <v>Supermini miles Managed cars (by market segment)</v>
          </cell>
          <cell r="L1939">
            <v>8.9610000000000009E-2</v>
          </cell>
        </row>
        <row r="1940">
          <cell r="J1940" t="str">
            <v>Scope 3Managed assets- vehiclesManaged cars (by market segment)SuperminiBattery Electric Vehiclekm</v>
          </cell>
          <cell r="K1940" t="str">
            <v>Supermini km Managed cars (by market segment)</v>
          </cell>
          <cell r="L1940">
            <v>4.616E-2</v>
          </cell>
        </row>
        <row r="1941">
          <cell r="J1941" t="str">
            <v>Scope 3Managed assets- vehiclesManaged cars (by market segment)SuperminiBattery Electric Vehiclemiles</v>
          </cell>
          <cell r="K1941" t="str">
            <v>Supermini miles Managed cars (by market segment)</v>
          </cell>
          <cell r="L1941">
            <v>7.4279999999999999E-2</v>
          </cell>
        </row>
        <row r="1942">
          <cell r="J1942" t="str">
            <v>Scope 3Managed assets- vehiclesManaged cars (by market segment)Lower mediumDieselkm</v>
          </cell>
          <cell r="K1942" t="str">
            <v>Lower medium km Managed cars (by market segment)</v>
          </cell>
          <cell r="L1942">
            <v>0.14307</v>
          </cell>
        </row>
        <row r="1943">
          <cell r="J1943" t="str">
            <v>Scope 3Managed assets- vehiclesManaged cars (by market segment)Lower mediumDieselmiles</v>
          </cell>
          <cell r="K1943" t="str">
            <v>Lower medium miles Managed cars (by market segment)</v>
          </cell>
          <cell r="L1943">
            <v>0.23026000000000002</v>
          </cell>
        </row>
        <row r="1944">
          <cell r="J1944" t="str">
            <v>Scope 3Managed assets- vehiclesManaged cars (by market segment)Lower mediumPetrolkm</v>
          </cell>
          <cell r="K1944" t="str">
            <v>Lower medium km Managed cars (by market segment)</v>
          </cell>
          <cell r="L1944">
            <v>0.17496999999999999</v>
          </cell>
        </row>
        <row r="1945">
          <cell r="J1945" t="str">
            <v>Scope 3Managed assets- vehiclesManaged cars (by market segment)Lower mediumPetrolmiles</v>
          </cell>
          <cell r="K1945" t="str">
            <v>Lower medium miles Managed cars (by market segment)</v>
          </cell>
          <cell r="L1945">
            <v>0.28159000000000006</v>
          </cell>
        </row>
        <row r="1946">
          <cell r="J1946" t="str">
            <v>Scope 3Managed assets- vehiclesManaged cars (by market segment)Lower mediumUnknownkm</v>
          </cell>
          <cell r="K1946" t="str">
            <v>Lower medium km Managed cars (by market segment)</v>
          </cell>
          <cell r="L1946">
            <v>0.15903</v>
          </cell>
        </row>
        <row r="1947">
          <cell r="J1947" t="str">
            <v>Scope 3Managed assets- vehiclesManaged cars (by market segment)Lower mediumUnknownmiles</v>
          </cell>
          <cell r="K1947" t="str">
            <v>Lower medium miles Managed cars (by market segment)</v>
          </cell>
          <cell r="L1947">
            <v>0.25592999999999999</v>
          </cell>
        </row>
        <row r="1948">
          <cell r="J1948" t="str">
            <v>Scope 3Managed assets- vehiclesManaged cars (by market segment)Lower mediumPlug-in Hybrid Electric Vehiclekm</v>
          </cell>
          <cell r="K1948" t="str">
            <v>Lower medium km Managed cars (by market segment)</v>
          </cell>
          <cell r="L1948">
            <v>8.8760000000000006E-2</v>
          </cell>
        </row>
        <row r="1949">
          <cell r="J1949" t="str">
            <v>Scope 3Managed assets- vehiclesManaged cars (by market segment)Lower mediumPlug-in Hybrid Electric Vehiclemiles</v>
          </cell>
          <cell r="K1949" t="str">
            <v>Lower medium miles Managed cars (by market segment)</v>
          </cell>
          <cell r="L1949">
            <v>0.14283999999999999</v>
          </cell>
        </row>
        <row r="1950">
          <cell r="J1950" t="str">
            <v>Scope 3Managed assets- vehiclesManaged cars (by market segment)Lower mediumBattery Electric Vehiclekm</v>
          </cell>
          <cell r="K1950" t="str">
            <v>Lower medium km Managed cars (by market segment)</v>
          </cell>
          <cell r="L1950">
            <v>5.2559999999999996E-2</v>
          </cell>
        </row>
        <row r="1951">
          <cell r="J1951" t="str">
            <v>Scope 3Managed assets- vehiclesManaged cars (by market segment)Lower mediumBattery Electric Vehiclemiles</v>
          </cell>
          <cell r="K1951" t="str">
            <v>Lower medium miles Managed cars (by market segment)</v>
          </cell>
          <cell r="L1951">
            <v>8.4580000000000002E-2</v>
          </cell>
        </row>
        <row r="1952">
          <cell r="J1952" t="str">
            <v>Scope 3Managed assets- vehiclesManaged cars (by market segment)Upper mediumDieselkm</v>
          </cell>
          <cell r="K1952" t="str">
            <v>Upper medium km Managed cars (by market segment)</v>
          </cell>
          <cell r="L1952">
            <v>0.15955</v>
          </cell>
        </row>
        <row r="1953">
          <cell r="J1953" t="str">
            <v>Scope 3Managed assets- vehiclesManaged cars (by market segment)Upper mediumDieselmiles</v>
          </cell>
          <cell r="K1953" t="str">
            <v>Upper medium miles Managed cars (by market segment)</v>
          </cell>
          <cell r="L1953">
            <v>0.25678000000000001</v>
          </cell>
        </row>
        <row r="1954">
          <cell r="J1954" t="str">
            <v>Scope 3Managed assets- vehiclesManaged cars (by market segment)Upper mediumPetrolkm</v>
          </cell>
          <cell r="K1954" t="str">
            <v>Upper medium km Managed cars (by market segment)</v>
          </cell>
          <cell r="L1954">
            <v>0.20358999999999999</v>
          </cell>
        </row>
        <row r="1955">
          <cell r="J1955" t="str">
            <v>Scope 3Managed assets- vehiclesManaged cars (by market segment)Upper mediumPetrolmiles</v>
          </cell>
          <cell r="K1955" t="str">
            <v>Upper medium miles Managed cars (by market segment)</v>
          </cell>
          <cell r="L1955">
            <v>0.32764000000000004</v>
          </cell>
        </row>
        <row r="1956">
          <cell r="J1956" t="str">
            <v>Scope 3Managed assets- vehiclesManaged cars (by market segment)Upper mediumUnknownkm</v>
          </cell>
          <cell r="K1956" t="str">
            <v>Upper medium km Managed cars (by market segment)</v>
          </cell>
          <cell r="L1956">
            <v>0.16900000000000001</v>
          </cell>
        </row>
        <row r="1957">
          <cell r="J1957" t="str">
            <v>Scope 3Managed assets- vehiclesManaged cars (by market segment)Upper mediumUnknownmiles</v>
          </cell>
          <cell r="K1957" t="str">
            <v>Upper medium miles Managed cars (by market segment)</v>
          </cell>
          <cell r="L1957">
            <v>0.27196999999999999</v>
          </cell>
        </row>
        <row r="1958">
          <cell r="J1958" t="str">
            <v>Scope 3Managed assets- vehiclesManaged cars (by market segment)Upper mediumPlug-in Hybrid Electric Vehiclekm</v>
          </cell>
          <cell r="K1958" t="str">
            <v>Upper medium km Managed cars (by market segment)</v>
          </cell>
          <cell r="L1958">
            <v>9.2710000000000001E-2</v>
          </cell>
        </row>
        <row r="1959">
          <cell r="J1959" t="str">
            <v>Scope 3Managed assets- vehiclesManaged cars (by market segment)Upper mediumPlug-in Hybrid Electric Vehiclemiles</v>
          </cell>
          <cell r="K1959" t="str">
            <v>Upper medium miles Managed cars (by market segment)</v>
          </cell>
          <cell r="L1959">
            <v>0.1492</v>
          </cell>
        </row>
        <row r="1960">
          <cell r="J1960" t="str">
            <v>Scope 3Managed assets- vehiclesManaged cars (by market segment)Upper mediumBattery Electric Vehiclekm</v>
          </cell>
          <cell r="K1960" t="str">
            <v>Upper medium km Managed cars (by market segment)</v>
          </cell>
          <cell r="L1960">
            <v>3.8829999999999996E-2</v>
          </cell>
        </row>
        <row r="1961">
          <cell r="J1961" t="str">
            <v>Scope 3Managed assets- vehiclesManaged cars (by market segment)Upper mediumBattery Electric Vehiclemiles</v>
          </cell>
          <cell r="K1961" t="str">
            <v>Upper medium miles Managed cars (by market segment)</v>
          </cell>
          <cell r="L1961">
            <v>6.2480000000000001E-2</v>
          </cell>
        </row>
        <row r="1962">
          <cell r="J1962" t="str">
            <v>Scope 3Managed assets- vehiclesManaged cars (by market segment)ExecutiveDieselkm</v>
          </cell>
          <cell r="K1962" t="str">
            <v>Executive km Managed cars (by market segment)</v>
          </cell>
          <cell r="L1962">
            <v>0.17399000000000001</v>
          </cell>
        </row>
        <row r="1963">
          <cell r="J1963" t="str">
            <v>Scope 3Managed assets- vehiclesManaged cars (by market segment)ExecutiveDieselmiles</v>
          </cell>
          <cell r="K1963" t="str">
            <v>Executive miles Managed cars (by market segment)</v>
          </cell>
          <cell r="L1963">
            <v>0.28001999999999999</v>
          </cell>
        </row>
        <row r="1964">
          <cell r="J1964" t="str">
            <v>Scope 3Managed assets- vehiclesManaged cars (by market segment)ExecutivePetrolkm</v>
          </cell>
          <cell r="K1964" t="str">
            <v>Executive km Managed cars (by market segment)</v>
          </cell>
          <cell r="L1964">
            <v>0.22342000000000001</v>
          </cell>
        </row>
        <row r="1965">
          <cell r="J1965" t="str">
            <v>Scope 3Managed assets- vehiclesManaged cars (by market segment)ExecutivePetrolmiles</v>
          </cell>
          <cell r="K1965" t="str">
            <v>Executive miles Managed cars (by market segment)</v>
          </cell>
          <cell r="L1965">
            <v>0.35956000000000005</v>
          </cell>
        </row>
        <row r="1966">
          <cell r="J1966" t="str">
            <v>Scope 3Managed assets- vehiclesManaged cars (by market segment)ExecutiveUnknownkm</v>
          </cell>
          <cell r="K1966" t="str">
            <v>Executive km Managed cars (by market segment)</v>
          </cell>
          <cell r="L1966">
            <v>0.18576999999999999</v>
          </cell>
        </row>
        <row r="1967">
          <cell r="J1967" t="str">
            <v>Scope 3Managed assets- vehiclesManaged cars (by market segment)ExecutiveUnknownmiles</v>
          </cell>
          <cell r="K1967" t="str">
            <v>Executive miles Managed cars (by market segment)</v>
          </cell>
          <cell r="L1967">
            <v>0.29898000000000002</v>
          </cell>
        </row>
        <row r="1968">
          <cell r="J1968" t="str">
            <v>Scope 3Managed assets- vehiclesManaged cars (by market segment)ExecutivePlug-in Hybrid Electric Vehiclekm</v>
          </cell>
          <cell r="K1968" t="str">
            <v>Executive km Managed cars (by market segment)</v>
          </cell>
          <cell r="L1968">
            <v>9.4089999999999993E-2</v>
          </cell>
        </row>
        <row r="1969">
          <cell r="J1969" t="str">
            <v>Scope 3Managed assets- vehiclesManaged cars (by market segment)ExecutivePlug-in Hybrid Electric Vehiclemiles</v>
          </cell>
          <cell r="K1969" t="str">
            <v>Executive miles Managed cars (by market segment)</v>
          </cell>
          <cell r="L1969">
            <v>0.15141999999999997</v>
          </cell>
        </row>
        <row r="1970">
          <cell r="J1970" t="str">
            <v>Scope 3Managed assets- vehiclesManaged cars (by market segment)ExecutiveBattery Electric Vehiclekm</v>
          </cell>
          <cell r="K1970" t="str">
            <v>Executive km Managed cars (by market segment)</v>
          </cell>
          <cell r="L1970">
            <v>5.1220000000000002E-2</v>
          </cell>
        </row>
        <row r="1971">
          <cell r="J1971" t="str">
            <v>Scope 3Managed assets- vehiclesManaged cars (by market segment)ExecutiveBattery Electric Vehiclemiles</v>
          </cell>
          <cell r="K1971" t="str">
            <v>Executive miles Managed cars (by market segment)</v>
          </cell>
          <cell r="L1971">
            <v>8.2430000000000003E-2</v>
          </cell>
        </row>
        <row r="1972">
          <cell r="J1972" t="str">
            <v>Scope 3Managed assets- vehiclesManaged cars (by market segment)LuxuryDieselkm</v>
          </cell>
          <cell r="K1972" t="str">
            <v>Luxury km Managed cars (by market segment)</v>
          </cell>
          <cell r="L1972">
            <v>0.21174000000000001</v>
          </cell>
        </row>
        <row r="1973">
          <cell r="J1973" t="str">
            <v>Scope 3Managed assets- vehiclesManaged cars (by market segment)LuxuryDieselmiles</v>
          </cell>
          <cell r="K1973" t="str">
            <v>Luxury miles Managed cars (by market segment)</v>
          </cell>
          <cell r="L1973">
            <v>0.34077999999999997</v>
          </cell>
        </row>
        <row r="1974">
          <cell r="J1974" t="str">
            <v>Scope 3Managed assets- vehiclesManaged cars (by market segment)LuxuryPetrolkm</v>
          </cell>
          <cell r="K1974" t="str">
            <v>Luxury km Managed cars (by market segment)</v>
          </cell>
          <cell r="L1974">
            <v>0.32585999999999998</v>
          </cell>
        </row>
        <row r="1975">
          <cell r="J1975" t="str">
            <v>Scope 3Managed assets- vehiclesManaged cars (by market segment)LuxuryPetrolmiles</v>
          </cell>
          <cell r="K1975" t="str">
            <v>Luxury miles Managed cars (by market segment)</v>
          </cell>
          <cell r="L1975">
            <v>0.52442</v>
          </cell>
        </row>
        <row r="1976">
          <cell r="J1976" t="str">
            <v>Scope 3Managed assets- vehiclesManaged cars (by market segment)LuxuryUnknownkm</v>
          </cell>
          <cell r="K1976" t="str">
            <v>Luxury km Managed cars (by market segment)</v>
          </cell>
          <cell r="L1976">
            <v>0.26579000000000003</v>
          </cell>
        </row>
        <row r="1977">
          <cell r="J1977" t="str">
            <v>Scope 3Managed assets- vehiclesManaged cars (by market segment)LuxuryUnknownmiles</v>
          </cell>
          <cell r="K1977" t="str">
            <v>Luxury miles Managed cars (by market segment)</v>
          </cell>
          <cell r="L1977">
            <v>0.42774999999999996</v>
          </cell>
        </row>
        <row r="1978">
          <cell r="J1978" t="str">
            <v>Scope 3Managed assets- vehiclesManaged cars (by market segment)LuxuryPlug-in Hybrid Electric Vehiclekm</v>
          </cell>
          <cell r="K1978" t="str">
            <v>Luxury km Managed cars (by market segment)</v>
          </cell>
          <cell r="L1978">
            <v>0.11788</v>
          </cell>
        </row>
        <row r="1979">
          <cell r="J1979" t="str">
            <v>Scope 3Managed assets- vehiclesManaged cars (by market segment)LuxuryPlug-in Hybrid Electric Vehiclemiles</v>
          </cell>
          <cell r="K1979" t="str">
            <v>Luxury miles Managed cars (by market segment)</v>
          </cell>
          <cell r="L1979">
            <v>0.18970999999999999</v>
          </cell>
        </row>
        <row r="1980">
          <cell r="J1980" t="str">
            <v>Scope 3Managed assets- vehiclesManaged cars (by market segment)LuxuryBattery Electric Vehiclekm</v>
          </cell>
          <cell r="K1980" t="str">
            <v>Luxury km Managed cars (by market segment)</v>
          </cell>
          <cell r="L1980">
            <v>5.9830000000000001E-2</v>
          </cell>
        </row>
        <row r="1981">
          <cell r="J1981" t="str">
            <v>Scope 3Managed assets- vehiclesManaged cars (by market segment)LuxuryBattery Electric Vehiclemiles</v>
          </cell>
          <cell r="K1981" t="str">
            <v>Luxury miles Managed cars (by market segment)</v>
          </cell>
          <cell r="L1981">
            <v>9.6279999999999991E-2</v>
          </cell>
        </row>
        <row r="1982">
          <cell r="J1982" t="str">
            <v>Scope 3Managed assets- vehiclesManaged cars (by market segment)SportsDieselkm</v>
          </cell>
          <cell r="K1982" t="str">
            <v>Sports km Managed cars (by market segment)</v>
          </cell>
          <cell r="L1982">
            <v>0.16664000000000001</v>
          </cell>
        </row>
        <row r="1983">
          <cell r="J1983" t="str">
            <v>Scope 3Managed assets- vehiclesManaged cars (by market segment)SportsDieselmiles</v>
          </cell>
          <cell r="K1983" t="str">
            <v>Sports miles Managed cars (by market segment)</v>
          </cell>
          <cell r="L1983">
            <v>0.26818999999999998</v>
          </cell>
        </row>
        <row r="1984">
          <cell r="J1984" t="str">
            <v>Scope 3Managed assets- vehiclesManaged cars (by market segment)SportsPetrolkm</v>
          </cell>
          <cell r="K1984" t="str">
            <v>Sports km Managed cars (by market segment)</v>
          </cell>
          <cell r="L1984">
            <v>0.24265999999999999</v>
          </cell>
        </row>
        <row r="1985">
          <cell r="J1985" t="str">
            <v>Scope 3Managed assets- vehiclesManaged cars (by market segment)SportsPetrolmiles</v>
          </cell>
          <cell r="K1985" t="str">
            <v>Sports miles Managed cars (by market segment)</v>
          </cell>
          <cell r="L1985">
            <v>0.39052000000000003</v>
          </cell>
        </row>
        <row r="1986">
          <cell r="J1986" t="str">
            <v>Scope 3Managed assets- vehiclesManaged cars (by market segment)SportsUnknownkm</v>
          </cell>
          <cell r="K1986" t="str">
            <v>Sports km Managed cars (by market segment)</v>
          </cell>
          <cell r="L1986">
            <v>0.23053000000000001</v>
          </cell>
        </row>
        <row r="1987">
          <cell r="J1987" t="str">
            <v>Scope 3Managed assets- vehiclesManaged cars (by market segment)SportsUnknownmiles</v>
          </cell>
          <cell r="K1987" t="str">
            <v>Sports miles Managed cars (by market segment)</v>
          </cell>
          <cell r="L1987">
            <v>0.37101000000000001</v>
          </cell>
        </row>
        <row r="1988">
          <cell r="J1988" t="str">
            <v>Scope 3Managed assets- vehiclesManaged cars (by market segment)SportsPlug-in Hybrid Electric Vehiclekm</v>
          </cell>
          <cell r="K1988" t="str">
            <v>Sports km Managed cars (by market segment)</v>
          </cell>
          <cell r="L1988">
            <v>9.487000000000001E-2</v>
          </cell>
        </row>
        <row r="1989">
          <cell r="J1989" t="str">
            <v>Scope 3Managed assets- vehiclesManaged cars (by market segment)SportsPlug-in Hybrid Electric Vehiclemiles</v>
          </cell>
          <cell r="K1989" t="str">
            <v>Sports miles Managed cars (by market segment)</v>
          </cell>
          <cell r="L1989">
            <v>0.15268000000000001</v>
          </cell>
        </row>
        <row r="1990">
          <cell r="J1990" t="str">
            <v>Scope 3Managed assets- vehiclesManaged cars (by market segment)SportsBattery Electric Vehiclekm</v>
          </cell>
          <cell r="K1990" t="str">
            <v>Sports km Managed cars (by market segment)</v>
          </cell>
          <cell r="L1990">
            <v>7.4740000000000001E-2</v>
          </cell>
        </row>
        <row r="1991">
          <cell r="J1991" t="str">
            <v>Scope 3Managed assets- vehiclesManaged cars (by market segment)SportsBattery Electric Vehiclemiles</v>
          </cell>
          <cell r="K1991" t="str">
            <v>Sports miles Managed cars (by market segment)</v>
          </cell>
          <cell r="L1991">
            <v>0.12028000000000001</v>
          </cell>
        </row>
        <row r="1992">
          <cell r="J1992" t="str">
            <v>Scope 3Managed assets- vehiclesManaged cars (by market segment)Dual purpose 4X4Dieselkm</v>
          </cell>
          <cell r="K1992" t="str">
            <v>Dual purpose 4X4 km Managed cars (by market segment)</v>
          </cell>
          <cell r="L1992">
            <v>0.20376</v>
          </cell>
        </row>
        <row r="1993">
          <cell r="J1993" t="str">
            <v>Scope 3Managed assets- vehiclesManaged cars (by market segment)Dual purpose 4X4Dieselmiles</v>
          </cell>
          <cell r="K1993" t="str">
            <v>Dual purpose 4X4 miles Managed cars (by market segment)</v>
          </cell>
          <cell r="L1993">
            <v>0.32793</v>
          </cell>
        </row>
        <row r="1994">
          <cell r="J1994" t="str">
            <v>Scope 3Managed assets- vehiclesManaged cars (by market segment)Dual purpose 4X4Petrolkm</v>
          </cell>
          <cell r="K1994" t="str">
            <v>Dual purpose 4X4 km Managed cars (by market segment)</v>
          </cell>
          <cell r="L1994">
            <v>0.21657999999999999</v>
          </cell>
        </row>
        <row r="1995">
          <cell r="J1995" t="str">
            <v>Scope 3Managed assets- vehiclesManaged cars (by market segment)Dual purpose 4X4Petrolmiles</v>
          </cell>
          <cell r="K1995" t="str">
            <v>Dual purpose 4X4 miles Managed cars (by market segment)</v>
          </cell>
          <cell r="L1995">
            <v>0.34854000000000002</v>
          </cell>
        </row>
        <row r="1996">
          <cell r="J1996" t="str">
            <v>Scope 3Managed assets- vehiclesManaged cars (by market segment)Dual purpose 4X4Unknownkm</v>
          </cell>
          <cell r="K1996" t="str">
            <v>Dual purpose 4X4 km Managed cars (by market segment)</v>
          </cell>
          <cell r="L1996">
            <v>0.20716000000000001</v>
          </cell>
        </row>
        <row r="1997">
          <cell r="J1997" t="str">
            <v>Scope 3Managed assets- vehiclesManaged cars (by market segment)Dual purpose 4X4Unknownmiles</v>
          </cell>
          <cell r="K1997" t="str">
            <v>Dual purpose 4X4 miles Managed cars (by market segment)</v>
          </cell>
          <cell r="L1997">
            <v>0.33337999999999995</v>
          </cell>
        </row>
        <row r="1998">
          <cell r="J1998" t="str">
            <v>Scope 3Managed assets- vehiclesManaged cars (by market segment)Dual purpose 4X4Plug-in Hybrid Electric Vehiclekm</v>
          </cell>
          <cell r="K1998" t="str">
            <v>Dual purpose 4X4 km Managed cars (by market segment)</v>
          </cell>
          <cell r="L1998">
            <v>0.10700999999999999</v>
          </cell>
        </row>
        <row r="1999">
          <cell r="J1999" t="str">
            <v>Scope 3Managed assets- vehiclesManaged cars (by market segment)Dual purpose 4X4Plug-in Hybrid Electric Vehiclemiles</v>
          </cell>
          <cell r="K1999" t="str">
            <v>Dual purpose 4X4 miles Managed cars (by market segment)</v>
          </cell>
          <cell r="L1999">
            <v>0.17222000000000001</v>
          </cell>
        </row>
        <row r="2000">
          <cell r="J2000" t="str">
            <v>Scope 3Managed assets- vehiclesManaged cars (by market segment)Dual purpose 4X4Battery Electric Vehiclekm</v>
          </cell>
          <cell r="K2000" t="str">
            <v>Dual purpose 4X4 km Managed cars (by market segment)</v>
          </cell>
          <cell r="L2000">
            <v>6.8189999999999987E-2</v>
          </cell>
        </row>
        <row r="2001">
          <cell r="J2001" t="str">
            <v>Scope 3Managed assets- vehiclesManaged cars (by market segment)Dual purpose 4X4Battery Electric Vehiclemiles</v>
          </cell>
          <cell r="K2001" t="str">
            <v>Dual purpose 4X4 miles Managed cars (by market segment)</v>
          </cell>
          <cell r="L2001">
            <v>0.10972999999999999</v>
          </cell>
        </row>
        <row r="2002">
          <cell r="J2002" t="str">
            <v>Scope 3Managed assets- vehiclesManaged cars (by market segment)MPVDieselkm</v>
          </cell>
          <cell r="K2002" t="str">
            <v>MPV km Managed cars (by market segment)</v>
          </cell>
          <cell r="L2002">
            <v>0.17502999999999999</v>
          </cell>
        </row>
        <row r="2003">
          <cell r="J2003" t="str">
            <v>Scope 3Managed assets- vehiclesManaged cars (by market segment)MPVDieselmiles</v>
          </cell>
          <cell r="K2003" t="str">
            <v>MPV miles Managed cars (by market segment)</v>
          </cell>
          <cell r="L2003">
            <v>0.28170000000000001</v>
          </cell>
        </row>
        <row r="2004">
          <cell r="J2004" t="str">
            <v>Scope 3Managed assets- vehiclesManaged cars (by market segment)MPVPetrolkm</v>
          </cell>
          <cell r="K2004" t="str">
            <v>MPV km Managed cars (by market segment)</v>
          </cell>
          <cell r="L2004">
            <v>0.19478999999999999</v>
          </cell>
        </row>
        <row r="2005">
          <cell r="J2005" t="str">
            <v>Scope 3Managed assets- vehiclesManaged cars (by market segment)MPVPetrolmiles</v>
          </cell>
          <cell r="K2005" t="str">
            <v>MPV miles Managed cars (by market segment)</v>
          </cell>
          <cell r="L2005">
            <v>0.31349000000000005</v>
          </cell>
        </row>
        <row r="2006">
          <cell r="J2006" t="str">
            <v>Scope 3Managed assets- vehiclesManaged cars (by market segment)MPVUnknownkm</v>
          </cell>
          <cell r="K2006" t="str">
            <v>MPV km Managed cars (by market segment)</v>
          </cell>
          <cell r="L2006">
            <v>0.18031</v>
          </cell>
        </row>
        <row r="2007">
          <cell r="J2007" t="str">
            <v>Scope 3Managed assets- vehiclesManaged cars (by market segment)MPVUnknownmiles</v>
          </cell>
          <cell r="K2007" t="str">
            <v>MPV miles Managed cars (by market segment)</v>
          </cell>
          <cell r="L2007">
            <v>0.29017999999999999</v>
          </cell>
        </row>
        <row r="2008">
          <cell r="J2008" t="str">
            <v>Scope 3Managed assets- vehiclesManaged cars (by market segment)MPVPlug-in Hybrid Electric Vehiclekm</v>
          </cell>
          <cell r="K2008" t="str">
            <v>MPV km Managed cars (by market segment)</v>
          </cell>
          <cell r="L2008" t="str">
            <v/>
          </cell>
        </row>
        <row r="2009">
          <cell r="J2009" t="str">
            <v>Scope 3Managed assets- vehiclesManaged cars (by market segment)MPVPlug-in Hybrid Electric Vehiclemiles</v>
          </cell>
          <cell r="K2009" t="str">
            <v>MPV miles Managed cars (by market segment)</v>
          </cell>
          <cell r="L2009" t="str">
            <v/>
          </cell>
        </row>
        <row r="2010">
          <cell r="J2010" t="str">
            <v>Scope 3Managed assets- vehiclesManaged cars (by market segment)MPVBattery Electric Vehiclekm</v>
          </cell>
          <cell r="K2010" t="str">
            <v>MPV km Managed cars (by market segment)</v>
          </cell>
          <cell r="L2010">
            <v>6.9069999999999993E-2</v>
          </cell>
        </row>
        <row r="2011">
          <cell r="J2011" t="str">
            <v>Scope 3Managed assets- vehiclesManaged cars (by market segment)MPVBattery Electric Vehiclemiles</v>
          </cell>
          <cell r="K2011" t="str">
            <v>MPV miles Managed cars (by market segment)</v>
          </cell>
          <cell r="L2011">
            <v>0.11117</v>
          </cell>
        </row>
        <row r="2012">
          <cell r="J2012" t="str">
            <v>Scope 3Managed assets- vehiclesManaged cars (by size)Small carDieselkm</v>
          </cell>
          <cell r="K2012" t="str">
            <v>Small car km Managed cars (by size)</v>
          </cell>
          <cell r="L2012">
            <v>0.13758000000000001</v>
          </cell>
        </row>
        <row r="2013">
          <cell r="J2013" t="str">
            <v>Scope 3Managed assets- vehiclesManaged cars (by size)Small car0Dieselmiles</v>
          </cell>
          <cell r="K2013" t="str">
            <v>Small car miles Managed cars (by size)</v>
          </cell>
          <cell r="L2013">
            <v>0.22143000000000002</v>
          </cell>
        </row>
        <row r="2014">
          <cell r="J2014" t="str">
            <v>Scope 3Managed assets- vehiclesManaged cars (by size)Small car0Petrolkm</v>
          </cell>
          <cell r="K2014" t="str">
            <v>Small car km Managed cars (by size)</v>
          </cell>
          <cell r="L2014">
            <v>0.14946000000000001</v>
          </cell>
        </row>
        <row r="2015">
          <cell r="J2015" t="str">
            <v>Scope 3Managed assets- vehiclesManaged cars (by size)Small car0Petrolmiles</v>
          </cell>
          <cell r="K2015" t="str">
            <v>Small car miles Managed cars (by size)</v>
          </cell>
          <cell r="L2015">
            <v>0.24052000000000001</v>
          </cell>
        </row>
        <row r="2016">
          <cell r="J2016" t="str">
            <v>Scope 3Managed assets- vehiclesManaged cars (by size)Small car0Hybridkm</v>
          </cell>
          <cell r="K2016" t="str">
            <v>Small car km Managed cars (by size)</v>
          </cell>
          <cell r="L2016">
            <v>0.10494000000000001</v>
          </cell>
        </row>
        <row r="2017">
          <cell r="J2017" t="str">
            <v>Scope 3Managed assets- vehiclesManaged cars (by size)Small car0Hybridmiles</v>
          </cell>
          <cell r="K2017" t="str">
            <v>Small car miles Managed cars (by size)</v>
          </cell>
          <cell r="L2017">
            <v>0.16889000000000001</v>
          </cell>
        </row>
        <row r="2018">
          <cell r="J2018" t="str">
            <v>Scope 3Managed assets- vehiclesManaged cars (by size)Small car0CNGkm</v>
          </cell>
          <cell r="K2018" t="str">
            <v>Small car km Managed cars (by size)</v>
          </cell>
        </row>
        <row r="2019">
          <cell r="J2019" t="str">
            <v>Scope 3Managed assets- vehiclesManaged cars (by size)Small car0CNGmiles</v>
          </cell>
          <cell r="K2019" t="str">
            <v>Small car miles Managed cars (by size)</v>
          </cell>
        </row>
        <row r="2020">
          <cell r="J2020" t="str">
            <v>Scope 3Managed assets- vehiclesManaged cars (by size)Small car0LPGkm</v>
          </cell>
          <cell r="K2020" t="str">
            <v>Small car km Managed cars (by size)</v>
          </cell>
        </row>
        <row r="2021">
          <cell r="J2021" t="str">
            <v>Scope 3Managed assets- vehiclesManaged cars (by size)Small car0LPGmiles</v>
          </cell>
          <cell r="K2021" t="str">
            <v>Small car miles Managed cars (by size)</v>
          </cell>
        </row>
        <row r="2022">
          <cell r="J2022" t="str">
            <v>Scope 3Managed assets- vehiclesManaged cars (by size)Small car0Unknownkm</v>
          </cell>
          <cell r="K2022" t="str">
            <v>Small car km Managed cars (by size)</v>
          </cell>
          <cell r="L2022">
            <v>0.14549000000000001</v>
          </cell>
        </row>
        <row r="2023">
          <cell r="J2023" t="str">
            <v>Scope 3Managed assets- vehiclesManaged cars (by size)Small car0Unknownmiles</v>
          </cell>
          <cell r="K2023" t="str">
            <v>Small car miles Managed cars (by size)</v>
          </cell>
          <cell r="L2023">
            <v>0.23414000000000001</v>
          </cell>
        </row>
        <row r="2024">
          <cell r="J2024" t="str">
            <v>Scope 3Managed assets- vehiclesManaged cars (by size)Small car0Plug-in Hybrid Electric Vehiclekm</v>
          </cell>
          <cell r="K2024" t="str">
            <v>Small car km Managed cars (by size)</v>
          </cell>
          <cell r="L2024">
            <v>5.568E-2</v>
          </cell>
        </row>
        <row r="2025">
          <cell r="J2025" t="str">
            <v>Scope 3Managed assets- vehiclesManaged cars (by size)Small car0Plug-in Hybrid Electric Vehiclemiles</v>
          </cell>
          <cell r="K2025" t="str">
            <v>Small car miles Managed cars (by size)</v>
          </cell>
          <cell r="L2025">
            <v>8.9610000000000009E-2</v>
          </cell>
        </row>
        <row r="2026">
          <cell r="J2026" t="str">
            <v>Scope 3Managed assets- vehiclesManaged cars (by size)Small car0Battery Electric Vehiclekm</v>
          </cell>
          <cell r="K2026" t="str">
            <v>Small car km Managed cars (by size)</v>
          </cell>
          <cell r="L2026">
            <v>4.5649999999999996E-2</v>
          </cell>
        </row>
        <row r="2027">
          <cell r="J2027" t="str">
            <v>Scope 3Managed assets- vehiclesManaged cars (by size)Small car0Battery Electric Vehiclemiles</v>
          </cell>
          <cell r="K2027" t="str">
            <v>Small car miles Managed cars (by size)</v>
          </cell>
          <cell r="L2027">
            <v>7.3480000000000004E-2</v>
          </cell>
        </row>
        <row r="2028">
          <cell r="J2028" t="str">
            <v>Scope 3Managed assets- vehiclesManaged cars (by size)Medium car0Dieselkm</v>
          </cell>
          <cell r="K2028" t="str">
            <v>Medium car km Managed cars (by size)</v>
          </cell>
          <cell r="L2028">
            <v>0.16496</v>
          </cell>
        </row>
        <row r="2029">
          <cell r="J2029" t="str">
            <v>Scope 3Managed assets- vehiclesManaged cars (by size)Medium car0Dieselmiles</v>
          </cell>
          <cell r="K2029" t="str">
            <v>Medium car miles Managed cars (by size)</v>
          </cell>
          <cell r="L2029">
            <v>0.26549</v>
          </cell>
        </row>
        <row r="2030">
          <cell r="J2030" t="str">
            <v>Scope 3Managed assets- vehiclesManaged cars (by size)Medium carPetrolkm</v>
          </cell>
          <cell r="K2030" t="str">
            <v>Medium car km Managed cars (by size)</v>
          </cell>
          <cell r="L2030">
            <v>0.18784999999999999</v>
          </cell>
        </row>
        <row r="2031">
          <cell r="J2031" t="str">
            <v>Scope 3Managed assets- vehiclesManaged cars (by size)Medium carPetrolmiles</v>
          </cell>
          <cell r="K2031" t="str">
            <v>Medium car miles Managed cars (by size)</v>
          </cell>
          <cell r="L2031">
            <v>0.30231000000000002</v>
          </cell>
        </row>
        <row r="2032">
          <cell r="J2032" t="str">
            <v>Scope 3Managed assets- vehiclesManaged cars (by size)Medium carHybridkm</v>
          </cell>
          <cell r="K2032" t="str">
            <v>Medium car km Managed cars (by size)</v>
          </cell>
          <cell r="L2032">
            <v>0.10957</v>
          </cell>
        </row>
        <row r="2033">
          <cell r="J2033" t="str">
            <v>Scope 3Managed assets- vehiclesManaged cars (by size)Medium carHybridmiles</v>
          </cell>
          <cell r="K2033" t="str">
            <v>Medium car miles Managed cars (by size)</v>
          </cell>
          <cell r="L2033">
            <v>0.17635000000000001</v>
          </cell>
        </row>
        <row r="2034">
          <cell r="J2034" t="str">
            <v>Scope 3Managed assets- vehiclesManaged cars (by size)Medium carCNGkm</v>
          </cell>
          <cell r="K2034" t="str">
            <v>Medium car km Managed cars (by size)</v>
          </cell>
          <cell r="L2034">
            <v>0.15948999999999999</v>
          </cell>
        </row>
        <row r="2035">
          <cell r="J2035" t="str">
            <v>Scope 3Managed assets- vehiclesManaged cars (by size)Medium carCNGmiles</v>
          </cell>
          <cell r="K2035" t="str">
            <v>Medium car miles Managed cars (by size)</v>
          </cell>
          <cell r="L2035">
            <v>0.25666999999999995</v>
          </cell>
        </row>
        <row r="2036">
          <cell r="J2036" t="str">
            <v>Scope 3Managed assets- vehiclesManaged cars (by size)Medium carLPGkm</v>
          </cell>
          <cell r="K2036" t="str">
            <v>Medium car km Managed cars (by size)</v>
          </cell>
          <cell r="L2036">
            <v>0.17927000000000001</v>
          </cell>
        </row>
        <row r="2037">
          <cell r="J2037" t="str">
            <v>Scope 3Managed assets- vehiclesManaged cars (by size)Medium carLPGmiles</v>
          </cell>
          <cell r="K2037" t="str">
            <v>Medium car miles Managed cars (by size)</v>
          </cell>
          <cell r="L2037">
            <v>0.28849000000000002</v>
          </cell>
        </row>
        <row r="2038">
          <cell r="J2038" t="str">
            <v>Scope 3Managed assets- vehiclesManaged cars (by size)Medium carUnknownkm</v>
          </cell>
          <cell r="K2038" t="str">
            <v>Medium car km Managed cars (by size)</v>
          </cell>
          <cell r="L2038">
            <v>0.17562</v>
          </cell>
        </row>
        <row r="2039">
          <cell r="J2039" t="str">
            <v>Scope 3Managed assets- vehiclesManaged cars (by size)Medium carUnknownmiles</v>
          </cell>
          <cell r="K2039" t="str">
            <v>Medium car miles Managed cars (by size)</v>
          </cell>
          <cell r="L2039">
            <v>0.28263000000000005</v>
          </cell>
        </row>
        <row r="2040">
          <cell r="J2040" t="str">
            <v>Scope 3Managed assets- vehiclesManaged cars (by size)Medium carPlug-in Hybrid Electric Vehiclekm</v>
          </cell>
          <cell r="K2040" t="str">
            <v>Medium car km Managed cars (by size)</v>
          </cell>
          <cell r="L2040">
            <v>9.0970000000000009E-2</v>
          </cell>
        </row>
        <row r="2041">
          <cell r="J2041" t="str">
            <v>Scope 3Managed assets- vehiclesManaged cars (by size)Medium carPlug-in Hybrid Electric Vehiclemiles</v>
          </cell>
          <cell r="K2041" t="str">
            <v>Medium car miles Managed cars (by size)</v>
          </cell>
          <cell r="L2041">
            <v>0.14638999999999999</v>
          </cell>
        </row>
        <row r="2042">
          <cell r="J2042" t="str">
            <v>Scope 3Managed assets- vehiclesManaged cars (by size)Medium carBattery Electric Vehiclekm</v>
          </cell>
          <cell r="K2042" t="str">
            <v>Medium car km Managed cars (by size)</v>
          </cell>
          <cell r="L2042">
            <v>5.2539999999999996E-2</v>
          </cell>
        </row>
        <row r="2043">
          <cell r="J2043" t="str">
            <v>Scope 3Managed assets- vehiclesManaged cars (by size)Medium carBattery Electric Vehiclemiles</v>
          </cell>
          <cell r="K2043" t="str">
            <v>Medium car miles Managed cars (by size)</v>
          </cell>
          <cell r="L2043">
            <v>8.455E-2</v>
          </cell>
        </row>
        <row r="2044">
          <cell r="J2044" t="str">
            <v>Scope 3Managed assets- vehiclesManaged cars (by size)Large carDieselkm</v>
          </cell>
          <cell r="K2044" t="str">
            <v>Large car km Managed cars (by size)</v>
          </cell>
          <cell r="L2044">
            <v>0.20721000000000001</v>
          </cell>
        </row>
        <row r="2045">
          <cell r="J2045" t="str">
            <v>Scope 3Managed assets- vehiclesManaged cars (by size)Large carDieselmiles</v>
          </cell>
          <cell r="K2045" t="str">
            <v>Large car miles Managed cars (by size)</v>
          </cell>
          <cell r="L2045">
            <v>0.33348</v>
          </cell>
        </row>
        <row r="2046">
          <cell r="J2046" t="str">
            <v>Scope 3Managed assets- vehiclesManaged cars (by size)Large carPetrolkm</v>
          </cell>
          <cell r="K2046" t="str">
            <v>Large car km Managed cars (by size)</v>
          </cell>
          <cell r="L2046">
            <v>0.27909</v>
          </cell>
        </row>
        <row r="2047">
          <cell r="J2047" t="str">
            <v>Scope 3Managed assets- vehiclesManaged cars (by size)Large carPetrolmiles</v>
          </cell>
          <cell r="K2047" t="str">
            <v>Large car miles Managed cars (by size)</v>
          </cell>
          <cell r="L2047">
            <v>0.44914000000000004</v>
          </cell>
        </row>
        <row r="2048">
          <cell r="J2048" t="str">
            <v>Scope 3Managed assets- vehiclesManaged cars (by size)Large carHybridkm</v>
          </cell>
          <cell r="K2048" t="str">
            <v>Large car km Managed cars (by size)</v>
          </cell>
          <cell r="L2048">
            <v>0.15151000000000001</v>
          </cell>
        </row>
        <row r="2049">
          <cell r="J2049" t="str">
            <v>Scope 3Managed assets- vehiclesManaged cars (by size)Large carHybridmiles</v>
          </cell>
          <cell r="K2049" t="str">
            <v>Large car miles Managed cars (by size)</v>
          </cell>
          <cell r="L2049">
            <v>0.24382000000000001</v>
          </cell>
        </row>
        <row r="2050">
          <cell r="J2050" t="str">
            <v>Scope 3Managed assets- vehiclesManaged cars (by size)Large carCNGkm</v>
          </cell>
          <cell r="K2050" t="str">
            <v>Large car km Managed cars (by size)</v>
          </cell>
          <cell r="L2050">
            <v>0.23626</v>
          </cell>
        </row>
        <row r="2051">
          <cell r="J2051" t="str">
            <v>Scope 3Managed assets- vehiclesManaged cars (by size)Large carCNGmiles</v>
          </cell>
          <cell r="K2051" t="str">
            <v>Large car miles Managed cars (by size)</v>
          </cell>
          <cell r="L2051">
            <v>0.38022999999999996</v>
          </cell>
        </row>
        <row r="2052">
          <cell r="J2052" t="str">
            <v>Scope 3Managed assets- vehiclesManaged cars (by size)Large carLPGkm</v>
          </cell>
          <cell r="K2052" t="str">
            <v>Large car km Managed cars (by size)</v>
          </cell>
          <cell r="L2052">
            <v>0.26643</v>
          </cell>
        </row>
        <row r="2053">
          <cell r="J2053" t="str">
            <v>Scope 3Managed assets- vehiclesManaged cars (by size)Large carLPGmiles</v>
          </cell>
          <cell r="K2053" t="str">
            <v>Large car miles Managed cars (by size)</v>
          </cell>
          <cell r="L2053">
            <v>0.42876000000000003</v>
          </cell>
        </row>
        <row r="2054">
          <cell r="J2054" t="str">
            <v>Scope 3Managed assets- vehiclesManaged cars (by size)Large carUnknownkm</v>
          </cell>
          <cell r="K2054" t="str">
            <v>Large car km Managed cars (by size)</v>
          </cell>
          <cell r="L2054">
            <v>0.22597</v>
          </cell>
        </row>
        <row r="2055">
          <cell r="J2055" t="str">
            <v>Scope 3Managed assets- vehiclesManaged cars (by size)Large carUnknownmiles</v>
          </cell>
          <cell r="K2055" t="str">
            <v>Large car miles Managed cars (by size)</v>
          </cell>
          <cell r="L2055">
            <v>0.36365999999999998</v>
          </cell>
        </row>
        <row r="2056">
          <cell r="J2056" t="str">
            <v>Scope 3Managed assets- vehiclesManaged cars (by size)Large carPlug-in Hybrid Electric Vehiclekm</v>
          </cell>
          <cell r="K2056" t="str">
            <v>Large car km Managed cars (by size)</v>
          </cell>
          <cell r="L2056">
            <v>0.10492</v>
          </cell>
        </row>
        <row r="2057">
          <cell r="J2057" t="str">
            <v>Scope 3Managed assets- vehiclesManaged cars (by size)Large carPlug-in Hybrid Electric Vehiclemiles</v>
          </cell>
          <cell r="K2057" t="str">
            <v>Large car miles Managed cars (by size)</v>
          </cell>
          <cell r="L2057">
            <v>0.16885999999999998</v>
          </cell>
        </row>
        <row r="2058">
          <cell r="J2058" t="str">
            <v>Scope 3Managed assets- vehiclesManaged cars (by size)Large carBattery Electric Vehiclekm</v>
          </cell>
          <cell r="K2058" t="str">
            <v>Large car km Managed cars (by size)</v>
          </cell>
          <cell r="L2058">
            <v>6.0660000000000006E-2</v>
          </cell>
        </row>
        <row r="2059">
          <cell r="J2059" t="str">
            <v>Scope 3Managed assets- vehiclesManaged cars (by size)Large carBattery Electric Vehiclemiles</v>
          </cell>
          <cell r="K2059" t="str">
            <v>Large car miles Managed cars (by size)</v>
          </cell>
          <cell r="L2059">
            <v>9.7619999999999998E-2</v>
          </cell>
        </row>
        <row r="2060">
          <cell r="J2060" t="str">
            <v>Scope 3Managed assets- vehiclesManaged cars (by size)Average carDieselkm</v>
          </cell>
          <cell r="K2060" t="str">
            <v>Average car km Managed cars (by size)</v>
          </cell>
          <cell r="L2060">
            <v>0.16843</v>
          </cell>
        </row>
        <row r="2061">
          <cell r="J2061" t="str">
            <v>Scope 3Managed assets- vehiclesManaged cars (by size)Average carDieselmiles</v>
          </cell>
          <cell r="K2061" t="str">
            <v>Average car miles Managed cars (by size)</v>
          </cell>
          <cell r="L2061">
            <v>0.27107999999999999</v>
          </cell>
        </row>
        <row r="2062">
          <cell r="J2062" t="str">
            <v>Scope 3Managed assets- vehiclesManaged cars (by size)Average carPetrolkm</v>
          </cell>
          <cell r="K2062" t="str">
            <v>Average car km Managed cars (by size)</v>
          </cell>
          <cell r="L2062">
            <v>0.17430999999999999</v>
          </cell>
        </row>
        <row r="2063">
          <cell r="J2063" t="str">
            <v>Scope 3Managed assets- vehiclesManaged cars (by size)Average carPetrolmiles</v>
          </cell>
          <cell r="K2063" t="str">
            <v>Average car miles Managed cars (by size)</v>
          </cell>
          <cell r="L2063">
            <v>0.28053000000000006</v>
          </cell>
        </row>
        <row r="2064">
          <cell r="J2064" t="str">
            <v>Scope 3Managed assets- vehiclesManaged cars (by size)Average carHybridkm</v>
          </cell>
          <cell r="K2064" t="str">
            <v>Average car km Managed cars (by size)</v>
          </cell>
          <cell r="L2064">
            <v>0.11952</v>
          </cell>
        </row>
        <row r="2065">
          <cell r="J2065" t="str">
            <v>Scope 3Managed assets- vehiclesManaged cars (by size)Average carHybridmiles</v>
          </cell>
          <cell r="K2065" t="str">
            <v>Average car miles Managed cars (by size)</v>
          </cell>
          <cell r="L2065">
            <v>0.19234000000000001</v>
          </cell>
        </row>
        <row r="2066">
          <cell r="J2066" t="str">
            <v>Scope 3Managed assets- vehiclesManaged cars (by size)Average carCNGkm</v>
          </cell>
          <cell r="K2066" t="str">
            <v>Average car km Managed cars (by size)</v>
          </cell>
          <cell r="L2066">
            <v>0.17624000000000001</v>
          </cell>
        </row>
        <row r="2067">
          <cell r="J2067" t="str">
            <v>Scope 3Managed assets- vehiclesManaged cars (by size)Average carCNGmiles</v>
          </cell>
          <cell r="K2067" t="str">
            <v>Average car miles Managed cars (by size)</v>
          </cell>
          <cell r="L2067">
            <v>0.28361999999999998</v>
          </cell>
        </row>
        <row r="2068">
          <cell r="J2068" t="str">
            <v>Scope 3Managed assets- vehiclesManaged cars (by size)Average carLPGkm</v>
          </cell>
          <cell r="K2068" t="str">
            <v>Average car km Managed cars (by size)</v>
          </cell>
          <cell r="L2068">
            <v>0.19828000000000001</v>
          </cell>
        </row>
        <row r="2069">
          <cell r="J2069" t="str">
            <v>Scope 3Managed assets- vehiclesManaged cars (by size)Average carLPGmiles</v>
          </cell>
          <cell r="K2069" t="str">
            <v>Average car miles Managed cars (by size)</v>
          </cell>
          <cell r="L2069">
            <v>0.31908999999999998</v>
          </cell>
        </row>
        <row r="2070">
          <cell r="J2070" t="str">
            <v>Scope 3Managed assets- vehiclesManaged cars (by size)Average carUnknownkm</v>
          </cell>
          <cell r="K2070" t="str">
            <v>Average car km Managed cars (by size)</v>
          </cell>
          <cell r="L2070">
            <v>0.17147999999999999</v>
          </cell>
        </row>
        <row r="2071">
          <cell r="J2071" t="str">
            <v>Scope 3Managed assets- vehiclesManaged cars (by size)Average carUnknownmiles</v>
          </cell>
          <cell r="K2071" t="str">
            <v>Average car miles Managed cars (by size)</v>
          </cell>
          <cell r="L2071">
            <v>0.27595999999999998</v>
          </cell>
        </row>
        <row r="2072">
          <cell r="J2072" t="str">
            <v>Scope 3Managed assets- vehiclesManaged cars (by size)Average carPlug-in Hybrid Electric Vehiclekm</v>
          </cell>
          <cell r="K2072" t="str">
            <v>Average car km Managed cars (by size)</v>
          </cell>
          <cell r="L2072">
            <v>9.6939999999999998E-2</v>
          </cell>
        </row>
        <row r="2073">
          <cell r="J2073" t="str">
            <v>Scope 3Managed assets- vehiclesManaged cars (by size)Average carPlug-in Hybrid Electric Vehiclemiles</v>
          </cell>
          <cell r="K2073" t="str">
            <v>Average car miles Managed cars (by size)</v>
          </cell>
          <cell r="L2073">
            <v>0.15600999999999998</v>
          </cell>
        </row>
        <row r="2074">
          <cell r="J2074" t="str">
            <v>Scope 3Managed assets- vehiclesManaged cars (by size)Average carBattery Electric Vehiclekm</v>
          </cell>
          <cell r="K2074" t="str">
            <v>Average car km Managed cars (by size)</v>
          </cell>
          <cell r="L2074">
            <v>5.4770000000000006E-2</v>
          </cell>
        </row>
        <row r="2075">
          <cell r="J2075" t="str">
            <v>Scope 3Managed assets- vehiclesManaged cars (by size)Average carBattery Electric Vehiclemiles</v>
          </cell>
          <cell r="K2075" t="str">
            <v>Average car miles Managed cars (by size)</v>
          </cell>
          <cell r="L2075">
            <v>8.8139999999999996E-2</v>
          </cell>
        </row>
        <row r="2076">
          <cell r="J2076" t="str">
            <v>Scope 3Managed assets- vehiclesManaged vansClass I (up to 1.305 tonnes)Dieselkm</v>
          </cell>
          <cell r="K2076" t="str">
            <v>Class I (up to 1.305 tonnes) km</v>
          </cell>
          <cell r="L2076">
            <v>0.1467</v>
          </cell>
        </row>
        <row r="2077">
          <cell r="J2077" t="str">
            <v>Scope 3Managed assets- vehiclesManaged vansClass I (up to 1.305 tonnes)Petrolkm</v>
          </cell>
          <cell r="K2077" t="str">
            <v>Class I (up to 1.305 tonnes) km</v>
          </cell>
          <cell r="L2077">
            <v>0.19986999999999999</v>
          </cell>
        </row>
        <row r="2078">
          <cell r="J2078" t="str">
            <v>Scope 3Managed assets- vehiclesManaged vansClass I (up to 1.305 tonnes)CNGkm</v>
          </cell>
          <cell r="K2078" t="str">
            <v>Class I (up to 1.305 tonnes) km</v>
          </cell>
        </row>
        <row r="2079">
          <cell r="J2079" t="str">
            <v>Scope 3Managed assets- vehiclesManaged vansClass I (up to 1.305 tonnes)LPGkm</v>
          </cell>
          <cell r="K2079" t="str">
            <v>Class I (up to 1.305 tonnes) km</v>
          </cell>
        </row>
        <row r="2080">
          <cell r="J2080" t="str">
            <v>Scope 3Managed assets- vehiclesManaged vansClass I (up to 1.305 tonnes)Unknownkm</v>
          </cell>
          <cell r="K2080" t="str">
            <v>Class I (up to 1.305 tonnes) km</v>
          </cell>
        </row>
        <row r="2081">
          <cell r="J2081" t="str">
            <v>Scope 3Managed assets- vehiclesManaged vansClass I (up to 1.305 tonnes)Plug-in Hybrid Electric Vehiclekm</v>
          </cell>
          <cell r="K2081" t="str">
            <v>Class I (up to 1.305 tonnes) km</v>
          </cell>
        </row>
        <row r="2082">
          <cell r="J2082" t="str">
            <v>Scope 3Managed assets- vehiclesManaged vansClass I (up to 1.305 tonnes)Battery Electric Vehiclekm</v>
          </cell>
          <cell r="K2082" t="str">
            <v>Class I (up to 1.305 tonnes) km</v>
          </cell>
          <cell r="L2082">
            <v>3.9549999999999995E-2</v>
          </cell>
        </row>
        <row r="2083">
          <cell r="J2083" t="str">
            <v>Scope 3Managed assets- vehiclesManaged vansClass II (1.305 to 1.74 tonnes)Dieselkm</v>
          </cell>
          <cell r="K2083" t="str">
            <v>Class II (1.305 to 1.74 tonnes) km</v>
          </cell>
          <cell r="L2083">
            <v>0.18315000000000001</v>
          </cell>
        </row>
        <row r="2084">
          <cell r="J2084" t="str">
            <v>Scope 3Managed assets- vehiclesManaged vansClass II (1.305 to 1.74 tonnes)Petrolkm</v>
          </cell>
          <cell r="K2084" t="str">
            <v>Class II (1.305 to 1.74 tonnes) km</v>
          </cell>
          <cell r="L2084">
            <v>0.19821</v>
          </cell>
        </row>
        <row r="2085">
          <cell r="J2085" t="str">
            <v>Scope 3Managed assets- vehiclesManaged vansClass II (1.305 to 1.74 tonnes)CNGkm</v>
          </cell>
          <cell r="K2085" t="str">
            <v>Class II (1.305 to 1.74 tonnes) km</v>
          </cell>
        </row>
        <row r="2086">
          <cell r="J2086" t="str">
            <v>Scope 3Managed assets- vehiclesManaged vansClass II (1.305 to 1.74 tonnes)LPGkm</v>
          </cell>
          <cell r="K2086" t="str">
            <v>Class II (1.305 to 1.74 tonnes) km</v>
          </cell>
        </row>
        <row r="2087">
          <cell r="J2087" t="str">
            <v>Scope 3Managed assets- vehiclesManaged vansClass II (1.305 to 1.74 tonnes)Unknownkm</v>
          </cell>
          <cell r="K2087" t="str">
            <v>Class II (1.305 to 1.74 tonnes) km</v>
          </cell>
        </row>
        <row r="2088">
          <cell r="J2088" t="str">
            <v>Scope 3Managed assets- vehiclesManaged vansClass II (1.305 to 1.74 tonnes)Plug-in Hybrid Electric Vehiclekm</v>
          </cell>
          <cell r="K2088" t="str">
            <v>Class II (1.305 to 1.74 tonnes) km</v>
          </cell>
        </row>
        <row r="2089">
          <cell r="J2089" t="str">
            <v>Scope 3Managed assets- vehiclesManaged vansClass II (1.305 to 1.74 tonnes)Battery Electric Vehiclekm</v>
          </cell>
          <cell r="K2089" t="str">
            <v>Class II (1.305 to 1.74 tonnes) km</v>
          </cell>
          <cell r="L2089">
            <v>5.459E-2</v>
          </cell>
        </row>
        <row r="2090">
          <cell r="J2090" t="str">
            <v>Scope 3Managed assets- vehiclesManaged vansClass III (1.74 to 3.5 tonnes)Dieselkm</v>
          </cell>
          <cell r="K2090" t="str">
            <v>Class III (1.74 to 3.5 tonnes) km</v>
          </cell>
          <cell r="L2090">
            <v>0.26529000000000003</v>
          </cell>
        </row>
        <row r="2091">
          <cell r="J2091" t="str">
            <v>Scope 3Managed assets- vehiclesManaged vansClass III (1.74 to 3.5 tonnes)Petrolkm</v>
          </cell>
          <cell r="K2091" t="str">
            <v>Class III (1.74 to 3.5 tonnes) km</v>
          </cell>
          <cell r="L2091">
            <v>0.31306</v>
          </cell>
        </row>
        <row r="2092">
          <cell r="J2092" t="str">
            <v>Scope 3Managed assets- vehiclesManaged vansClass III (1.74 to 3.5 tonnes)CNGkm</v>
          </cell>
          <cell r="K2092" t="str">
            <v>Class III (1.74 to 3.5 tonnes) km</v>
          </cell>
        </row>
        <row r="2093">
          <cell r="J2093" t="str">
            <v>Scope 3Managed assets- vehiclesManaged vansClass III (1.74 to 3.5 tonnes)LPGkm</v>
          </cell>
          <cell r="K2093" t="str">
            <v>Class III (1.74 to 3.5 tonnes) km</v>
          </cell>
        </row>
        <row r="2094">
          <cell r="J2094" t="str">
            <v>Scope 3Managed assets- vehiclesManaged vansClass III (1.74 to 3.5 tonnes)Unknownkm</v>
          </cell>
          <cell r="K2094" t="str">
            <v>Class III (1.74 to 3.5 tonnes) km</v>
          </cell>
        </row>
        <row r="2095">
          <cell r="J2095" t="str">
            <v>Scope 3Managed assets- vehiclesManaged vansClass III (1.74 to 3.5 tonnes)Plug-in Hybrid Electric Vehiclekm</v>
          </cell>
          <cell r="K2095" t="str">
            <v>Class III (1.74 to 3.5 tonnes) km</v>
          </cell>
        </row>
        <row r="2096">
          <cell r="J2096" t="str">
            <v>Scope 3Managed assets- vehiclesManaged vansClass III (1.74 to 3.5 tonnes)Battery Electric Vehiclekm</v>
          </cell>
          <cell r="K2096" t="str">
            <v>Class III (1.74 to 3.5 tonnes) km</v>
          </cell>
          <cell r="L2096">
            <v>7.6600000000000001E-2</v>
          </cell>
        </row>
        <row r="2097">
          <cell r="J2097" t="str">
            <v>Scope 3Managed assets- vehiclesManaged vansAverage (up to 3.5 tonnes)Dieselkm</v>
          </cell>
          <cell r="K2097" t="str">
            <v>Average (up to 3.5 tonnes) km</v>
          </cell>
          <cell r="L2097">
            <v>0.24116000000000001</v>
          </cell>
        </row>
        <row r="2098">
          <cell r="J2098" t="str">
            <v>Scope 3Managed assets- vehiclesManaged vansAverage (up to 3.5 tonnes)Petrolkm</v>
          </cell>
          <cell r="K2098" t="str">
            <v>Average (up to 3.5 tonnes) km</v>
          </cell>
          <cell r="L2098">
            <v>0.21046999999999999</v>
          </cell>
        </row>
        <row r="2099">
          <cell r="J2099" t="str">
            <v>Scope 3Managed assets- vehiclesManaged vansAverage (up to 3.5 tonnes)CNGkm</v>
          </cell>
          <cell r="K2099" t="str">
            <v>Average (up to 3.5 tonnes) km</v>
          </cell>
          <cell r="L2099">
            <v>0.24548</v>
          </cell>
        </row>
        <row r="2100">
          <cell r="J2100" t="str">
            <v>Scope 3Managed assets- vehiclesManaged vansAverage (up to 3.5 tonnes)LPGkm</v>
          </cell>
          <cell r="K2100" t="str">
            <v>Average (up to 3.5 tonnes) km</v>
          </cell>
          <cell r="L2100">
            <v>0.27</v>
          </cell>
        </row>
        <row r="2101">
          <cell r="J2101" t="str">
            <v>Scope 3Managed assets- vehiclesManaged vansAverage (up to 3.5 tonnes)Unknownkm</v>
          </cell>
          <cell r="K2101" t="str">
            <v>Average (up to 3.5 tonnes) km</v>
          </cell>
          <cell r="L2101">
            <v>0.24016999999999999</v>
          </cell>
        </row>
        <row r="2102">
          <cell r="J2102" t="str">
            <v>Scope 3Managed assets- vehiclesManaged vansAverage (up to 3.5 tonnes)Plug-in Hybrid Electric Vehiclekm</v>
          </cell>
          <cell r="K2102" t="str">
            <v>Average (up to 3.5 tonnes) km</v>
          </cell>
        </row>
        <row r="2103">
          <cell r="J2103" t="str">
            <v>Scope 3Managed assets- vehiclesManaged vansAverage (up to 3.5 tonnes)Battery Electric Vehiclekm</v>
          </cell>
          <cell r="K2103" t="str">
            <v>Average (up to 3.5 tonnes) km</v>
          </cell>
          <cell r="L2103">
            <v>5.4630000000000005E-2</v>
          </cell>
        </row>
        <row r="2104">
          <cell r="J2104" t="str">
            <v>Scope 3Managed assets- vehiclesManaged HGV (all diesel)Rigid (&gt;3.5 - 7.5 tonnes)0% Ladenkm</v>
          </cell>
          <cell r="K2104" t="str">
            <v>Managed HGV (all diesel) Rigid (&gt;3.5 - 7.5 tonnes) km</v>
          </cell>
          <cell r="L2104">
            <v>0.44542999999999999</v>
          </cell>
        </row>
        <row r="2105">
          <cell r="J2105" t="str">
            <v>Scope 3Managed assets- vehiclesManaged HGV (all diesel)Rigid (&gt;3.5 - 7.5 tonnes)50% Ladenkm</v>
          </cell>
          <cell r="K2105" t="str">
            <v>Managed HGV (all diesel) Rigid (&gt;3.5 - 7.5 tonnes) km</v>
          </cell>
          <cell r="L2105">
            <v>0.48364000000000001</v>
          </cell>
        </row>
        <row r="2106">
          <cell r="J2106" t="str">
            <v>Scope 3Managed assets- vehiclesManaged HGV (all diesel)Rigid (&gt;3.5 - 7.5 tonnes)100% Ladenkm</v>
          </cell>
          <cell r="K2106" t="str">
            <v>Managed HGV (all diesel) Rigid (&gt;3.5 - 7.5 tonnes) km</v>
          </cell>
          <cell r="L2106">
            <v>0.52183999999999997</v>
          </cell>
        </row>
        <row r="2107">
          <cell r="J2107" t="str">
            <v>Scope 3Managed assets- vehiclesManaged HGV (all diesel)Rigid (&gt;3.5 - 7.5 tonnes)Average ladenkm</v>
          </cell>
          <cell r="K2107" t="str">
            <v>Managed HGV (all diesel) Rigid (&gt;3.5 - 7.5 tonnes) km</v>
          </cell>
          <cell r="L2107">
            <v>0.48058000000000001</v>
          </cell>
        </row>
        <row r="2108">
          <cell r="J2108" t="str">
            <v>Scope 3Managed assets- vehiclesManaged HGV (all diesel)Rigid (&gt;7.5 tonnes-17 tonnes)0% Ladenkm</v>
          </cell>
          <cell r="K2108" t="str">
            <v>Managed HGV (all diesel) Rigid (&gt;7.5 tonnes-17 tonnes) km</v>
          </cell>
          <cell r="L2108">
            <v>0.53561000000000003</v>
          </cell>
        </row>
        <row r="2109">
          <cell r="J2109" t="str">
            <v>Scope 3Managed assets- vehiclesManaged HGV (all diesel)Rigid (&gt;7.5 tonnes-17 tonnes)50% Ladenkm</v>
          </cell>
          <cell r="K2109" t="str">
            <v>Managed HGV (all diesel) Rigid (&gt;7.5 tonnes-17 tonnes) km</v>
          </cell>
          <cell r="L2109">
            <v>0.61107</v>
          </cell>
        </row>
        <row r="2110">
          <cell r="J2110" t="str">
            <v>Scope 3Managed assets- vehiclesManaged HGV (all diesel)Rigid (&gt;7.5 tonnes-17 tonnes)100% Ladenkm</v>
          </cell>
          <cell r="K2110" t="str">
            <v>Managed HGV (all diesel) Rigid (&gt;7.5 tonnes-17 tonnes) km</v>
          </cell>
          <cell r="L2110">
            <v>0.68652999999999997</v>
          </cell>
        </row>
        <row r="2111">
          <cell r="J2111" t="str">
            <v>Scope 3Managed assets- vehiclesManaged HGV (all diesel)Rigid (&gt;7.5 tonnes-17 tonnes)Average ladenkm</v>
          </cell>
          <cell r="K2111" t="str">
            <v>Managed HGV (all diesel) Rigid (&gt;7.5 tonnes-17 tonnes) km</v>
          </cell>
          <cell r="L2111">
            <v>0.58692</v>
          </cell>
        </row>
        <row r="2112">
          <cell r="J2112" t="str">
            <v>Scope 3Managed assets- vehiclesManaged HGV (all diesel)Rigid (&gt;17 tonnes)0% Ladenkm</v>
          </cell>
          <cell r="K2112" t="str">
            <v>Managed HGV (all diesel) Rigid (&gt;17 tonnes) km</v>
          </cell>
          <cell r="L2112">
            <v>0.76629000000000003</v>
          </cell>
        </row>
        <row r="2113">
          <cell r="J2113" t="str">
            <v>Scope 3Managed assets- vehiclesManaged HGV (all diesel)Rigid (&gt;17 tonnes)50% Ladenkm</v>
          </cell>
          <cell r="K2113" t="str">
            <v>Managed HGV (all diesel) Rigid (&gt;17 tonnes) km</v>
          </cell>
          <cell r="L2113">
            <v>0.93184</v>
          </cell>
        </row>
        <row r="2114">
          <cell r="J2114" t="str">
            <v>Scope 3Managed assets- vehiclesManaged HGV (all diesel)Rigid (&gt;17 tonnes)100% Ladenkm</v>
          </cell>
          <cell r="K2114" t="str">
            <v>Managed HGV (all diesel) Rigid (&gt;17 tonnes) km</v>
          </cell>
          <cell r="L2114">
            <v>1.0973999999999999</v>
          </cell>
        </row>
        <row r="2115">
          <cell r="J2115" t="str">
            <v>Scope 3Managed assets- vehiclesManaged HGV (all diesel)Rigid (&gt;17 tonnes)Average ladenkm</v>
          </cell>
          <cell r="K2115" t="str">
            <v>Managed HGV (all diesel) Rigid (&gt;17 tonnes) km</v>
          </cell>
          <cell r="L2115">
            <v>0.95752000000000004</v>
          </cell>
        </row>
        <row r="2116">
          <cell r="J2116" t="str">
            <v>Scope 3Managed assets- vehiclesManaged HGV (all diesel)All rigids0% Ladenkm</v>
          </cell>
          <cell r="K2116" t="str">
            <v>Managed HGV (all diesel) All rigids km</v>
          </cell>
          <cell r="L2116">
            <v>0.66440999999999995</v>
          </cell>
        </row>
        <row r="2117">
          <cell r="J2117" t="str">
            <v>Scope 3Managed assets- vehiclesManaged HGV (all diesel)All rigids50% Ladenkm</v>
          </cell>
          <cell r="K2117" t="str">
            <v>Managed HGV (all diesel) All rigids km</v>
          </cell>
          <cell r="L2117">
            <v>0.78968000000000005</v>
          </cell>
        </row>
        <row r="2118">
          <cell r="J2118" t="str">
            <v>Scope 3Managed assets- vehiclesManaged HGV (all diesel)All rigids100% Ladenkm</v>
          </cell>
          <cell r="K2118" t="str">
            <v>Managed HGV (all diesel) All rigids km</v>
          </cell>
          <cell r="L2118">
            <v>0.91495000000000004</v>
          </cell>
        </row>
        <row r="2119">
          <cell r="J2119" t="str">
            <v>Scope 3Managed assets- vehiclesManaged HGV (all diesel)All rigidsAverage ladenkm</v>
          </cell>
          <cell r="K2119" t="str">
            <v>Managed HGV (all diesel) All rigids km</v>
          </cell>
          <cell r="L2119">
            <v>0.80305000000000004</v>
          </cell>
        </row>
        <row r="2120">
          <cell r="J2120" t="str">
            <v>Scope 3Managed assets- vehiclesManaged HGV (all diesel)Articulated (&gt;3.5 - 33t)0% Ladenkm</v>
          </cell>
          <cell r="K2120" t="str">
            <v>Managed HGV (all diesel) Articulated (&gt;3.5 - 33t) km</v>
          </cell>
          <cell r="L2120">
            <v>0.62341999999999997</v>
          </cell>
        </row>
        <row r="2121">
          <cell r="J2121" t="str">
            <v>Scope 3Managed assets- vehiclesManaged HGV (all diesel)Articulated (&gt;3.5 - 33t)50% Ladenkm</v>
          </cell>
          <cell r="K2121" t="str">
            <v>Managed HGV (all diesel) Articulated (&gt;3.5 - 33t) km</v>
          </cell>
          <cell r="L2121">
            <v>0.77585000000000004</v>
          </cell>
        </row>
        <row r="2122">
          <cell r="J2122" t="str">
            <v>Scope 3Managed assets- vehiclesManaged HGV (all diesel)Articulated (&gt;3.5 - 33t)100% Ladenkm</v>
          </cell>
          <cell r="K2122" t="str">
            <v>Managed HGV (all diesel) Articulated (&gt;3.5 - 33t) km</v>
          </cell>
          <cell r="L2122">
            <v>0.92828999999999995</v>
          </cell>
        </row>
        <row r="2123">
          <cell r="J2123" t="str">
            <v>Scope 3Managed assets- vehiclesManaged HGV (all diesel)Articulated (&gt;3.5 - 33t)Average ladenkm</v>
          </cell>
          <cell r="K2123" t="str">
            <v>Managed HGV (all diesel) Articulated (&gt;3.5 - 33t) km</v>
          </cell>
          <cell r="L2123">
            <v>0.76976</v>
          </cell>
        </row>
        <row r="2124">
          <cell r="J2124" t="str">
            <v>Scope 3Managed assets- vehiclesManaged HGV (all diesel)Articulated (&gt;33t)0% Ladenkm</v>
          </cell>
          <cell r="K2124" t="str">
            <v>Managed HGV (all diesel) Articulated (&gt;33t) km</v>
          </cell>
          <cell r="L2124">
            <v>0.65022999999999997</v>
          </cell>
        </row>
        <row r="2125">
          <cell r="J2125" t="str">
            <v>Scope 3Managed assets- vehiclesManaged HGV (all diesel)Articulated (&gt;33t)50% Ladenkm</v>
          </cell>
          <cell r="K2125" t="str">
            <v>Managed HGV (all diesel) Articulated (&gt;33t) km</v>
          </cell>
          <cell r="L2125">
            <v>0.86153999999999997</v>
          </cell>
        </row>
        <row r="2126">
          <cell r="J2126" t="str">
            <v>Scope 3Managed assets- vehiclesManaged HGV (all diesel)Articulated (&gt;33t)100% Ladenkm</v>
          </cell>
          <cell r="K2126" t="str">
            <v>Managed HGV (all diesel) Articulated (&gt;33t) km</v>
          </cell>
          <cell r="L2126">
            <v>1.0728599999999999</v>
          </cell>
        </row>
        <row r="2127">
          <cell r="J2127" t="str">
            <v>Scope 3Managed assets- vehiclesManaged HGV (all diesel)Articulated (&gt;33t)Average ladenkm</v>
          </cell>
          <cell r="K2127" t="str">
            <v>Managed HGV (all diesel) Articulated (&gt;33t) km</v>
          </cell>
          <cell r="L2127">
            <v>0.91647999999999996</v>
          </cell>
        </row>
        <row r="2128">
          <cell r="J2128" t="str">
            <v>Scope 3Managed assets- vehiclesManaged HGV (all diesel)All artics0% Ladenkm</v>
          </cell>
          <cell r="K2128" t="str">
            <v>Managed HGV (all diesel) All artics km</v>
          </cell>
          <cell r="L2128">
            <v>0.64912999999999998</v>
          </cell>
        </row>
        <row r="2129">
          <cell r="J2129" t="str">
            <v>Scope 3Managed assets- vehiclesManaged HGV (all diesel)All artics50% Ladenkm</v>
          </cell>
          <cell r="K2129" t="str">
            <v>Managed HGV (all diesel) All artics km</v>
          </cell>
          <cell r="L2129">
            <v>0.85802999999999996</v>
          </cell>
        </row>
        <row r="2130">
          <cell r="J2130" t="str">
            <v>Scope 3Managed assets- vehiclesManaged HGV (all diesel)All artics100% Ladenkm</v>
          </cell>
          <cell r="K2130" t="str">
            <v>Managed HGV (all diesel) All artics km</v>
          </cell>
          <cell r="L2130">
            <v>1.06694</v>
          </cell>
        </row>
        <row r="2131">
          <cell r="J2131" t="str">
            <v>Scope 3Managed assets- vehiclesManaged HGV (all diesel)All articsAverage ladenkm</v>
          </cell>
          <cell r="K2131" t="str">
            <v>Managed HGV (all diesel) All artics km</v>
          </cell>
          <cell r="L2131">
            <v>0.91047999999999996</v>
          </cell>
        </row>
        <row r="2132">
          <cell r="J2132" t="str">
            <v>Scope 3Managed assets- vehiclesManaged HGV (all diesel)All HGVs0% Ladenkm</v>
          </cell>
          <cell r="K2132" t="str">
            <v>Managed HGV (all diesel) All HGVs km</v>
          </cell>
          <cell r="L2132">
            <v>0.65573000000000004</v>
          </cell>
        </row>
        <row r="2133">
          <cell r="J2133" t="str">
            <v>Scope 3Managed assets- vehiclesManaged HGV (all diesel)All HGVs50% Ladenkm</v>
          </cell>
          <cell r="K2133" t="str">
            <v>Managed HGV (all diesel) All HGVs km</v>
          </cell>
          <cell r="L2133">
            <v>0.82850999999999997</v>
          </cell>
        </row>
        <row r="2134">
          <cell r="J2134" t="str">
            <v>Scope 3Managed assets- vehiclesManaged HGV (all diesel)All HGVs100% Ladenkm</v>
          </cell>
          <cell r="K2134" t="str">
            <v>Managed HGV (all diesel) All HGVs km</v>
          </cell>
          <cell r="L2134">
            <v>1.0012799999999999</v>
          </cell>
        </row>
        <row r="2135">
          <cell r="J2135" t="str">
            <v>Scope 3Managed assets- vehiclesManaged HGV (all diesel)All HGVsAverage ladenkm</v>
          </cell>
          <cell r="K2135" t="str">
            <v>Managed HGV (all diesel) All HGVs km</v>
          </cell>
          <cell r="L2135">
            <v>0.86407</v>
          </cell>
        </row>
        <row r="2136">
          <cell r="J2136" t="str">
            <v>Scope 3Managed assets- vehiclesManaged HGV refrigerated (all diesel)Rigid (&gt;3.5 - 7.5 tonnes)0% Ladenkm</v>
          </cell>
          <cell r="K2136" t="str">
            <v>Managed HGV refrigerated (all diesel) Rigid (&gt;3.5 - 7.5 tonnes) km</v>
          </cell>
          <cell r="L2136">
            <v>0.5302</v>
          </cell>
        </row>
        <row r="2137">
          <cell r="J2137" t="str">
            <v>Scope 3Managed assets- vehiclesManaged HGV refrigerated (all diesel)Rigid (&gt;3.5 - 7.5 tonnes)50% Ladenkm</v>
          </cell>
          <cell r="K2137" t="str">
            <v>Managed HGV refrigerated (all diesel) Rigid (&gt;3.5 - 7.5 tonnes) km</v>
          </cell>
          <cell r="L2137">
            <v>0.57577999999999996</v>
          </cell>
        </row>
        <row r="2138">
          <cell r="J2138" t="str">
            <v>Scope 3Managed assets- vehiclesManaged HGV refrigerated (all diesel)Rigid (&gt;3.5 - 7.5 tonnes)100% Ladenkm</v>
          </cell>
          <cell r="K2138" t="str">
            <v>Managed HGV refrigerated (all diesel) Rigid (&gt;3.5 - 7.5 tonnes) km</v>
          </cell>
          <cell r="L2138">
            <v>0.62134999999999996</v>
          </cell>
        </row>
        <row r="2139">
          <cell r="J2139" t="str">
            <v>Scope 3Managed assets- vehiclesManaged HGV refrigerated (all diesel)Rigid (&gt;3.5 - 7.5 tonnes)Average ladenkm</v>
          </cell>
          <cell r="K2139" t="str">
            <v>Managed HGV refrigerated (all diesel) Rigid (&gt;3.5 - 7.5 tonnes) km</v>
          </cell>
          <cell r="L2139">
            <v>0.57213000000000003</v>
          </cell>
        </row>
        <row r="2140">
          <cell r="J2140" t="str">
            <v>Scope 3Managed assets- vehiclesManaged HGV refrigerated (all diesel)Rigid (&gt;7.5 tonnes-17 tonnes)0% Ladenkm</v>
          </cell>
          <cell r="K2140" t="str">
            <v>Managed HGV refrigerated (all diesel) Rigid (&gt;7.5 tonnes-17 tonnes) km</v>
          </cell>
          <cell r="L2140">
            <v>0.63751999999999998</v>
          </cell>
        </row>
        <row r="2141">
          <cell r="J2141" t="str">
            <v>Scope 3Managed assets- vehiclesManaged HGV refrigerated (all diesel)Rigid (&gt;7.5 tonnes-17 tonnes)50% Ladenkm</v>
          </cell>
          <cell r="K2141" t="str">
            <v>Managed HGV refrigerated (all diesel) Rigid (&gt;7.5 tonnes-17 tonnes) km</v>
          </cell>
          <cell r="L2141">
            <v>0.72753000000000001</v>
          </cell>
        </row>
        <row r="2142">
          <cell r="J2142" t="str">
            <v>Scope 3Managed assets- vehiclesManaged HGV refrigerated (all diesel)Rigid (&gt;7.5 tonnes-17 tonnes)100% Ladenkm</v>
          </cell>
          <cell r="K2142" t="str">
            <v>Managed HGV refrigerated (all diesel) Rigid (&gt;7.5 tonnes-17 tonnes) km</v>
          </cell>
          <cell r="L2142">
            <v>0.81755</v>
          </cell>
        </row>
        <row r="2143">
          <cell r="J2143" t="str">
            <v>Scope 3Managed assets- vehiclesManaged HGV refrigerated (all diesel)Rigid (&gt;7.5 tonnes-17 tonnes)Average ladenkm</v>
          </cell>
          <cell r="K2143" t="str">
            <v>Managed HGV refrigerated (all diesel) Rigid (&gt;7.5 tonnes-17 tonnes) km</v>
          </cell>
          <cell r="L2143">
            <v>0.69872999999999996</v>
          </cell>
        </row>
        <row r="2144">
          <cell r="J2144" t="str">
            <v>Scope 3Managed assets- vehiclesManaged HGV refrigerated (all diesel)Rigid (&gt;17 tonnes)0% Ladenkm</v>
          </cell>
          <cell r="K2144" t="str">
            <v>Managed HGV refrigerated (all diesel) Rigid (&gt;17 tonnes) km</v>
          </cell>
          <cell r="L2144">
            <v>0.91180000000000005</v>
          </cell>
        </row>
        <row r="2145">
          <cell r="J2145" t="str">
            <v>Scope 3Managed assets- vehiclesManaged HGV refrigerated (all diesel)Rigid (&gt;17 tonnes)50% Ladenkm</v>
          </cell>
          <cell r="K2145" t="str">
            <v>Managed HGV refrigerated (all diesel) Rigid (&gt;17 tonnes) km</v>
          </cell>
          <cell r="L2145">
            <v>1.1092900000000001</v>
          </cell>
        </row>
        <row r="2146">
          <cell r="J2146" t="str">
            <v>Scope 3Managed assets- vehiclesManaged HGV refrigerated (all diesel)Rigid (&gt;17 tonnes)100% Ladenkm</v>
          </cell>
          <cell r="K2146" t="str">
            <v>Managed HGV refrigerated (all diesel) Rigid (&gt;17 tonnes) km</v>
          </cell>
          <cell r="L2146">
            <v>1.3067800000000001</v>
          </cell>
        </row>
        <row r="2147">
          <cell r="J2147" t="str">
            <v>Scope 3Managed assets- vehiclesManaged HGV refrigerated (all diesel)Rigid (&gt;17 tonnes)Average ladenkm</v>
          </cell>
          <cell r="K2147" t="str">
            <v>Managed HGV refrigerated (all diesel) Rigid (&gt;17 tonnes) km</v>
          </cell>
          <cell r="L2147">
            <v>1.1399300000000001</v>
          </cell>
        </row>
        <row r="2148">
          <cell r="J2148" t="str">
            <v>Scope 3Managed assets- vehiclesManaged HGV refrigerated (all diesel)All rigids0% Ladenkm</v>
          </cell>
          <cell r="K2148" t="str">
            <v>Managed HGV refrigerated (all diesel) All rigids km</v>
          </cell>
          <cell r="L2148">
            <v>0.79063000000000005</v>
          </cell>
        </row>
        <row r="2149">
          <cell r="J2149" t="str">
            <v>Scope 3Managed assets- vehiclesManaged HGV refrigerated (all diesel)All rigids50% Ladenkm</v>
          </cell>
          <cell r="K2149" t="str">
            <v>Managed HGV refrigerated (all diesel) All rigids km</v>
          </cell>
          <cell r="L2149">
            <v>0.94008000000000003</v>
          </cell>
        </row>
        <row r="2150">
          <cell r="J2150" t="str">
            <v>Scope 3Managed assets- vehiclesManaged HGV refrigerated (all diesel)All rigids100% Ladenkm</v>
          </cell>
          <cell r="K2150" t="str">
            <v>Managed HGV refrigerated (all diesel) All rigids km</v>
          </cell>
          <cell r="L2150">
            <v>1.08952</v>
          </cell>
        </row>
        <row r="2151">
          <cell r="J2151" t="str">
            <v>Scope 3Managed assets- vehiclesManaged HGV refrigerated (all diesel)All rigidsAverage ladenkm</v>
          </cell>
          <cell r="K2151" t="str">
            <v>Managed HGV refrigerated (all diesel) All rigids km</v>
          </cell>
          <cell r="L2151">
            <v>0.95603000000000005</v>
          </cell>
        </row>
        <row r="2152">
          <cell r="J2152" t="str">
            <v>Scope 3Managed assets- vehiclesManaged HGV refrigerated (all diesel)Articulated (&gt;3.5 - 33t)0% Ladenkm</v>
          </cell>
          <cell r="K2152" t="str">
            <v>Managed HGV refrigerated (all diesel) Articulated (&gt;3.5 - 33t) km</v>
          </cell>
          <cell r="L2152">
            <v>0.72055999999999998</v>
          </cell>
        </row>
        <row r="2153">
          <cell r="J2153" t="str">
            <v>Scope 3Managed assets- vehiclesManaged HGV refrigerated (all diesel)Articulated (&gt;3.5 - 33t)50% Ladenkm</v>
          </cell>
          <cell r="K2153" t="str">
            <v>Managed HGV refrigerated (all diesel) Articulated (&gt;3.5 - 33t) km</v>
          </cell>
          <cell r="L2153">
            <v>0.89727999999999997</v>
          </cell>
        </row>
        <row r="2154">
          <cell r="J2154" t="str">
            <v>Scope 3Managed assets- vehiclesManaged HGV refrigerated (all diesel)Articulated (&gt;3.5 - 33t)100% Ladenkm</v>
          </cell>
          <cell r="K2154" t="str">
            <v>Managed HGV refrigerated (all diesel) Articulated (&gt;3.5 - 33t) km</v>
          </cell>
          <cell r="L2154">
            <v>1.0740000000000001</v>
          </cell>
        </row>
        <row r="2155">
          <cell r="J2155" t="str">
            <v>Scope 3Managed assets- vehiclesManaged HGV refrigerated (all diesel)Articulated (&gt;3.5 - 33t)Average ladenkm</v>
          </cell>
          <cell r="K2155" t="str">
            <v>Managed HGV refrigerated (all diesel) Articulated (&gt;3.5 - 33t) km</v>
          </cell>
          <cell r="L2155">
            <v>0.89020999999999995</v>
          </cell>
        </row>
        <row r="2156">
          <cell r="J2156" t="str">
            <v>Scope 3Managed assets- vehiclesManaged HGV refrigerated (all diesel)Articulated (&gt;33t)0% Ladenkm</v>
          </cell>
          <cell r="K2156" t="str">
            <v>Managed HGV refrigerated (all diesel) Articulated (&gt;33t) km</v>
          </cell>
          <cell r="L2156">
            <v>0.75122999999999995</v>
          </cell>
        </row>
        <row r="2157">
          <cell r="J2157" t="str">
            <v>Scope 3Managed assets- vehiclesManaged HGV refrigerated (all diesel)Articulated (&gt;33t)50% Ladenkm</v>
          </cell>
          <cell r="K2157" t="str">
            <v>Managed HGV refrigerated (all diesel) Articulated (&gt;33t) km</v>
          </cell>
          <cell r="L2157">
            <v>0.99621000000000004</v>
          </cell>
        </row>
        <row r="2158">
          <cell r="J2158" t="str">
            <v>Scope 3Managed assets- vehiclesManaged HGV refrigerated (all diesel)Articulated (&gt;33t)100% Ladenkm</v>
          </cell>
          <cell r="K2158" t="str">
            <v>Managed HGV refrigerated (all diesel) Articulated (&gt;33t) km</v>
          </cell>
          <cell r="L2158">
            <v>1.2411799999999999</v>
          </cell>
        </row>
        <row r="2159">
          <cell r="J2159" t="str">
            <v>Scope 3Managed assets- vehiclesManaged HGV refrigerated (all diesel)Articulated (&gt;33t)Average ladenkm</v>
          </cell>
          <cell r="K2159" t="str">
            <v>Managed HGV refrigerated (all diesel) Articulated (&gt;33t) km</v>
          </cell>
          <cell r="L2159">
            <v>1.0599000000000001</v>
          </cell>
        </row>
        <row r="2160">
          <cell r="J2160" t="str">
            <v>Scope 3Managed assets- vehiclesManaged HGV refrigerated (all diesel)All artics0% Ladenkm</v>
          </cell>
          <cell r="K2160" t="str">
            <v>Managed HGV refrigerated (all diesel) All artics km</v>
          </cell>
          <cell r="L2160">
            <v>0.74997000000000003</v>
          </cell>
        </row>
        <row r="2161">
          <cell r="J2161" t="str">
            <v>Scope 3Managed assets- vehiclesManaged HGV refrigerated (all diesel)All artics50% Ladenkm</v>
          </cell>
          <cell r="K2161" t="str">
            <v>Managed HGV refrigerated (all diesel) All artics km</v>
          </cell>
          <cell r="L2161">
            <v>0.99216000000000004</v>
          </cell>
        </row>
        <row r="2162">
          <cell r="J2162" t="str">
            <v>Scope 3Managed assets- vehiclesManaged HGV refrigerated (all diesel)All artics100% Ladenkm</v>
          </cell>
          <cell r="K2162" t="str">
            <v>Managed HGV refrigerated (all diesel) All artics km</v>
          </cell>
          <cell r="L2162">
            <v>1.23434</v>
          </cell>
        </row>
        <row r="2163">
          <cell r="J2163" t="str">
            <v>Scope 3Managed assets- vehiclesManaged HGV refrigerated (all diesel)All articsAverage ladenkm</v>
          </cell>
          <cell r="K2163" t="str">
            <v>Managed HGV refrigerated (all diesel) All artics km</v>
          </cell>
          <cell r="L2163">
            <v>1.0529500000000001</v>
          </cell>
        </row>
        <row r="2164">
          <cell r="J2164" t="str">
            <v>Scope 3Managed assets- vehiclesManaged HGV refrigerated (all diesel)All HGVs0% Ladenkm</v>
          </cell>
          <cell r="K2164" t="str">
            <v>Managed HGV refrigerated (all diesel) All HGVs km</v>
          </cell>
          <cell r="L2164">
            <v>0.76736000000000004</v>
          </cell>
        </row>
        <row r="2165">
          <cell r="J2165" t="str">
            <v>Scope 3Managed assets- vehiclesManaged HGV refrigerated (all diesel)All HGVs50% Ladenkm</v>
          </cell>
          <cell r="K2165" t="str">
            <v>Managed HGV refrigerated (all diesel) All HGVs km</v>
          </cell>
          <cell r="L2165">
            <v>0.97016999999999998</v>
          </cell>
        </row>
        <row r="2166">
          <cell r="J2166" t="str">
            <v>Scope 3Managed assets- vehiclesManaged HGV refrigerated (all diesel)All HGVs100% Ladenkm</v>
          </cell>
          <cell r="K2166" t="str">
            <v>Managed HGV refrigerated (all diesel) All HGVs km</v>
          </cell>
          <cell r="L2166">
            <v>1.1729799999999999</v>
          </cell>
        </row>
        <row r="2167">
          <cell r="J2167" t="str">
            <v>Scope 3Managed assets- vehiclesManaged HGV refrigerated (all diesel)All HGVsAverage ladenkm</v>
          </cell>
          <cell r="K2167" t="str">
            <v>Managed HGV refrigerated (all diesel) All HGVs km</v>
          </cell>
          <cell r="L2167">
            <v>1.0119199999999999</v>
          </cell>
        </row>
        <row r="2168">
          <cell r="J2168" t="str">
            <v>Scope 3Managed assets- vehiclesManaged motorbikesSmallkm</v>
          </cell>
          <cell r="K2168" t="str">
            <v>Small km</v>
          </cell>
          <cell r="L2168">
            <v>8.3060000000000009E-2</v>
          </cell>
        </row>
        <row r="2169">
          <cell r="J2169" t="str">
            <v>Scope 3Managed assets- vehiclesManaged motorbikesSmallmiles</v>
          </cell>
          <cell r="K2169" t="str">
            <v>Small miles</v>
          </cell>
          <cell r="L2169">
            <v>0.13369</v>
          </cell>
        </row>
        <row r="2170">
          <cell r="J2170" t="str">
            <v>Scope 3Managed assets- vehiclesManaged motorbikesMediumkm</v>
          </cell>
          <cell r="K2170" t="str">
            <v>Medium km</v>
          </cell>
          <cell r="L2170">
            <v>0.1009</v>
          </cell>
        </row>
        <row r="2171">
          <cell r="J2171" t="str">
            <v>Scope 3Managed assets- vehiclesManaged motorbikesMediummiles</v>
          </cell>
          <cell r="K2171" t="str">
            <v>Medium miles</v>
          </cell>
          <cell r="L2171">
            <v>0.16236999999999999</v>
          </cell>
        </row>
        <row r="2172">
          <cell r="J2172" t="str">
            <v>Scope 3Managed assets- vehiclesManaged motorbikesLargekm</v>
          </cell>
          <cell r="K2172" t="str">
            <v>Large km</v>
          </cell>
          <cell r="L2172">
            <v>0.13244999999999998</v>
          </cell>
        </row>
        <row r="2173">
          <cell r="J2173" t="str">
            <v>Scope 3Managed assets- vehiclesManaged motorbikesLargemiles</v>
          </cell>
          <cell r="K2173" t="str">
            <v>Large miles</v>
          </cell>
          <cell r="L2173">
            <v>0.21314999999999998</v>
          </cell>
        </row>
        <row r="2174">
          <cell r="J2174" t="str">
            <v>Scope 3Managed assets- vehiclesManaged motorbikesAveragekm</v>
          </cell>
          <cell r="K2174" t="str">
            <v>Average km</v>
          </cell>
          <cell r="L2174">
            <v>0.11355</v>
          </cell>
        </row>
        <row r="2175">
          <cell r="J2175" t="str">
            <v>Scope 3Managed assets- vehiclesManaged motorbikesAveragemiles</v>
          </cell>
          <cell r="K2175" t="str">
            <v>Average miles</v>
          </cell>
          <cell r="L2175">
            <v>0.18273999999999999</v>
          </cell>
        </row>
        <row r="2176">
          <cell r="J2176" t="str">
            <v>Scope 3Freighting goodsVansClass I (up to 1.305 tonnes)Dieselkm</v>
          </cell>
          <cell r="K2176" t="str">
            <v>Freighting goods Class I (up to 1.305 tonnes) Diesel km</v>
          </cell>
          <cell r="L2176">
            <v>0.1467</v>
          </cell>
        </row>
        <row r="2177">
          <cell r="J2177" t="str">
            <v>Scope 3Freighting goodsVansClass I (up to 1.305 tonnes)Dieselmiles</v>
          </cell>
          <cell r="K2177" t="str">
            <v>Class I (up to 1.305 tonnes) miles</v>
          </cell>
          <cell r="L2177">
            <v>0.23608000000000001</v>
          </cell>
        </row>
        <row r="2178">
          <cell r="J2178" t="str">
            <v>Scope 3Freighting goodsVansClass I (up to 1.305 tonnes)Dieseltonne.km</v>
          </cell>
          <cell r="K2178" t="str">
            <v>Freighting goods Class I (up to 1.305 tonnes) Diesel tonne.km</v>
          </cell>
          <cell r="L2178">
            <v>0.81484999999999996</v>
          </cell>
        </row>
        <row r="2179">
          <cell r="J2179" t="str">
            <v>Scope 3Freighting goodsVansClass I (up to 1.305 tonnes)Petrolkm</v>
          </cell>
          <cell r="K2179" t="str">
            <v>Freighting goods Class I (up to 1.305 tonnes) Petrol km</v>
          </cell>
          <cell r="L2179">
            <v>0.19986999999999999</v>
          </cell>
        </row>
        <row r="2180">
          <cell r="J2180" t="str">
            <v>Scope 3Freighting goodsVansClass I (up to 1.305 tonnes)Petrolmiles</v>
          </cell>
          <cell r="K2180" t="str">
            <v>Class I (up to 1.305 tonnes) miles</v>
          </cell>
          <cell r="L2180">
            <v>0.32164999999999999</v>
          </cell>
        </row>
        <row r="2181">
          <cell r="J2181" t="str">
            <v>Scope 3Freighting goodsVansClass I (up to 1.305 tonnes)Petroltonne.km</v>
          </cell>
          <cell r="K2181" t="str">
            <v>Freighting goods Class I (up to 1.305 tonnes) Petrol tonne.km</v>
          </cell>
          <cell r="L2181">
            <v>1.0738300000000001</v>
          </cell>
        </row>
        <row r="2182">
          <cell r="J2182" t="str">
            <v>Scope 3Freighting goodsVansClass I (up to 1.305 tonnes)CNGkm</v>
          </cell>
          <cell r="K2182" t="str">
            <v>Freighting goods Class I (up to 1.305 tonnes) CNG km</v>
          </cell>
        </row>
        <row r="2183">
          <cell r="J2183" t="str">
            <v>Scope 3Freighting goodsVansClass I (up to 1.305 tonnes)CNGmiles</v>
          </cell>
          <cell r="K2183" t="str">
            <v>Class I (up to 1.305 tonnes) miles</v>
          </cell>
        </row>
        <row r="2184">
          <cell r="J2184" t="str">
            <v>Scope 3Freighting goodsVansClass I (up to 1.305 tonnes)CNGtonne.km</v>
          </cell>
          <cell r="K2184" t="str">
            <v>Freighting goods Class I (up to 1.305 tonnes) CNG tonne.km</v>
          </cell>
        </row>
        <row r="2185">
          <cell r="J2185" t="str">
            <v>Scope 3Freighting goodsVansClass I (up to 1.305 tonnes)LPGkm</v>
          </cell>
          <cell r="K2185" t="str">
            <v>Freighting goods Class I (up to 1.305 tonnes) LPG km</v>
          </cell>
        </row>
        <row r="2186">
          <cell r="J2186" t="str">
            <v>Scope 3Freighting goodsVansClass I (up to 1.305 tonnes)LPGmiles</v>
          </cell>
          <cell r="K2186" t="str">
            <v>Class I (up to 1.305 tonnes) miles</v>
          </cell>
        </row>
        <row r="2187">
          <cell r="J2187" t="str">
            <v>Scope 3Freighting goodsVansClass I (up to 1.305 tonnes)LPGtonne.km</v>
          </cell>
          <cell r="K2187" t="str">
            <v>Freighting goods Class I (up to 1.305 tonnes) LPG tonne.km</v>
          </cell>
        </row>
        <row r="2188">
          <cell r="J2188" t="str">
            <v>Scope 3Freighting goodsVansClass I (up to 1.305 tonnes)Unknownkm</v>
          </cell>
          <cell r="K2188" t="str">
            <v>Freighting goods Class I (up to 1.305 tonnes) Unknown km</v>
          </cell>
        </row>
        <row r="2189">
          <cell r="J2189" t="str">
            <v>Scope 3Freighting goodsVansClass I (up to 1.305 tonnes)Unknownmiles</v>
          </cell>
          <cell r="K2189" t="str">
            <v>Class I (up to 1.305 tonnes) miles</v>
          </cell>
        </row>
        <row r="2190">
          <cell r="J2190" t="str">
            <v>Scope 3Freighting goodsVansClass I (up to 1.305 tonnes)Unknowntonne.km</v>
          </cell>
          <cell r="K2190" t="str">
            <v>Freighting goods Class I (up to 1.305 tonnes) Unknown tonne.km</v>
          </cell>
        </row>
        <row r="2191">
          <cell r="J2191" t="str">
            <v>Scope 3Freighting goodsVansClass I (up to 1.305 tonnes)Plug-in Hybrid Electric Vehiclekm</v>
          </cell>
          <cell r="K2191" t="str">
            <v>Freighting goods Class I (up to 1.305 tonnes) Plug-in Hybrid Electric Vehicle km</v>
          </cell>
        </row>
        <row r="2192">
          <cell r="J2192" t="str">
            <v>Scope 3Freighting goodsVansClass I (up to 1.305 tonnes)Plug-in Hybrid Electric Vehiclemiles</v>
          </cell>
          <cell r="K2192" t="str">
            <v>Class I (up to 1.305 tonnes) miles</v>
          </cell>
        </row>
        <row r="2193">
          <cell r="J2193" t="str">
            <v>Scope 3Freighting goodsVansClass I (up to 1.305 tonnes)Plug-in Hybrid Electric Vehicletonne.km</v>
          </cell>
          <cell r="K2193" t="str">
            <v>Freighting goods Class I (up to 1.305 tonnes) Plug-in Hybrid Electric Vehicle tonne.km</v>
          </cell>
        </row>
        <row r="2194">
          <cell r="J2194" t="str">
            <v>Scope 3Freighting goodsVansClass I (up to 1.305 tonnes)Battery Electric Vehiclekm</v>
          </cell>
          <cell r="K2194" t="str">
            <v>Freighting goods Class I (up to 1.305 tonnes) Battery Electric Vehicle km</v>
          </cell>
          <cell r="L2194">
            <v>3.9549999999999995E-2</v>
          </cell>
        </row>
        <row r="2195">
          <cell r="J2195" t="str">
            <v>Scope 3Freighting goodsVansClass I (up to 1.305 tonnes)Battery Electric Vehiclemiles</v>
          </cell>
          <cell r="K2195" t="str">
            <v>Class I (up to 1.305 tonnes) miles</v>
          </cell>
          <cell r="L2195">
            <v>6.3659999999999994E-2</v>
          </cell>
        </row>
        <row r="2196">
          <cell r="J2196" t="str">
            <v>Scope 3Freighting goodsVansClass I (up to 1.305 tonnes)Battery Electric Vehicletonne.km</v>
          </cell>
          <cell r="K2196" t="str">
            <v>Freighting goods Class I (up to 1.305 tonnes) Battery Electric Vehicle tonne.km</v>
          </cell>
          <cell r="L2196">
            <v>0.18775999999999998</v>
          </cell>
        </row>
        <row r="2197">
          <cell r="J2197" t="str">
            <v>Scope 3Freighting goodsVansClass II (1.305 to 1.74 tonnes)Dieselkm</v>
          </cell>
          <cell r="K2197" t="str">
            <v>Freighting goods Class II (1.305 to 1.74 tonnes) Diesel km</v>
          </cell>
          <cell r="L2197">
            <v>0.18315000000000001</v>
          </cell>
        </row>
        <row r="2198">
          <cell r="J2198" t="str">
            <v>Scope 3Freighting goodsVansClass II (1.305 to 1.74 tonnes)Dieselmiles</v>
          </cell>
          <cell r="K2198" t="str">
            <v>Class II (1.305 to 1.74 tonnes) miles</v>
          </cell>
          <cell r="L2198">
            <v>0.29476000000000002</v>
          </cell>
        </row>
        <row r="2199">
          <cell r="J2199" t="str">
            <v>Scope 3Freighting goodsVansClass II (1.305 to 1.74 tonnes)Dieseltonne.km</v>
          </cell>
          <cell r="K2199" t="str">
            <v>Freighting goods Class II (1.305 to 1.74 tonnes) Diesel tonne.km</v>
          </cell>
          <cell r="L2199">
            <v>0.62919999999999998</v>
          </cell>
        </row>
        <row r="2200">
          <cell r="J2200" t="str">
            <v>Scope 3Freighting goodsVansClass II (1.305 to 1.74 tonnes)Petrolkm</v>
          </cell>
          <cell r="K2200" t="str">
            <v>Freighting goods Class II (1.305 to 1.74 tonnes) Petrol km</v>
          </cell>
          <cell r="L2200">
            <v>0.19821</v>
          </cell>
        </row>
        <row r="2201">
          <cell r="J2201" t="str">
            <v>Scope 3Freighting goodsVansClass II (1.305 to 1.74 tonnes)Petrolmiles</v>
          </cell>
          <cell r="K2201" t="str">
            <v>Class II (1.305 to 1.74 tonnes) miles</v>
          </cell>
          <cell r="L2201">
            <v>0.31897999999999999</v>
          </cell>
        </row>
        <row r="2202">
          <cell r="J2202" t="str">
            <v>Scope 3Freighting goodsVansClass II (1.305 to 1.74 tonnes)Petroltonne.km</v>
          </cell>
          <cell r="K2202" t="str">
            <v>Freighting goods Class II (1.305 to 1.74 tonnes) Petrol tonne.km</v>
          </cell>
          <cell r="L2202">
            <v>0.72057000000000004</v>
          </cell>
        </row>
        <row r="2203">
          <cell r="J2203" t="str">
            <v>Scope 3Freighting goodsVansClass II (1.305 to 1.74 tonnes)CNGkm</v>
          </cell>
          <cell r="K2203" t="str">
            <v>Freighting goods Class II (1.305 to 1.74 tonnes) CNG km</v>
          </cell>
        </row>
        <row r="2204">
          <cell r="J2204" t="str">
            <v>Scope 3Freighting goodsVansClass II (1.305 to 1.74 tonnes)CNGmiles</v>
          </cell>
          <cell r="K2204" t="str">
            <v>Class II (1.305 to 1.74 tonnes) miles</v>
          </cell>
        </row>
        <row r="2205">
          <cell r="J2205" t="str">
            <v>Scope 3Freighting goodsVansClass II (1.305 to 1.74 tonnes)CNGtonne.km</v>
          </cell>
          <cell r="K2205" t="str">
            <v>Freighting goods Class II (1.305 to 1.74 tonnes) CNG tonne.km</v>
          </cell>
        </row>
        <row r="2206">
          <cell r="J2206" t="str">
            <v>Scope 3Freighting goodsVansClass II (1.305 to 1.74 tonnes)LPGkm</v>
          </cell>
          <cell r="K2206" t="str">
            <v>Freighting goods Class II (1.305 to 1.74 tonnes) LPG km</v>
          </cell>
        </row>
        <row r="2207">
          <cell r="J2207" t="str">
            <v>Scope 3Freighting goodsVansClass II (1.305 to 1.74 tonnes)LPGmiles</v>
          </cell>
          <cell r="K2207" t="str">
            <v>Class II (1.305 to 1.74 tonnes) miles</v>
          </cell>
        </row>
        <row r="2208">
          <cell r="J2208" t="str">
            <v>Scope 3Freighting goodsVansClass II (1.305 to 1.74 tonnes)LPGtonne.km</v>
          </cell>
          <cell r="K2208" t="str">
            <v>Freighting goods Class II (1.305 to 1.74 tonnes) LPG tonne.km</v>
          </cell>
        </row>
        <row r="2209">
          <cell r="J2209" t="str">
            <v>Scope 3Freighting goodsVansClass II (1.305 to 1.74 tonnes)Unknownkm</v>
          </cell>
          <cell r="K2209" t="str">
            <v>Freighting goods Class II (1.305 to 1.74 tonnes) Unknown km</v>
          </cell>
        </row>
        <row r="2210">
          <cell r="J2210" t="str">
            <v>Scope 3Freighting goodsVansClass II (1.305 to 1.74 tonnes)Unknownmiles</v>
          </cell>
          <cell r="K2210" t="str">
            <v>Class II (1.305 to 1.74 tonnes) miles</v>
          </cell>
        </row>
        <row r="2211">
          <cell r="J2211" t="str">
            <v>Scope 3Freighting goodsVansClass II (1.305 to 1.74 tonnes)Unknowntonne.km</v>
          </cell>
          <cell r="K2211" t="str">
            <v>Freighting goods Class II (1.305 to 1.74 tonnes) Unknown tonne.km</v>
          </cell>
        </row>
        <row r="2212">
          <cell r="J2212" t="str">
            <v>Scope 3Freighting goodsVansClass II (1.305 to 1.74 tonnes)Plug-in Hybrid Electric Vehiclekm</v>
          </cell>
          <cell r="K2212" t="str">
            <v>Freighting goods Class II (1.305 to 1.74 tonnes) Plug-in Hybrid Electric Vehicle km</v>
          </cell>
        </row>
        <row r="2213">
          <cell r="J2213" t="str">
            <v>Scope 3Freighting goodsVansClass II (1.305 to 1.74 tonnes)Plug-in Hybrid Electric Vehiclemiles</v>
          </cell>
          <cell r="K2213" t="str">
            <v>Class II (1.305 to 1.74 tonnes) miles</v>
          </cell>
        </row>
        <row r="2214">
          <cell r="J2214" t="str">
            <v>Scope 3Freighting goodsVansClass II (1.305 to 1.74 tonnes)Plug-in Hybrid Electric Vehicletonne.km</v>
          </cell>
          <cell r="K2214" t="str">
            <v>Freighting goods Class II (1.305 to 1.74 tonnes) Plug-in Hybrid Electric Vehicle tonne.km</v>
          </cell>
        </row>
        <row r="2215">
          <cell r="J2215" t="str">
            <v>Scope 3Freighting goodsVansClass II (1.305 to 1.74 tonnes)Battery Electric Vehiclekm</v>
          </cell>
          <cell r="K2215" t="str">
            <v>Freighting goods Class II (1.305 to 1.74 tonnes) Battery Electric Vehicle km</v>
          </cell>
          <cell r="L2215">
            <v>5.459E-2</v>
          </cell>
        </row>
        <row r="2216">
          <cell r="J2216" t="str">
            <v>Scope 3Freighting goodsVansClass II (1.305 to 1.74 tonnes)Battery Electric Vehiclemiles</v>
          </cell>
          <cell r="K2216" t="str">
            <v>Class II (1.305 to 1.74 tonnes) miles</v>
          </cell>
          <cell r="L2216">
            <v>8.7870000000000004E-2</v>
          </cell>
        </row>
        <row r="2217">
          <cell r="J2217" t="str">
            <v>Scope 3Freighting goodsVansClass II (1.305 to 1.74 tonnes)Battery Electric Vehicletonne.km</v>
          </cell>
          <cell r="K2217" t="str">
            <v>Freighting goods Class II (1.305 to 1.74 tonnes) Battery Electric Vehicle tonne.km</v>
          </cell>
          <cell r="L2217">
            <v>0.24576000000000001</v>
          </cell>
        </row>
        <row r="2218">
          <cell r="J2218" t="str">
            <v>Scope 3Freighting goodsVansClass III (1.74 to 3.5 tonnes)Dieselkm</v>
          </cell>
          <cell r="K2218" t="str">
            <v>Freighting goods Class III (1.74 to 3.5 tonnes) Diesel km</v>
          </cell>
          <cell r="L2218">
            <v>0.26529000000000003</v>
          </cell>
        </row>
        <row r="2219">
          <cell r="J2219" t="str">
            <v>Scope 3Freighting goodsVansClass III (1.74 to 3.5 tonnes)Dieselmiles</v>
          </cell>
          <cell r="K2219" t="str">
            <v>Class III (1.74 to 3.5 tonnes) miles</v>
          </cell>
          <cell r="L2219">
            <v>0.42695</v>
          </cell>
        </row>
        <row r="2220">
          <cell r="J2220" t="str">
            <v>Scope 3Freighting goodsVansClass III (1.74 to 3.5 tonnes)Dieseltonne.km</v>
          </cell>
          <cell r="K2220" t="str">
            <v>Freighting goods Class III (1.74 to 3.5 tonnes) Diesel tonne.km</v>
          </cell>
          <cell r="L2220">
            <v>0.59231999999999996</v>
          </cell>
        </row>
        <row r="2221">
          <cell r="J2221" t="str">
            <v>Scope 3Freighting goodsVansClass III (1.74 to 3.5 tonnes)Petrolkm</v>
          </cell>
          <cell r="K2221" t="str">
            <v>Freighting goods Class III (1.74 to 3.5 tonnes) Petrol km</v>
          </cell>
          <cell r="L2221">
            <v>0.31306</v>
          </cell>
        </row>
        <row r="2222">
          <cell r="J2222" t="str">
            <v>Scope 3Freighting goodsVansClass III (1.74 to 3.5 tonnes)Petrolmiles</v>
          </cell>
          <cell r="K2222" t="str">
            <v>Class III (1.74 to 3.5 tonnes) miles</v>
          </cell>
          <cell r="L2222">
            <v>0.50383</v>
          </cell>
        </row>
        <row r="2223">
          <cell r="J2223" t="str">
            <v>Scope 3Freighting goodsVansClass III (1.74 to 3.5 tonnes)Petroltonne.km</v>
          </cell>
          <cell r="K2223" t="str">
            <v>Freighting goods Class III (1.74 to 3.5 tonnes) Petrol tonne.km</v>
          </cell>
          <cell r="L2223">
            <v>0.77568999999999999</v>
          </cell>
        </row>
        <row r="2224">
          <cell r="J2224" t="str">
            <v>Scope 3Freighting goodsVansClass III (1.74 to 3.5 tonnes)CNGkm</v>
          </cell>
          <cell r="K2224" t="str">
            <v>Freighting goods Class III (1.74 to 3.5 tonnes) CNG km</v>
          </cell>
        </row>
        <row r="2225">
          <cell r="J2225" t="str">
            <v>Scope 3Freighting goodsVansClass III (1.74 to 3.5 tonnes)CNGmiles</v>
          </cell>
          <cell r="K2225" t="str">
            <v>Class III (1.74 to 3.5 tonnes) miles</v>
          </cell>
        </row>
        <row r="2226">
          <cell r="J2226" t="str">
            <v>Scope 3Freighting goodsVansClass III (1.74 to 3.5 tonnes)CNGtonne.km</v>
          </cell>
          <cell r="K2226" t="str">
            <v>Freighting goods Class III (1.74 to 3.5 tonnes) CNG tonne.km</v>
          </cell>
        </row>
        <row r="2227">
          <cell r="J2227" t="str">
            <v>Scope 3Freighting goodsVansClass III (1.74 to 3.5 tonnes)LPGkm</v>
          </cell>
          <cell r="K2227" t="str">
            <v>Freighting goods Class III (1.74 to 3.5 tonnes) LPG km</v>
          </cell>
        </row>
        <row r="2228">
          <cell r="J2228" t="str">
            <v>Scope 3Freighting goodsVansClass III (1.74 to 3.5 tonnes)LPGmiles</v>
          </cell>
          <cell r="K2228" t="str">
            <v>Class III (1.74 to 3.5 tonnes) miles</v>
          </cell>
        </row>
        <row r="2229">
          <cell r="J2229" t="str">
            <v>Scope 3Freighting goodsVansClass III (1.74 to 3.5 tonnes)LPGtonne.km</v>
          </cell>
          <cell r="K2229" t="str">
            <v>Freighting goods Class III (1.74 to 3.5 tonnes) LPG tonne.km</v>
          </cell>
        </row>
        <row r="2230">
          <cell r="J2230" t="str">
            <v>Scope 3Freighting goodsVansClass III (1.74 to 3.5 tonnes)Unknownkm</v>
          </cell>
          <cell r="K2230" t="str">
            <v>Freighting goods Class III (1.74 to 3.5 tonnes) Unknown km</v>
          </cell>
        </row>
        <row r="2231">
          <cell r="J2231" t="str">
            <v>Scope 3Freighting goodsVansClass III (1.74 to 3.5 tonnes)Unknownmiles</v>
          </cell>
          <cell r="K2231" t="str">
            <v>Class III (1.74 to 3.5 tonnes) miles</v>
          </cell>
        </row>
        <row r="2232">
          <cell r="J2232" t="str">
            <v>Scope 3Freighting goodsVansClass III (1.74 to 3.5 tonnes)Unknowntonne.km</v>
          </cell>
          <cell r="K2232" t="str">
            <v>Freighting goods Class III (1.74 to 3.5 tonnes) Unknown tonne.km</v>
          </cell>
        </row>
        <row r="2233">
          <cell r="J2233" t="str">
            <v>Scope 3Freighting goodsVansClass III (1.74 to 3.5 tonnes)Plug-in Hybrid Electric Vehiclekm</v>
          </cell>
          <cell r="K2233" t="str">
            <v>Freighting goods Class III (1.74 to 3.5 tonnes) Plug-in Hybrid Electric Vehicle km</v>
          </cell>
        </row>
        <row r="2234">
          <cell r="J2234" t="str">
            <v>Scope 3Freighting goodsVansClass III (1.74 to 3.5 tonnes)Plug-in Hybrid Electric Vehiclemiles</v>
          </cell>
          <cell r="K2234" t="str">
            <v>Class III (1.74 to 3.5 tonnes) miles</v>
          </cell>
        </row>
        <row r="2235">
          <cell r="J2235" t="str">
            <v>Scope 3Freighting goodsVansClass III (1.74 to 3.5 tonnes)Plug-in Hybrid Electric Vehicletonne.km</v>
          </cell>
          <cell r="K2235" t="str">
            <v>Freighting goods Class III (1.74 to 3.5 tonnes) Plug-in Hybrid Electric Vehicle tonne.km</v>
          </cell>
        </row>
        <row r="2236">
          <cell r="J2236" t="str">
            <v>Scope 3Freighting goodsVansClass III (1.74 to 3.5 tonnes)Battery Electric Vehiclekm</v>
          </cell>
          <cell r="K2236" t="str">
            <v>Freighting goods Class III (1.74 to 3.5 tonnes) Battery Electric Vehicle km</v>
          </cell>
          <cell r="L2236">
            <v>7.6600000000000001E-2</v>
          </cell>
        </row>
        <row r="2237">
          <cell r="J2237" t="str">
            <v>Scope 3Freighting goodsVansClass III (1.74 to 3.5 tonnes)Battery Electric Vehiclemiles</v>
          </cell>
          <cell r="K2237" t="str">
            <v>Class III (1.74 to 3.5 tonnes) miles</v>
          </cell>
          <cell r="L2237">
            <v>0.12327</v>
          </cell>
        </row>
        <row r="2238">
          <cell r="J2238" t="str">
            <v>Scope 3Freighting goodsVansClass III (1.74 to 3.5 tonnes)Battery Electric Vehicletonne.km</v>
          </cell>
          <cell r="K2238" t="str">
            <v>Freighting goods Class III (1.74 to 3.5 tonnes) Battery Electric Vehicle tonne.km</v>
          </cell>
          <cell r="L2238">
            <v>0.22935</v>
          </cell>
        </row>
        <row r="2239">
          <cell r="J2239" t="str">
            <v>Scope 3Freighting goodsVansAverage (up to 3.5 tonnes)Dieselkm</v>
          </cell>
          <cell r="K2239" t="str">
            <v>Freighting goods Average (up to 3.5 tonnes) Diesel km</v>
          </cell>
          <cell r="L2239">
            <v>0.24116000000000001</v>
          </cell>
        </row>
        <row r="2240">
          <cell r="J2240" t="str">
            <v>Scope 3Freighting goodsVansAverage (up to 3.5 tonnes)Dieselmiles</v>
          </cell>
          <cell r="K2240" t="str">
            <v>Average (up to 3.5 tonnes) miles</v>
          </cell>
          <cell r="L2240">
            <v>0.38811000000000001</v>
          </cell>
        </row>
        <row r="2241">
          <cell r="J2241" t="str">
            <v>Scope 3Freighting goodsVansAverage (up to 3.5 tonnes)Dieseltonne.km</v>
          </cell>
          <cell r="K2241" t="str">
            <v>Freighting goods Average (up to 3.5 tonnes) Diesel tonne.km</v>
          </cell>
          <cell r="L2241">
            <v>0.60260999999999998</v>
          </cell>
        </row>
        <row r="2242">
          <cell r="J2242" t="str">
            <v>Scope 3Freighting goodsVansAverage (up to 3.5 tonnes)Petrolkm</v>
          </cell>
          <cell r="K2242" t="str">
            <v>Freighting goods Average (up to 3.5 tonnes) Petrol km</v>
          </cell>
          <cell r="L2242">
            <v>0.21046999999999999</v>
          </cell>
        </row>
        <row r="2243">
          <cell r="J2243" t="str">
            <v>Scope 3Freighting goodsVansAverage (up to 3.5 tonnes)Petrolmiles</v>
          </cell>
          <cell r="K2243" t="str">
            <v>Average (up to 3.5 tonnes) miles</v>
          </cell>
          <cell r="L2243">
            <v>0.33872999999999998</v>
          </cell>
        </row>
        <row r="2244">
          <cell r="J2244" t="str">
            <v>Scope 3Freighting goodsVansAverage (up to 3.5 tonnes)Petroltonne.km</v>
          </cell>
          <cell r="K2244" t="str">
            <v>Freighting goods Average (up to 3.5 tonnes) Petrol tonne.km</v>
          </cell>
          <cell r="L2244">
            <v>0.71914999999999996</v>
          </cell>
        </row>
        <row r="2245">
          <cell r="J2245" t="str">
            <v>Scope 3Freighting goodsVansAverage (up to 3.5 tonnes)CNGkm</v>
          </cell>
          <cell r="K2245" t="str">
            <v>Freighting goods Average (up to 3.5 tonnes) CNG km</v>
          </cell>
          <cell r="L2245">
            <v>0.24548</v>
          </cell>
        </row>
        <row r="2246">
          <cell r="J2246" t="str">
            <v>Scope 3Freighting goodsVansAverage (up to 3.5 tonnes)CNGmiles</v>
          </cell>
          <cell r="K2246" t="str">
            <v>Average (up to 3.5 tonnes) miles</v>
          </cell>
          <cell r="L2246">
            <v>0.39506000000000002</v>
          </cell>
        </row>
        <row r="2247">
          <cell r="J2247" t="str">
            <v>Scope 3Freighting goodsVansAverage (up to 3.5 tonnes)CNGtonne.km</v>
          </cell>
          <cell r="K2247" t="str">
            <v>Freighting goods Average (up to 3.5 tonnes) CNG tonne.km</v>
          </cell>
          <cell r="L2247">
            <v>0.61514999999999997</v>
          </cell>
        </row>
        <row r="2248">
          <cell r="J2248" t="str">
            <v>Scope 3Freighting goodsVansAverage (up to 3.5 tonnes)LPGkm</v>
          </cell>
          <cell r="K2248" t="str">
            <v>Freighting goods Average (up to 3.5 tonnes) LPG km</v>
          </cell>
          <cell r="L2248">
            <v>0.27</v>
          </cell>
        </row>
        <row r="2249">
          <cell r="J2249" t="str">
            <v>Scope 3Freighting goodsVansAverage (up to 3.5 tonnes)LPGmiles</v>
          </cell>
          <cell r="K2249" t="str">
            <v>Average (up to 3.5 tonnes) miles</v>
          </cell>
          <cell r="L2249">
            <v>0.43452000000000002</v>
          </cell>
        </row>
        <row r="2250">
          <cell r="J2250" t="str">
            <v>Scope 3Freighting goodsVansAverage (up to 3.5 tonnes)LPGtonne.km</v>
          </cell>
          <cell r="K2250" t="str">
            <v>Freighting goods Average (up to 3.5 tonnes) LPG tonne.km</v>
          </cell>
          <cell r="L2250">
            <v>0.67659000000000002</v>
          </cell>
        </row>
        <row r="2251">
          <cell r="J2251" t="str">
            <v>Scope 3Freighting goodsVansAverage (up to 3.5 tonnes)Unknownkm</v>
          </cell>
          <cell r="K2251" t="str">
            <v>Freighting goods Average (up to 3.5 tonnes) Unknown km</v>
          </cell>
          <cell r="L2251">
            <v>0.24016999999999999</v>
          </cell>
        </row>
        <row r="2252">
          <cell r="J2252" t="str">
            <v>Scope 3Freighting goodsVansAverage (up to 3.5 tonnes)Unknownmiles</v>
          </cell>
          <cell r="K2252" t="str">
            <v>Average (up to 3.5 tonnes) miles</v>
          </cell>
          <cell r="L2252">
            <v>0.38651999999999997</v>
          </cell>
        </row>
        <row r="2253">
          <cell r="J2253" t="str">
            <v>Scope 3Freighting goodsVansAverage (up to 3.5 tonnes)Unknowntonne.km</v>
          </cell>
          <cell r="K2253" t="str">
            <v>Freighting goods Average (up to 3.5 tonnes) Unknown tonne.km</v>
          </cell>
          <cell r="L2253">
            <v>0.60634999999999994</v>
          </cell>
        </row>
        <row r="2254">
          <cell r="J2254" t="str">
            <v>Scope 3Freighting goodsVansAverage (up to 3.5 tonnes)Plug-in Hybrid Electric Vehiclekm</v>
          </cell>
          <cell r="K2254" t="str">
            <v>Freighting goods Average (up to 3.5 tonnes) Plug-in Hybrid Electric Vehicle km</v>
          </cell>
        </row>
        <row r="2255">
          <cell r="J2255" t="str">
            <v>Scope 3Freighting goodsVansAverage (up to 3.5 tonnes)Plug-in Hybrid Electric Vehiclemiles</v>
          </cell>
          <cell r="K2255" t="str">
            <v>Average (up to 3.5 tonnes) miles</v>
          </cell>
        </row>
        <row r="2256">
          <cell r="J2256" t="str">
            <v>Scope 3Freighting goodsVansAverage (up to 3.5 tonnes)Plug-in Hybrid Electric Vehicletonne.km</v>
          </cell>
          <cell r="K2256" t="str">
            <v>Freighting goods Average (up to 3.5 tonnes) Plug-in Hybrid Electric Vehicle tonne.km</v>
          </cell>
        </row>
        <row r="2257">
          <cell r="J2257" t="str">
            <v>Scope 3Freighting goodsVansAverage (up to 3.5 tonnes)Battery Electric Vehiclekm</v>
          </cell>
          <cell r="K2257" t="str">
            <v>Freighting goods Average (up to 3.5 tonnes) Battery Electric Vehicle km</v>
          </cell>
          <cell r="L2257">
            <v>5.4630000000000005E-2</v>
          </cell>
        </row>
        <row r="2258">
          <cell r="J2258" t="str">
            <v>Scope 3Freighting goodsVansAverage (up to 3.5 tonnes)Battery Electric Vehiclemiles</v>
          </cell>
          <cell r="K2258" t="str">
            <v>Average (up to 3.5 tonnes) miles</v>
          </cell>
          <cell r="L2258">
            <v>8.7940000000000004E-2</v>
          </cell>
        </row>
        <row r="2259">
          <cell r="J2259" t="str">
            <v>Scope 3Freighting goodsVansAverage (up to 3.5 tonnes)Battery Electric Vehicletonne.km</v>
          </cell>
          <cell r="K2259" t="str">
            <v>Freighting goods Average (up to 3.5 tonnes) Battery Electric Vehicle tonne.km</v>
          </cell>
          <cell r="L2259">
            <v>0.24546999999999999</v>
          </cell>
        </row>
        <row r="2260">
          <cell r="J2260" t="str">
            <v>Scope 3Freighting goodsHGV (all diesel)Rigid (&gt;3.5 - 7.5 tonnes)0% Ladenkm</v>
          </cell>
          <cell r="K2260" t="str">
            <v>Freighting goods Rigid (&gt;3.5 - 7.5 tonnes) 0% Laden km</v>
          </cell>
          <cell r="L2260">
            <v>0.44542999999999999</v>
          </cell>
        </row>
        <row r="2261">
          <cell r="J2261" t="str">
            <v>Scope 3Freighting goodsHGV (all diesel)Rigid (&gt;3.5 - 7.5 tonnes)0% Ladenmiles</v>
          </cell>
          <cell r="K2261" t="str">
            <v>Rigid (&gt;3.5 - 7.5 tonnes) miles HGV (all diesel)</v>
          </cell>
          <cell r="L2261">
            <v>0.71686000000000005</v>
          </cell>
        </row>
        <row r="2262">
          <cell r="J2262" t="str">
            <v>Scope 3Freighting goodsHGV (all diesel)Rigid (&gt;3.5 - 7.5 tonnes)0% Ladentonne.km</v>
          </cell>
          <cell r="K2262" t="str">
            <v>Freighting goods Rigid (&gt;3.5 - 7.5 tonnes) 0% Laden tonne.km</v>
          </cell>
        </row>
        <row r="2263">
          <cell r="J2263" t="str">
            <v>Scope 3Freighting goodsHGV (all diesel)Rigid (&gt;3.5 - 7.5 tonnes)50% Ladenkm</v>
          </cell>
          <cell r="K2263" t="str">
            <v>Freighting goods Rigid (&gt;3.5 - 7.5 tonnes) 50% Laden km</v>
          </cell>
          <cell r="L2263">
            <v>0.48364000000000001</v>
          </cell>
        </row>
        <row r="2264">
          <cell r="J2264" t="str">
            <v>Scope 3Freighting goodsHGV (all diesel)Rigid (&gt;3.5 - 7.5 tonnes)50% Ladenmiles</v>
          </cell>
          <cell r="K2264" t="str">
            <v>Rigid (&gt;3.5 - 7.5 tonnes) miles HGV (all diesel)</v>
          </cell>
          <cell r="L2264">
            <v>0.77834000000000003</v>
          </cell>
        </row>
        <row r="2265">
          <cell r="J2265" t="str">
            <v>Scope 3Freighting goodsHGV (all diesel)Rigid (&gt;3.5 - 7.5 tonnes)50% Ladentonne.km</v>
          </cell>
          <cell r="K2265" t="str">
            <v>Freighting goods Rigid (&gt;3.5 - 7.5 tonnes) 50% Laden tonne.km</v>
          </cell>
          <cell r="L2265">
            <v>0.45065</v>
          </cell>
        </row>
        <row r="2266">
          <cell r="J2266" t="str">
            <v>Scope 3Freighting goodsHGV (all diesel)Rigid (&gt;3.5 - 7.5 tonnes)100% Ladenkm</v>
          </cell>
          <cell r="K2266" t="str">
            <v>Freighting goods Rigid (&gt;3.5 - 7.5 tonnes) 100% Laden km</v>
          </cell>
          <cell r="L2266">
            <v>0.52183999999999997</v>
          </cell>
        </row>
        <row r="2267">
          <cell r="J2267" t="str">
            <v>Scope 3Freighting goodsHGV (all diesel)Rigid (&gt;3.5 - 7.5 tonnes)100% Ladenmiles</v>
          </cell>
          <cell r="K2267" t="str">
            <v>Rigid (&gt;3.5 - 7.5 tonnes) miles HGV (all diesel)</v>
          </cell>
          <cell r="L2267">
            <v>0.83982999999999997</v>
          </cell>
        </row>
        <row r="2268">
          <cell r="J2268" t="str">
            <v>Scope 3Freighting goodsHGV (all diesel)Rigid (&gt;3.5 - 7.5 tonnes)100% Ladentonne.km</v>
          </cell>
          <cell r="K2268" t="str">
            <v>Freighting goods Rigid (&gt;3.5 - 7.5 tonnes) 100% Laden tonne.km</v>
          </cell>
          <cell r="L2268">
            <v>0.24312</v>
          </cell>
        </row>
        <row r="2269">
          <cell r="J2269" t="str">
            <v>Scope 3Freighting goodsHGV (all diesel)Rigid (&gt;3.5 - 7.5 tonnes)Average ladenkm</v>
          </cell>
          <cell r="K2269" t="str">
            <v>Freighting goods Rigid (&gt;3.5 - 7.5 tonnes) Average laden km</v>
          </cell>
          <cell r="L2269">
            <v>0.48058000000000001</v>
          </cell>
        </row>
        <row r="2270">
          <cell r="J2270" t="str">
            <v>Scope 3Freighting goodsHGV (all diesel)Rigid (&gt;3.5 - 7.5 tonnes)Average ladenmiles</v>
          </cell>
          <cell r="K2270" t="str">
            <v>Rigid (&gt;3.5 - 7.5 tonnes) miles HGV (all diesel)</v>
          </cell>
          <cell r="L2270">
            <v>0.77342</v>
          </cell>
        </row>
        <row r="2271">
          <cell r="J2271" t="str">
            <v>Scope 3Freighting goodsHGV (all diesel)Rigid (&gt;3.5 - 7.5 tonnes)Average ladentonne.km</v>
          </cell>
          <cell r="K2271" t="str">
            <v>Freighting goods Rigid (&gt;3.5 - 7.5 tonnes) Average laden tonne.km</v>
          </cell>
          <cell r="L2271">
            <v>0.48674000000000001</v>
          </cell>
        </row>
        <row r="2272">
          <cell r="J2272" t="str">
            <v>Scope 3Freighting goodsHGV (all diesel)Rigid (&gt;7.5 tonnes-17 tonnes)0% Ladenkm</v>
          </cell>
          <cell r="K2272" t="str">
            <v>Freighting goods Rigid (&gt;7.5 tonnes-17 tonnes) 0% Laden km</v>
          </cell>
          <cell r="L2272">
            <v>0.53561000000000003</v>
          </cell>
        </row>
        <row r="2273">
          <cell r="J2273" t="str">
            <v>Scope 3Freighting goodsHGV (all diesel)Rigid (&gt;7.5 tonnes-17 tonnes)0% Ladenmiles</v>
          </cell>
          <cell r="K2273" t="str">
            <v>Rigid (&gt;7.5 tonnes-17 tonnes) miles HGV (all diesel)</v>
          </cell>
          <cell r="L2273">
            <v>0.86197999999999997</v>
          </cell>
        </row>
        <row r="2274">
          <cell r="J2274" t="str">
            <v>Scope 3Freighting goodsHGV (all diesel)Rigid (&gt;7.5 tonnes-17 tonnes)0% Ladentonne.km</v>
          </cell>
          <cell r="K2274" t="str">
            <v>Freighting goods Rigid (&gt;7.5 tonnes-17 tonnes) 0% Laden tonne.km</v>
          </cell>
        </row>
        <row r="2275">
          <cell r="J2275" t="str">
            <v>Scope 3Freighting goodsHGV (all diesel)Rigid (&gt;7.5 tonnes-17 tonnes)50% Ladenkm</v>
          </cell>
          <cell r="K2275" t="str">
            <v>Freighting goods Rigid (&gt;7.5 tonnes-17 tonnes) 50% Laden km</v>
          </cell>
          <cell r="L2275">
            <v>0.61107</v>
          </cell>
        </row>
        <row r="2276">
          <cell r="J2276" t="str">
            <v>Scope 3Freighting goodsHGV (all diesel)Rigid (&gt;7.5 tonnes-17 tonnes)50% Ladenmiles</v>
          </cell>
          <cell r="K2276" t="str">
            <v>Rigid (&gt;7.5 tonnes-17 tonnes) miles HGV (all diesel)</v>
          </cell>
          <cell r="L2276">
            <v>0.98341999999999996</v>
          </cell>
        </row>
        <row r="2277">
          <cell r="J2277" t="str">
            <v>Scope 3Freighting goodsHGV (all diesel)Rigid (&gt;7.5 tonnes-17 tonnes)50% Ladentonne.km</v>
          </cell>
          <cell r="K2277" t="str">
            <v>Freighting goods Rigid (&gt;7.5 tonnes-17 tonnes) 50% Laden tonne.km</v>
          </cell>
          <cell r="L2277">
            <v>0.24071999999999999</v>
          </cell>
        </row>
        <row r="2278">
          <cell r="J2278" t="str">
            <v>Scope 3Freighting goodsHGV (all diesel)Rigid (&gt;7.5 tonnes-17 tonnes)100% Ladenkm</v>
          </cell>
          <cell r="K2278" t="str">
            <v>Freighting goods Rigid (&gt;7.5 tonnes-17 tonnes) 100% Laden km</v>
          </cell>
          <cell r="L2278">
            <v>0.68652999999999997</v>
          </cell>
        </row>
        <row r="2279">
          <cell r="J2279" t="str">
            <v>Scope 3Freighting goodsHGV (all diesel)Rigid (&gt;7.5 tonnes-17 tonnes)100% Ladenmiles</v>
          </cell>
          <cell r="K2279" t="str">
            <v>Rigid (&gt;7.5 tonnes-17 tonnes) miles HGV (all diesel)</v>
          </cell>
          <cell r="L2279">
            <v>1.10486</v>
          </cell>
        </row>
        <row r="2280">
          <cell r="J2280" t="str">
            <v>Scope 3Freighting goodsHGV (all diesel)Rigid (&gt;7.5 tonnes-17 tonnes)100% Ladentonne.km</v>
          </cell>
          <cell r="K2280" t="str">
            <v>Freighting goods Rigid (&gt;7.5 tonnes-17 tonnes) 100% Laden tonne.km</v>
          </cell>
          <cell r="L2280">
            <v>0.13522000000000001</v>
          </cell>
        </row>
        <row r="2281">
          <cell r="J2281" t="str">
            <v>Scope 3Freighting goodsHGV (all diesel)Rigid (&gt;7.5 tonnes-17 tonnes)Average ladenkm</v>
          </cell>
          <cell r="K2281" t="str">
            <v>Freighting goods Rigid (&gt;7.5 tonnes-17 tonnes) Average laden km</v>
          </cell>
          <cell r="L2281">
            <v>0.58692</v>
          </cell>
        </row>
        <row r="2282">
          <cell r="J2282" t="str">
            <v>Scope 3Freighting goodsHGV (all diesel)Rigid (&gt;7.5 tonnes-17 tonnes)Average ladenmiles</v>
          </cell>
          <cell r="K2282" t="str">
            <v>Rigid (&gt;7.5 tonnes-17 tonnes) miles HGV (all diesel)</v>
          </cell>
          <cell r="L2282">
            <v>0.94455999999999996</v>
          </cell>
        </row>
        <row r="2283">
          <cell r="J2283" t="str">
            <v>Scope 3Freighting goodsHGV (all diesel)Rigid (&gt;7.5 tonnes-17 tonnes)Average ladentonne.km</v>
          </cell>
          <cell r="K2283" t="str">
            <v>Freighting goods Rigid (&gt;7.5 tonnes-17 tonnes) Average laden tonne.km</v>
          </cell>
          <cell r="L2283">
            <v>0.34001999999999999</v>
          </cell>
        </row>
        <row r="2284">
          <cell r="J2284" t="str">
            <v>Scope 3Freighting goodsHGV (all diesel)Rigid (&gt;17 tonnes)0% Ladenkm</v>
          </cell>
          <cell r="K2284" t="str">
            <v>Freighting goods Rigid (&gt;17 tonnes) 0% Laden km</v>
          </cell>
          <cell r="L2284">
            <v>0.76629000000000003</v>
          </cell>
        </row>
        <row r="2285">
          <cell r="J2285" t="str">
            <v>Scope 3Freighting goodsHGV (all diesel)Rigid (&gt;17 tonnes)0% Ladenmiles</v>
          </cell>
          <cell r="K2285" t="str">
            <v>Rigid (&gt;17 tonnes) miles HGV (all diesel)</v>
          </cell>
          <cell r="L2285">
            <v>1.23323</v>
          </cell>
        </row>
        <row r="2286">
          <cell r="J2286" t="str">
            <v>Scope 3Freighting goodsHGV (all diesel)Rigid (&gt;17 tonnes)0% Ladentonne.km</v>
          </cell>
          <cell r="K2286" t="str">
            <v>Freighting goods Rigid (&gt;17 tonnes) 0% Laden tonne.km</v>
          </cell>
        </row>
        <row r="2287">
          <cell r="J2287" t="str">
            <v>Scope 3Freighting goodsHGV (all diesel)Rigid (&gt;17 tonnes)50% Ladenkm</v>
          </cell>
          <cell r="K2287" t="str">
            <v>Freighting goods Rigid (&gt;17 tonnes) 50% Laden km</v>
          </cell>
          <cell r="L2287">
            <v>0.93184</v>
          </cell>
        </row>
        <row r="2288">
          <cell r="J2288" t="str">
            <v>Scope 3Freighting goodsHGV (all diesel)Rigid (&gt;17 tonnes)50% Ladenmiles</v>
          </cell>
          <cell r="K2288" t="str">
            <v>Rigid (&gt;17 tonnes) miles HGV (all diesel)</v>
          </cell>
          <cell r="L2288">
            <v>1.49966</v>
          </cell>
        </row>
        <row r="2289">
          <cell r="J2289" t="str">
            <v>Scope 3Freighting goodsHGV (all diesel)Rigid (&gt;17 tonnes)50% Ladentonne.km</v>
          </cell>
          <cell r="K2289" t="str">
            <v>Freighting goods Rigid (&gt;17 tonnes) 50% Laden tonne.km</v>
          </cell>
          <cell r="L2289">
            <v>0.20394000000000001</v>
          </cell>
        </row>
        <row r="2290">
          <cell r="J2290" t="str">
            <v>Scope 3Freighting goodsHGV (all diesel)Rigid (&gt;17 tonnes)100% Ladenkm</v>
          </cell>
          <cell r="K2290" t="str">
            <v>Freighting goods Rigid (&gt;17 tonnes) 100% Laden km</v>
          </cell>
          <cell r="L2290">
            <v>1.0973999999999999</v>
          </cell>
        </row>
        <row r="2291">
          <cell r="J2291" t="str">
            <v>Scope 3Freighting goodsHGV (all diesel)Rigid (&gt;17 tonnes)100% Ladenmiles</v>
          </cell>
          <cell r="K2291" t="str">
            <v>Rigid (&gt;17 tonnes) miles HGV (all diesel)</v>
          </cell>
          <cell r="L2291">
            <v>1.7660899999999999</v>
          </cell>
        </row>
        <row r="2292">
          <cell r="J2292" t="str">
            <v>Scope 3Freighting goodsHGV (all diesel)Rigid (&gt;17 tonnes)100% Ladentonne.km</v>
          </cell>
          <cell r="K2292" t="str">
            <v>Freighting goods Rigid (&gt;17 tonnes) 100% Laden tonne.km</v>
          </cell>
          <cell r="L2292">
            <v>0.12009</v>
          </cell>
        </row>
        <row r="2293">
          <cell r="J2293" t="str">
            <v>Scope 3Freighting goodsHGV (all diesel)Rigid (&gt;17 tonnes)Average ladenkm</v>
          </cell>
          <cell r="K2293" t="str">
            <v>Freighting goods Rigid (&gt;17 tonnes) Average laden km</v>
          </cell>
          <cell r="L2293">
            <v>0.95752000000000004</v>
          </cell>
        </row>
        <row r="2294">
          <cell r="J2294" t="str">
            <v>Scope 3Freighting goodsHGV (all diesel)Rigid (&gt;17 tonnes)Average ladenmiles</v>
          </cell>
          <cell r="K2294" t="str">
            <v>Rigid (&gt;17 tonnes) miles HGV (all diesel)</v>
          </cell>
          <cell r="L2294">
            <v>1.54098</v>
          </cell>
        </row>
        <row r="2295">
          <cell r="J2295" t="str">
            <v>Scope 3Freighting goodsHGV (all diesel)Rigid (&gt;17 tonnes)Average ladentonne.km</v>
          </cell>
          <cell r="K2295" t="str">
            <v>Freighting goods Rigid (&gt;17 tonnes) Average laden tonne.km</v>
          </cell>
          <cell r="L2295">
            <v>0.18142</v>
          </cell>
        </row>
        <row r="2296">
          <cell r="J2296" t="str">
            <v>Scope 3Freighting goodsHGV (all diesel)All rigids0% Ladenkm</v>
          </cell>
          <cell r="K2296" t="str">
            <v>Freighting goods All rigids 0% Laden km</v>
          </cell>
          <cell r="L2296">
            <v>0.66440999999999995</v>
          </cell>
        </row>
        <row r="2297">
          <cell r="J2297" t="str">
            <v>Scope 3Freighting goodsHGV (all diesel)All rigids0% Ladenmiles</v>
          </cell>
          <cell r="K2297" t="str">
            <v>All rigids miles HGV (all diesel)</v>
          </cell>
          <cell r="L2297">
            <v>1.0692600000000001</v>
          </cell>
        </row>
        <row r="2298">
          <cell r="J2298" t="str">
            <v>Scope 3Freighting goodsHGV (all diesel)All rigids0% Ladentonne.km</v>
          </cell>
          <cell r="K2298" t="str">
            <v>Freighting goods All rigids 0% Laden tonne.km</v>
          </cell>
        </row>
        <row r="2299">
          <cell r="J2299" t="str">
            <v>Scope 3Freighting goodsHGV (all diesel)All rigids50% Ladenkm</v>
          </cell>
          <cell r="K2299" t="str">
            <v>Freighting goods All rigids 50% Laden km</v>
          </cell>
          <cell r="L2299">
            <v>0.78968000000000005</v>
          </cell>
        </row>
        <row r="2300">
          <cell r="J2300" t="str">
            <v>Scope 3Freighting goodsHGV (all diesel)All rigids50% Ladenmiles</v>
          </cell>
          <cell r="K2300" t="str">
            <v>All rigids miles HGV (all diesel)</v>
          </cell>
          <cell r="L2300">
            <v>1.2708699999999999</v>
          </cell>
        </row>
        <row r="2301">
          <cell r="J2301" t="str">
            <v>Scope 3Freighting goodsHGV (all diesel)All rigids50% Ladentonne.km</v>
          </cell>
          <cell r="K2301" t="str">
            <v>Freighting goods All rigids 50% Laden tonne.km</v>
          </cell>
          <cell r="L2301">
            <v>0.2208</v>
          </cell>
        </row>
        <row r="2302">
          <cell r="J2302" t="str">
            <v>Scope 3Freighting goodsHGV (all diesel)All rigids100% Ladenkm</v>
          </cell>
          <cell r="K2302" t="str">
            <v>Freighting goods All rigids 100% Laden km</v>
          </cell>
          <cell r="L2302">
            <v>0.91495000000000004</v>
          </cell>
        </row>
        <row r="2303">
          <cell r="J2303" t="str">
            <v>Scope 3Freighting goodsHGV (all diesel)All rigids100% Ladenmiles</v>
          </cell>
          <cell r="K2303" t="str">
            <v>All rigids miles HGV (all diesel)</v>
          </cell>
          <cell r="L2303">
            <v>1.47248</v>
          </cell>
        </row>
        <row r="2304">
          <cell r="J2304" t="str">
            <v>Scope 3Freighting goodsHGV (all diesel)All rigids100% Ladentonne.km</v>
          </cell>
          <cell r="K2304" t="str">
            <v>Freighting goods All rigids 100% Laden tonne.km</v>
          </cell>
          <cell r="L2304">
            <v>0.12834000000000001</v>
          </cell>
        </row>
        <row r="2305">
          <cell r="J2305" t="str">
            <v>Scope 3Freighting goodsHGV (all diesel)All rigidsAverage ladenkm</v>
          </cell>
          <cell r="K2305" t="str">
            <v>Freighting goods All rigids Average laden km</v>
          </cell>
          <cell r="L2305">
            <v>0.80305000000000004</v>
          </cell>
        </row>
        <row r="2306">
          <cell r="J2306" t="str">
            <v>Scope 3Freighting goodsHGV (all diesel)All rigidsAverage ladenmiles</v>
          </cell>
          <cell r="K2306" t="str">
            <v>All rigids miles HGV (all diesel)</v>
          </cell>
          <cell r="L2306">
            <v>1.2923899999999999</v>
          </cell>
        </row>
        <row r="2307">
          <cell r="J2307" t="str">
            <v>Scope 3Freighting goodsHGV (all diesel)All rigidsAverage ladentonne.km</v>
          </cell>
          <cell r="K2307" t="str">
            <v>Freighting goods All rigids Average laden tonne.km</v>
          </cell>
          <cell r="L2307">
            <v>0.20780000000000001</v>
          </cell>
        </row>
        <row r="2308">
          <cell r="J2308" t="str">
            <v>Scope 3Freighting goodsHGV (all diesel)Articulated (&gt;3.5 - 33t)0% Ladenkm</v>
          </cell>
          <cell r="K2308" t="str">
            <v>Freighting goods Articulated (&gt;3.5 - 33t) 0% Laden km</v>
          </cell>
          <cell r="L2308">
            <v>0.62341999999999997</v>
          </cell>
        </row>
        <row r="2309">
          <cell r="J2309" t="str">
            <v>Scope 3Freighting goodsHGV (all diesel)Articulated (&gt;3.5 - 33t)0% Ladenmiles</v>
          </cell>
          <cell r="K2309" t="str">
            <v>Articulated (&gt;3.5 - 33t) miles HGV (all diesel)</v>
          </cell>
          <cell r="L2309">
            <v>1.0033000000000001</v>
          </cell>
        </row>
        <row r="2310">
          <cell r="J2310" t="str">
            <v>Scope 3Freighting goodsHGV (all diesel)Articulated (&gt;3.5 - 33t)0% Ladentonne.km</v>
          </cell>
          <cell r="K2310" t="str">
            <v>Freighting goods Articulated (&gt;3.5 - 33t) 0% Laden tonne.km</v>
          </cell>
        </row>
        <row r="2311">
          <cell r="J2311" t="str">
            <v>Scope 3Freighting goodsHGV (all diesel)Articulated (&gt;3.5 - 33t)50% Ladenkm</v>
          </cell>
          <cell r="K2311" t="str">
            <v>Freighting goods Articulated (&gt;3.5 - 33t) 50% Laden km</v>
          </cell>
          <cell r="L2311">
            <v>0.77585000000000004</v>
          </cell>
        </row>
        <row r="2312">
          <cell r="J2312" t="str">
            <v>Scope 3Freighting goodsHGV (all diesel)Articulated (&gt;3.5 - 33t)50% Ladenmiles</v>
          </cell>
          <cell r="K2312" t="str">
            <v>Articulated (&gt;3.5 - 33t) miles HGV (all diesel)</v>
          </cell>
          <cell r="L2312">
            <v>1.2486200000000001</v>
          </cell>
        </row>
        <row r="2313">
          <cell r="J2313" t="str">
            <v>Scope 3Freighting goodsHGV (all diesel)Articulated (&gt;3.5 - 33t)50% Ladentonne.km</v>
          </cell>
          <cell r="K2313" t="str">
            <v>Freighting goods Articulated (&gt;3.5 - 33t) 50% Laden tonne.km</v>
          </cell>
          <cell r="L2313">
            <v>0.12217</v>
          </cell>
        </row>
        <row r="2314">
          <cell r="J2314" t="str">
            <v>Scope 3Freighting goodsHGV (all diesel)Articulated (&gt;3.5 - 33t)100% Ladenkm</v>
          </cell>
          <cell r="K2314" t="str">
            <v>Freighting goods Articulated (&gt;3.5 - 33t) 100% Laden km</v>
          </cell>
          <cell r="L2314">
            <v>0.92828999999999995</v>
          </cell>
        </row>
        <row r="2315">
          <cell r="J2315" t="str">
            <v>Scope 3Freighting goodsHGV (all diesel)Articulated (&gt;3.5 - 33t)100% Ladenmiles</v>
          </cell>
          <cell r="K2315" t="str">
            <v>Articulated (&gt;3.5 - 33t) miles HGV (all diesel)</v>
          </cell>
          <cell r="L2315">
            <v>1.49393</v>
          </cell>
        </row>
        <row r="2316">
          <cell r="J2316" t="str">
            <v>Scope 3Freighting goodsHGV (all diesel)Articulated (&gt;3.5 - 33t)100% Ladentonne.km</v>
          </cell>
          <cell r="K2316" t="str">
            <v>Freighting goods Articulated (&gt;3.5 - 33t) 100% Laden tonne.km</v>
          </cell>
          <cell r="L2316">
            <v>7.3090000000000002E-2</v>
          </cell>
        </row>
        <row r="2317">
          <cell r="J2317" t="str">
            <v>Scope 3Freighting goodsHGV (all diesel)Articulated (&gt;3.5 - 33t)Average ladenkm</v>
          </cell>
          <cell r="K2317" t="str">
            <v>Freighting goods Articulated (&gt;3.5 - 33t) Average laden km</v>
          </cell>
          <cell r="L2317">
            <v>0.76976</v>
          </cell>
        </row>
        <row r="2318">
          <cell r="J2318" t="str">
            <v>Scope 3Freighting goodsHGV (all diesel)Articulated (&gt;3.5 - 33t)Average ladenmiles</v>
          </cell>
          <cell r="K2318" t="str">
            <v>Articulated (&gt;3.5 - 33t) miles HGV (all diesel)</v>
          </cell>
          <cell r="L2318">
            <v>1.2387999999999999</v>
          </cell>
        </row>
        <row r="2319">
          <cell r="J2319" t="str">
            <v>Scope 3Freighting goodsHGV (all diesel)Articulated (&gt;3.5 - 33t)Average ladentonne.km</v>
          </cell>
          <cell r="K2319" t="str">
            <v>Freighting goods Articulated (&gt;3.5 - 33t) Average laden tonne.km</v>
          </cell>
          <cell r="L2319">
            <v>0.12626000000000001</v>
          </cell>
        </row>
        <row r="2320">
          <cell r="J2320" t="str">
            <v>Scope 3Freighting goodsHGV (all diesel)Articulated (&gt;33t)0% Ladenkm</v>
          </cell>
          <cell r="K2320" t="str">
            <v>Freighting goods Articulated (&gt;33t) 0% Laden km</v>
          </cell>
          <cell r="L2320">
            <v>0.65022999999999997</v>
          </cell>
        </row>
        <row r="2321">
          <cell r="J2321" t="str">
            <v>Scope 3Freighting goodsHGV (all diesel)Articulated (&gt;33t)0% Ladenmiles</v>
          </cell>
          <cell r="K2321" t="str">
            <v>Articulated (&gt;33t) miles HGV (all diesel)</v>
          </cell>
          <cell r="L2321">
            <v>1.04644</v>
          </cell>
        </row>
        <row r="2322">
          <cell r="J2322" t="str">
            <v>Scope 3Freighting goodsHGV (all diesel)Articulated (&gt;33t)0% Ladentonne.km</v>
          </cell>
          <cell r="K2322" t="str">
            <v>Freighting goods Articulated (&gt;33t) 0% Laden tonne.km</v>
          </cell>
        </row>
        <row r="2323">
          <cell r="J2323" t="str">
            <v>Scope 3Freighting goodsHGV (all diesel)Articulated (&gt;33t)50% Ladenkm</v>
          </cell>
          <cell r="K2323" t="str">
            <v>Freighting goods Articulated (&gt;33t) 50% Laden km</v>
          </cell>
          <cell r="L2323">
            <v>0.86153999999999997</v>
          </cell>
        </row>
        <row r="2324">
          <cell r="J2324" t="str">
            <v>Scope 3Freighting goodsHGV (all diesel)Articulated (&gt;33t)50% Ladenmiles</v>
          </cell>
          <cell r="K2324" t="str">
            <v>Articulated (&gt;33t) miles HGV (all diesel)</v>
          </cell>
          <cell r="L2324">
            <v>1.38652</v>
          </cell>
        </row>
        <row r="2325">
          <cell r="J2325" t="str">
            <v>Scope 3Freighting goodsHGV (all diesel)Articulated (&gt;33t)50% Ladentonne.km</v>
          </cell>
          <cell r="K2325" t="str">
            <v>Freighting goods Articulated (&gt;33t) 50% Laden tonne.km</v>
          </cell>
          <cell r="L2325">
            <v>9.4960000000000003E-2</v>
          </cell>
        </row>
        <row r="2326">
          <cell r="J2326" t="str">
            <v>Scope 3Freighting goodsHGV (all diesel)Articulated (&gt;33t)100% Ladenkm</v>
          </cell>
          <cell r="K2326" t="str">
            <v>Freighting goods Articulated (&gt;33t) 100% Laden km</v>
          </cell>
          <cell r="L2326">
            <v>1.0728599999999999</v>
          </cell>
        </row>
        <row r="2327">
          <cell r="J2327" t="str">
            <v>Scope 3Freighting goodsHGV (all diesel)Articulated (&gt;33t)100% Ladenmiles</v>
          </cell>
          <cell r="K2327" t="str">
            <v>Articulated (&gt;33t) miles HGV (all diesel)</v>
          </cell>
          <cell r="L2327">
            <v>1.7265900000000001</v>
          </cell>
        </row>
        <row r="2328">
          <cell r="J2328" t="str">
            <v>Scope 3Freighting goodsHGV (all diesel)Articulated (&gt;33t)100% Ladentonne.km</v>
          </cell>
          <cell r="K2328" t="str">
            <v>Freighting goods Articulated (&gt;33t) 100% Laden tonne.km</v>
          </cell>
          <cell r="L2328">
            <v>5.9130000000000002E-2</v>
          </cell>
        </row>
        <row r="2329">
          <cell r="J2329" t="str">
            <v>Scope 3Freighting goodsHGV (all diesel)Articulated (&gt;33t)Average ladenkm</v>
          </cell>
          <cell r="K2329" t="str">
            <v>Freighting goods Articulated (&gt;33t) Average laden km</v>
          </cell>
          <cell r="L2329">
            <v>0.91647999999999996</v>
          </cell>
        </row>
        <row r="2330">
          <cell r="J2330" t="str">
            <v>Scope 3Freighting goodsHGV (all diesel)Articulated (&gt;33t)Average ladenmiles</v>
          </cell>
          <cell r="K2330" t="str">
            <v>Articulated (&gt;33t) miles HGV (all diesel)</v>
          </cell>
          <cell r="L2330">
            <v>1.4749399999999999</v>
          </cell>
        </row>
        <row r="2331">
          <cell r="J2331" t="str">
            <v>Scope 3Freighting goodsHGV (all diesel)Articulated (&gt;33t)Average ladentonne.km</v>
          </cell>
          <cell r="K2331" t="str">
            <v>Freighting goods Articulated (&gt;33t) Average laden tonne.km</v>
          </cell>
          <cell r="L2331">
            <v>8.0170000000000005E-2</v>
          </cell>
        </row>
        <row r="2332">
          <cell r="J2332" t="str">
            <v>Scope 3Freighting goodsHGV (all diesel)All artics0% Ladenkm</v>
          </cell>
          <cell r="K2332" t="str">
            <v>Freighting goods All artics 0% Laden km</v>
          </cell>
          <cell r="L2332">
            <v>0.64912999999999998</v>
          </cell>
        </row>
        <row r="2333">
          <cell r="J2333" t="str">
            <v>Scope 3Freighting goodsHGV (all diesel)All artics0% Ladenmiles</v>
          </cell>
          <cell r="K2333" t="str">
            <v>All artics miles HGV (all diesel)</v>
          </cell>
          <cell r="L2333">
            <v>1.0446800000000001</v>
          </cell>
        </row>
        <row r="2334">
          <cell r="J2334" t="str">
            <v>Scope 3Freighting goodsHGV (all diesel)All artics0% Ladentonne.km</v>
          </cell>
          <cell r="K2334" t="str">
            <v>Freighting goods All artics 0% Laden tonne.km</v>
          </cell>
        </row>
        <row r="2335">
          <cell r="J2335" t="str">
            <v>Scope 3Freighting goodsHGV (all diesel)All artics50% Ladenkm</v>
          </cell>
          <cell r="K2335" t="str">
            <v>Freighting goods All artics 50% Laden km</v>
          </cell>
          <cell r="L2335">
            <v>0.85802999999999996</v>
          </cell>
        </row>
        <row r="2336">
          <cell r="J2336" t="str">
            <v>Scope 3Freighting goodsHGV (all diesel)All artics50% Ladenmiles</v>
          </cell>
          <cell r="K2336" t="str">
            <v>All artics miles HGV (all diesel)</v>
          </cell>
          <cell r="L2336">
            <v>1.38087</v>
          </cell>
        </row>
        <row r="2337">
          <cell r="J2337" t="str">
            <v>Scope 3Freighting goodsHGV (all diesel)All artics50% Ladentonne.km</v>
          </cell>
          <cell r="K2337" t="str">
            <v>Freighting goods All artics 50% Laden tonne.km</v>
          </cell>
          <cell r="L2337">
            <v>9.5570000000000002E-2</v>
          </cell>
        </row>
        <row r="2338">
          <cell r="J2338" t="str">
            <v>Scope 3Freighting goodsHGV (all diesel)All artics100% Ladenkm</v>
          </cell>
          <cell r="K2338" t="str">
            <v>Freighting goods All artics 100% Laden km</v>
          </cell>
          <cell r="L2338">
            <v>1.06694</v>
          </cell>
        </row>
        <row r="2339">
          <cell r="J2339" t="str">
            <v>Scope 3Freighting goodsHGV (all diesel)All artics100% Ladenmiles</v>
          </cell>
          <cell r="K2339" t="str">
            <v>All artics miles HGV (all diesel)</v>
          </cell>
          <cell r="L2339">
            <v>1.7170700000000001</v>
          </cell>
        </row>
        <row r="2340">
          <cell r="J2340" t="str">
            <v>Scope 3Freighting goodsHGV (all diesel)All artics100% Ladentonne.km</v>
          </cell>
          <cell r="K2340" t="str">
            <v>Freighting goods All artics 100% Laden tonne.km</v>
          </cell>
          <cell r="L2340">
            <v>5.944E-2</v>
          </cell>
        </row>
        <row r="2341">
          <cell r="J2341" t="str">
            <v>Scope 3Freighting goodsHGV (all diesel)All articsAverage ladenkm</v>
          </cell>
          <cell r="K2341" t="str">
            <v>Freighting goods All artics Average laden km</v>
          </cell>
          <cell r="L2341">
            <v>0.91047999999999996</v>
          </cell>
        </row>
        <row r="2342">
          <cell r="J2342" t="str">
            <v>Scope 3Freighting goodsHGV (all diesel)All articsAverage ladenmiles</v>
          </cell>
          <cell r="K2342" t="str">
            <v>All artics miles HGV (all diesel)</v>
          </cell>
          <cell r="L2342">
            <v>1.4652700000000001</v>
          </cell>
        </row>
        <row r="2343">
          <cell r="J2343" t="str">
            <v>Scope 3Freighting goodsHGV (all diesel)All articsAverage ladentonne.km</v>
          </cell>
          <cell r="K2343" t="str">
            <v>Freighting goods All artics Average laden tonne.km</v>
          </cell>
          <cell r="L2343">
            <v>8.1199999999999994E-2</v>
          </cell>
        </row>
        <row r="2344">
          <cell r="J2344" t="str">
            <v>Scope 3Freighting goodsHGV (all diesel)All HGVs0% Ladenkm</v>
          </cell>
          <cell r="K2344" t="str">
            <v>Freighting goods All HGVs 0% Laden km</v>
          </cell>
          <cell r="L2344">
            <v>0.65573000000000004</v>
          </cell>
        </row>
        <row r="2345">
          <cell r="J2345" t="str">
            <v>Scope 3Freighting goodsHGV (all diesel)All HGVs0% Ladenmiles</v>
          </cell>
          <cell r="K2345" t="str">
            <v>All HGVs miles HGV (all diesel)</v>
          </cell>
          <cell r="L2345">
            <v>1.0552999999999999</v>
          </cell>
        </row>
        <row r="2346">
          <cell r="J2346" t="str">
            <v>Scope 3Freighting goodsHGV (all diesel)All HGVs0% Ladentonne.km</v>
          </cell>
          <cell r="K2346" t="str">
            <v>Freighting goods All HGVs 0% Laden tonne.km</v>
          </cell>
        </row>
        <row r="2347">
          <cell r="J2347" t="str">
            <v>Scope 3Freighting goodsHGV (all diesel)All HGVs50% Ladenkm</v>
          </cell>
          <cell r="K2347" t="str">
            <v>Freighting goods All HGVs 50% Laden km</v>
          </cell>
          <cell r="L2347">
            <v>0.82850999999999997</v>
          </cell>
        </row>
        <row r="2348">
          <cell r="J2348" t="str">
            <v>Scope 3Freighting goodsHGV (all diesel)All HGVs50% Ladenmiles</v>
          </cell>
          <cell r="K2348" t="str">
            <v>All HGVs miles HGV (all diesel)</v>
          </cell>
          <cell r="L2348">
            <v>1.33335</v>
          </cell>
        </row>
        <row r="2349">
          <cell r="J2349" t="str">
            <v>Scope 3Freighting goodsHGV (all diesel)All HGVs50% Ladentonne.km</v>
          </cell>
          <cell r="K2349" t="str">
            <v>Freighting goods All HGVs 50% Laden tonne.km</v>
          </cell>
          <cell r="L2349">
            <v>0.12157999999999999</v>
          </cell>
        </row>
        <row r="2350">
          <cell r="J2350" t="str">
            <v>Scope 3Freighting goodsHGV (all diesel)All HGVs100% Ladenkm</v>
          </cell>
          <cell r="K2350" t="str">
            <v>Freighting goods All HGVs 100% Laden km</v>
          </cell>
          <cell r="L2350">
            <v>1.0012799999999999</v>
          </cell>
        </row>
        <row r="2351">
          <cell r="J2351" t="str">
            <v>Scope 3Freighting goodsHGV (all diesel)All HGVs100% Ladenmiles</v>
          </cell>
          <cell r="K2351" t="str">
            <v>All HGVs miles HGV (all diesel)</v>
          </cell>
          <cell r="L2351">
            <v>1.6113999999999999</v>
          </cell>
        </row>
        <row r="2352">
          <cell r="J2352" t="str">
            <v>Scope 3Freighting goodsHGV (all diesel)All HGVs100% Ladentonne.km</v>
          </cell>
          <cell r="K2352" t="str">
            <v>Freighting goods All HGVs 100% Laden tonne.km</v>
          </cell>
          <cell r="L2352">
            <v>7.3749999999999996E-2</v>
          </cell>
        </row>
        <row r="2353">
          <cell r="J2353" t="str">
            <v>Scope 3Freighting goodsHGV (all diesel)All HGVsAverage ladenkm</v>
          </cell>
          <cell r="K2353" t="str">
            <v>Freighting goods All HGVs Average laden km</v>
          </cell>
          <cell r="L2353">
            <v>0.86407</v>
          </cell>
        </row>
        <row r="2354">
          <cell r="J2354" t="str">
            <v>Scope 3Freighting goodsHGV (all diesel)All HGVsAverage ladenmiles</v>
          </cell>
          <cell r="K2354" t="str">
            <v>All HGVs miles HGV (all diesel)</v>
          </cell>
          <cell r="L2354">
            <v>1.3905799999999999</v>
          </cell>
        </row>
        <row r="2355">
          <cell r="J2355" t="str">
            <v>Scope 3Freighting goodsHGV (all diesel)All HGVsAverage ladentonne.km</v>
          </cell>
          <cell r="K2355" t="str">
            <v>Freighting goods All HGVs Average laden tonne.km</v>
          </cell>
          <cell r="L2355">
            <v>0.10749</v>
          </cell>
        </row>
        <row r="2356">
          <cell r="J2356" t="str">
            <v>Scope 3Freighting goodsHGV refrigerated (all diesel)Rigid (&gt;3.5 - 7.5 tonnes)0% Ladenkm</v>
          </cell>
          <cell r="K2356" t="str">
            <v>Freighting goods Rigid (&gt;3.5 - 7.5 tonnes) 0% Laden km</v>
          </cell>
          <cell r="L2356">
            <v>0.5302</v>
          </cell>
        </row>
        <row r="2357">
          <cell r="J2357" t="str">
            <v>Scope 3Freighting goodsHGV refrigerated (all diesel)Rigid (&gt;3.5 - 7.5 tonnes)0% Ladenmiles</v>
          </cell>
          <cell r="K2357" t="str">
            <v>Rigid (&gt;3.5 - 7.5 tonnes) miles HGV refrigerated (all diesel)</v>
          </cell>
          <cell r="L2357">
            <v>0.85328000000000004</v>
          </cell>
        </row>
        <row r="2358">
          <cell r="J2358" t="str">
            <v>Scope 3Freighting goodsHGV refrigerated (all diesel)Rigid (&gt;3.5 - 7.5 tonnes)0% Ladentonne.km</v>
          </cell>
          <cell r="K2358" t="str">
            <v>Freighting goods Rigid (&gt;3.5 - 7.5 tonnes) 0% Laden tonne.km</v>
          </cell>
        </row>
        <row r="2359">
          <cell r="J2359" t="str">
            <v>Scope 3Freighting goodsHGV refrigerated (all diesel)Rigid (&gt;3.5 - 7.5 tonnes)50% Ladenkm</v>
          </cell>
          <cell r="K2359" t="str">
            <v>Freighting goods Rigid (&gt;3.5 - 7.5 tonnes) 50% Laden km</v>
          </cell>
          <cell r="L2359">
            <v>0.57577999999999996</v>
          </cell>
        </row>
        <row r="2360">
          <cell r="J2360" t="str">
            <v>Scope 3Freighting goodsHGV refrigerated (all diesel)Rigid (&gt;3.5 - 7.5 tonnes)50% Ladenmiles</v>
          </cell>
          <cell r="K2360" t="str">
            <v>Rigid (&gt;3.5 - 7.5 tonnes) miles HGV refrigerated (all diesel)</v>
          </cell>
          <cell r="L2360">
            <v>0.92662</v>
          </cell>
        </row>
        <row r="2361">
          <cell r="J2361" t="str">
            <v>Scope 3Freighting goodsHGV refrigerated (all diesel)Rigid (&gt;3.5 - 7.5 tonnes)50% Ladentonne.km</v>
          </cell>
          <cell r="K2361" t="str">
            <v>Freighting goods Rigid (&gt;3.5 - 7.5 tonnes) 50% Laden tonne.km</v>
          </cell>
          <cell r="L2361">
            <v>0.53649999999999998</v>
          </cell>
        </row>
        <row r="2362">
          <cell r="J2362" t="str">
            <v>Scope 3Freighting goodsHGV refrigerated (all diesel)Rigid (&gt;3.5 - 7.5 tonnes)100% Ladenkm</v>
          </cell>
          <cell r="K2362" t="str">
            <v>Freighting goods Rigid (&gt;3.5 - 7.5 tonnes) 100% Laden km</v>
          </cell>
          <cell r="L2362">
            <v>0.62134999999999996</v>
          </cell>
        </row>
        <row r="2363">
          <cell r="J2363" t="str">
            <v>Scope 3Freighting goodsHGV refrigerated (all diesel)Rigid (&gt;3.5 - 7.5 tonnes)100% Ladenmiles</v>
          </cell>
          <cell r="K2363" t="str">
            <v>Rigid (&gt;3.5 - 7.5 tonnes) miles HGV refrigerated (all diesel)</v>
          </cell>
          <cell r="L2363">
            <v>0.99997000000000003</v>
          </cell>
        </row>
        <row r="2364">
          <cell r="J2364" t="str">
            <v>Scope 3Freighting goodsHGV refrigerated (all diesel)Rigid (&gt;3.5 - 7.5 tonnes)100% Ladentonne.km</v>
          </cell>
          <cell r="K2364" t="str">
            <v>Freighting goods Rigid (&gt;3.5 - 7.5 tonnes) 100% Laden tonne.km</v>
          </cell>
          <cell r="L2364">
            <v>0.28948000000000002</v>
          </cell>
        </row>
        <row r="2365">
          <cell r="J2365" t="str">
            <v>Scope 3Freighting goodsHGV refrigerated (all diesel)Rigid (&gt;3.5 - 7.5 tonnes)Average ladenkm</v>
          </cell>
          <cell r="K2365" t="str">
            <v>Freighting goods Rigid (&gt;3.5 - 7.5 tonnes) Average laden km</v>
          </cell>
          <cell r="L2365">
            <v>0.57213000000000003</v>
          </cell>
        </row>
        <row r="2366">
          <cell r="J2366" t="str">
            <v>Scope 3Freighting goodsHGV refrigerated (all diesel)Rigid (&gt;3.5 - 7.5 tonnes)Average ladenmiles</v>
          </cell>
          <cell r="K2366" t="str">
            <v>Rigid (&gt;3.5 - 7.5 tonnes) miles HGV refrigerated (all diesel)</v>
          </cell>
          <cell r="L2366">
            <v>0.92076000000000002</v>
          </cell>
        </row>
        <row r="2367">
          <cell r="J2367" t="str">
            <v>Scope 3Freighting goodsHGV refrigerated (all diesel)Rigid (&gt;3.5 - 7.5 tonnes)Average ladentonne.km</v>
          </cell>
          <cell r="K2367" t="str">
            <v>Freighting goods Rigid (&gt;3.5 - 7.5 tonnes) Average laden tonne.km</v>
          </cell>
          <cell r="L2367">
            <v>0.57945999999999998</v>
          </cell>
        </row>
        <row r="2368">
          <cell r="J2368" t="str">
            <v>Scope 3Freighting goodsHGV refrigerated (all diesel)Rigid (&gt;7.5 tonnes-17 tonnes)0% Ladenkm</v>
          </cell>
          <cell r="K2368" t="str">
            <v>Freighting goods Rigid (&gt;7.5 tonnes-17 tonnes) 0% Laden km</v>
          </cell>
          <cell r="L2368">
            <v>0.63751999999999998</v>
          </cell>
        </row>
        <row r="2369">
          <cell r="J2369" t="str">
            <v>Scope 3Freighting goodsHGV refrigerated (all diesel)Rigid (&gt;7.5 tonnes-17 tonnes)0% Ladenmiles</v>
          </cell>
          <cell r="K2369" t="str">
            <v>Rigid (&gt;7.5 tonnes-17 tonnes) miles HGV refrigerated (all diesel)</v>
          </cell>
          <cell r="L2369">
            <v>1.02599</v>
          </cell>
        </row>
        <row r="2370">
          <cell r="J2370" t="str">
            <v>Scope 3Freighting goodsHGV refrigerated (all diesel)Rigid (&gt;7.5 tonnes-17 tonnes)0% Ladentonne.km</v>
          </cell>
          <cell r="K2370" t="str">
            <v>Freighting goods Rigid (&gt;7.5 tonnes-17 tonnes) 0% Laden tonne.km</v>
          </cell>
        </row>
        <row r="2371">
          <cell r="J2371" t="str">
            <v>Scope 3Freighting goodsHGV refrigerated (all diesel)Rigid (&gt;7.5 tonnes-17 tonnes)50% Ladenkm</v>
          </cell>
          <cell r="K2371" t="str">
            <v>Freighting goods Rigid (&gt;7.5 tonnes-17 tonnes) 50% Laden km</v>
          </cell>
          <cell r="L2371">
            <v>0.72753000000000001</v>
          </cell>
        </row>
        <row r="2372">
          <cell r="J2372" t="str">
            <v>Scope 3Freighting goodsHGV refrigerated (all diesel)Rigid (&gt;7.5 tonnes-17 tonnes)50% Ladenmiles</v>
          </cell>
          <cell r="K2372" t="str">
            <v>Rigid (&gt;7.5 tonnes-17 tonnes) miles HGV refrigerated (all diesel)</v>
          </cell>
          <cell r="L2372">
            <v>1.1708499999999999</v>
          </cell>
        </row>
        <row r="2373">
          <cell r="J2373" t="str">
            <v>Scope 3Freighting goodsHGV refrigerated (all diesel)Rigid (&gt;7.5 tonnes-17 tonnes)50% Ladentonne.km</v>
          </cell>
          <cell r="K2373" t="str">
            <v>Freighting goods Rigid (&gt;7.5 tonnes-17 tonnes) 50% Laden tonne.km</v>
          </cell>
          <cell r="L2373">
            <v>0.28660000000000002</v>
          </cell>
        </row>
        <row r="2374">
          <cell r="J2374" t="str">
            <v>Scope 3Freighting goodsHGV refrigerated (all diesel)Rigid (&gt;7.5 tonnes-17 tonnes)100% Ladenkm</v>
          </cell>
          <cell r="K2374" t="str">
            <v>Freighting goods Rigid (&gt;7.5 tonnes-17 tonnes) 100% Laden km</v>
          </cell>
          <cell r="L2374">
            <v>0.81755</v>
          </cell>
        </row>
        <row r="2375">
          <cell r="J2375" t="str">
            <v>Scope 3Freighting goodsHGV refrigerated (all diesel)Rigid (&gt;7.5 tonnes-17 tonnes)100% Ladenmiles</v>
          </cell>
          <cell r="K2375" t="str">
            <v>Rigid (&gt;7.5 tonnes-17 tonnes) miles HGV refrigerated (all diesel)</v>
          </cell>
          <cell r="L2375">
            <v>1.31572</v>
          </cell>
        </row>
        <row r="2376">
          <cell r="J2376" t="str">
            <v>Scope 3Freighting goodsHGV refrigerated (all diesel)Rigid (&gt;7.5 tonnes-17 tonnes)100% Ladentonne.km</v>
          </cell>
          <cell r="K2376" t="str">
            <v>Freighting goods Rigid (&gt;7.5 tonnes-17 tonnes) 100% Laden tonne.km</v>
          </cell>
          <cell r="L2376">
            <v>0.16103000000000001</v>
          </cell>
        </row>
        <row r="2377">
          <cell r="J2377" t="str">
            <v>Scope 3Freighting goodsHGV refrigerated (all diesel)Rigid (&gt;7.5 tonnes-17 tonnes)Average ladenkm</v>
          </cell>
          <cell r="K2377" t="str">
            <v>Freighting goods Rigid (&gt;7.5 tonnes-17 tonnes) Average laden km</v>
          </cell>
          <cell r="L2377">
            <v>0.69872999999999996</v>
          </cell>
        </row>
        <row r="2378">
          <cell r="J2378" t="str">
            <v>Scope 3Freighting goodsHGV refrigerated (all diesel)Rigid (&gt;7.5 tonnes-17 tonnes)Average ladenmiles</v>
          </cell>
          <cell r="K2378" t="str">
            <v>Rigid (&gt;7.5 tonnes-17 tonnes) miles HGV refrigerated (all diesel)</v>
          </cell>
          <cell r="L2378">
            <v>1.1245000000000001</v>
          </cell>
        </row>
        <row r="2379">
          <cell r="J2379" t="str">
            <v>Scope 3Freighting goodsHGV refrigerated (all diesel)Rigid (&gt;7.5 tonnes-17 tonnes)Average ladentonne.km</v>
          </cell>
          <cell r="K2379" t="str">
            <v>Freighting goods Rigid (&gt;7.5 tonnes-17 tonnes) Average laden tonne.km</v>
          </cell>
          <cell r="L2379">
            <v>0.40478999999999998</v>
          </cell>
        </row>
        <row r="2380">
          <cell r="J2380" t="str">
            <v>Scope 3Freighting goodsHGV refrigerated (all diesel)Rigid (&gt;17 tonnes)0% Ladenkm</v>
          </cell>
          <cell r="K2380" t="str">
            <v>Freighting goods Rigid (&gt;17 tonnes) 0% Laden km</v>
          </cell>
          <cell r="L2380">
            <v>0.91180000000000005</v>
          </cell>
        </row>
        <row r="2381">
          <cell r="J2381" t="str">
            <v>Scope 3Freighting goodsHGV refrigerated (all diesel)Rigid (&gt;17 tonnes)0% Ladenmiles</v>
          </cell>
          <cell r="K2381" t="str">
            <v>Rigid (&gt;17 tonnes) miles HGV refrigerated (all diesel)</v>
          </cell>
          <cell r="L2381">
            <v>1.4674</v>
          </cell>
        </row>
        <row r="2382">
          <cell r="J2382" t="str">
            <v>Scope 3Freighting goodsHGV refrigerated (all diesel)Rigid (&gt;17 tonnes)0% Ladentonne.km</v>
          </cell>
          <cell r="K2382" t="str">
            <v>Freighting goods Rigid (&gt;17 tonnes) 0% Laden tonne.km</v>
          </cell>
        </row>
        <row r="2383">
          <cell r="J2383" t="str">
            <v>Scope 3Freighting goodsHGV refrigerated (all diesel)Rigid (&gt;17 tonnes)50% Ladenkm</v>
          </cell>
          <cell r="K2383" t="str">
            <v>Freighting goods Rigid (&gt;17 tonnes) 50% Laden km</v>
          </cell>
          <cell r="L2383">
            <v>1.1092900000000001</v>
          </cell>
        </row>
        <row r="2384">
          <cell r="J2384" t="str">
            <v>Scope 3Freighting goodsHGV refrigerated (all diesel)Rigid (&gt;17 tonnes)50% Ladenmiles</v>
          </cell>
          <cell r="K2384" t="str">
            <v>Rigid (&gt;17 tonnes) miles HGV refrigerated (all diesel)</v>
          </cell>
          <cell r="L2384">
            <v>1.7852300000000001</v>
          </cell>
        </row>
        <row r="2385">
          <cell r="J2385" t="str">
            <v>Scope 3Freighting goodsHGV refrigerated (all diesel)Rigid (&gt;17 tonnes)50% Ladentonne.km</v>
          </cell>
          <cell r="K2385" t="str">
            <v>Freighting goods Rigid (&gt;17 tonnes) 50% Laden tonne.km</v>
          </cell>
          <cell r="L2385">
            <v>0.24278</v>
          </cell>
        </row>
        <row r="2386">
          <cell r="J2386" t="str">
            <v>Scope 3Freighting goodsHGV refrigerated (all diesel)Rigid (&gt;17 tonnes)100% Ladenkm</v>
          </cell>
          <cell r="K2386" t="str">
            <v>Freighting goods Rigid (&gt;17 tonnes) 100% Laden km</v>
          </cell>
          <cell r="L2386">
            <v>1.3067800000000001</v>
          </cell>
        </row>
        <row r="2387">
          <cell r="J2387" t="str">
            <v>Scope 3Freighting goodsHGV refrigerated (all diesel)Rigid (&gt;17 tonnes)100% Ladenmiles</v>
          </cell>
          <cell r="K2387" t="str">
            <v>Rigid (&gt;17 tonnes) miles HGV refrigerated (all diesel)</v>
          </cell>
          <cell r="L2387">
            <v>2.1030700000000002</v>
          </cell>
        </row>
        <row r="2388">
          <cell r="J2388" t="str">
            <v>Scope 3Freighting goodsHGV refrigerated (all diesel)Rigid (&gt;17 tonnes)100% Ladentonne.km</v>
          </cell>
          <cell r="K2388" t="str">
            <v>Freighting goods Rigid (&gt;17 tonnes) 100% Laden tonne.km</v>
          </cell>
          <cell r="L2388">
            <v>0.14299999999999999</v>
          </cell>
        </row>
        <row r="2389">
          <cell r="J2389" t="str">
            <v>Scope 3Freighting goodsHGV refrigerated (all diesel)Rigid (&gt;17 tonnes)Average ladenkm</v>
          </cell>
          <cell r="K2389" t="str">
            <v>Freighting goods Rigid (&gt;17 tonnes) Average laden km</v>
          </cell>
          <cell r="L2389">
            <v>1.1399300000000001</v>
          </cell>
        </row>
        <row r="2390">
          <cell r="J2390" t="str">
            <v>Scope 3Freighting goodsHGV refrigerated (all diesel)Rigid (&gt;17 tonnes)Average ladenmiles</v>
          </cell>
          <cell r="K2390" t="str">
            <v>Rigid (&gt;17 tonnes) miles HGV refrigerated (all diesel)</v>
          </cell>
          <cell r="L2390">
            <v>1.83453</v>
          </cell>
        </row>
        <row r="2391">
          <cell r="J2391" t="str">
            <v>Scope 3Freighting goodsHGV refrigerated (all diesel)Rigid (&gt;17 tonnes)Average ladentonne.km</v>
          </cell>
          <cell r="K2391" t="str">
            <v>Freighting goods Rigid (&gt;17 tonnes) Average laden tonne.km</v>
          </cell>
          <cell r="L2391">
            <v>0.21598000000000001</v>
          </cell>
        </row>
        <row r="2392">
          <cell r="J2392" t="str">
            <v>Scope 3Freighting goodsHGV refrigerated (all diesel)All rigids0% Ladenkm</v>
          </cell>
          <cell r="K2392" t="str">
            <v>Freighting goods All rigids 0% Laden km</v>
          </cell>
          <cell r="L2392">
            <v>0.79063000000000005</v>
          </cell>
        </row>
        <row r="2393">
          <cell r="J2393" t="str">
            <v>Scope 3Freighting goodsHGV refrigerated (all diesel)All rigids0% Ladenmiles</v>
          </cell>
          <cell r="K2393" t="str">
            <v>All rigids miles HGV refrigerated (all diesel)</v>
          </cell>
          <cell r="L2393">
            <v>1.2724</v>
          </cell>
        </row>
        <row r="2394">
          <cell r="J2394" t="str">
            <v>Scope 3Freighting goodsHGV refrigerated (all diesel)All rigids0% Ladentonne.km</v>
          </cell>
          <cell r="K2394" t="str">
            <v>Freighting goods All rigids 0% Laden tonne.km</v>
          </cell>
        </row>
        <row r="2395">
          <cell r="J2395" t="str">
            <v>Scope 3Freighting goodsHGV refrigerated (all diesel)All rigids50% Ladenkm</v>
          </cell>
          <cell r="K2395" t="str">
            <v>Freighting goods All rigids 50% Laden km</v>
          </cell>
          <cell r="L2395">
            <v>0.94008000000000003</v>
          </cell>
        </row>
        <row r="2396">
          <cell r="J2396" t="str">
            <v>Scope 3Freighting goodsHGV refrigerated (all diesel)All rigids50% Ladenmiles</v>
          </cell>
          <cell r="K2396" t="str">
            <v>All rigids miles HGV refrigerated (all diesel)</v>
          </cell>
          <cell r="L2396">
            <v>1.51291</v>
          </cell>
        </row>
        <row r="2397">
          <cell r="J2397" t="str">
            <v>Scope 3Freighting goodsHGV refrigerated (all diesel)All rigids50% Ladentonne.km</v>
          </cell>
          <cell r="K2397" t="str">
            <v>Freighting goods All rigids 50% Laden tonne.km</v>
          </cell>
          <cell r="L2397">
            <v>0.26285999999999998</v>
          </cell>
        </row>
        <row r="2398">
          <cell r="J2398" t="str">
            <v>Scope 3Freighting goodsHGV refrigerated (all diesel)All rigids100% Ladenkm</v>
          </cell>
          <cell r="K2398" t="str">
            <v>Freighting goods All rigids 100% Laden km</v>
          </cell>
          <cell r="L2398">
            <v>1.08952</v>
          </cell>
        </row>
        <row r="2399">
          <cell r="J2399" t="str">
            <v>Scope 3Freighting goodsHGV refrigerated (all diesel)All rigids100% Ladenmiles</v>
          </cell>
          <cell r="K2399" t="str">
            <v>All rigids miles HGV refrigerated (all diesel)</v>
          </cell>
          <cell r="L2399">
            <v>1.7534099999999999</v>
          </cell>
        </row>
        <row r="2400">
          <cell r="J2400" t="str">
            <v>Scope 3Freighting goodsHGV refrigerated (all diesel)All rigids100% Ladentonne.km</v>
          </cell>
          <cell r="K2400" t="str">
            <v>Freighting goods All rigids 100% Laden tonne.km</v>
          </cell>
          <cell r="L2400">
            <v>0.15282999999999999</v>
          </cell>
        </row>
        <row r="2401">
          <cell r="J2401" t="str">
            <v>Scope 3Freighting goodsHGV refrigerated (all diesel)All rigidsAverage ladenkm</v>
          </cell>
          <cell r="K2401" t="str">
            <v>Freighting goods All rigids Average laden km</v>
          </cell>
          <cell r="L2401">
            <v>0.95603000000000005</v>
          </cell>
        </row>
        <row r="2402">
          <cell r="J2402" t="str">
            <v>Scope 3Freighting goodsHGV refrigerated (all diesel)All rigidsAverage ladenmiles</v>
          </cell>
          <cell r="K2402" t="str">
            <v>All rigids miles HGV refrigerated (all diesel)</v>
          </cell>
          <cell r="L2402">
            <v>1.5385800000000001</v>
          </cell>
        </row>
        <row r="2403">
          <cell r="J2403" t="str">
            <v>Scope 3Freighting goodsHGV refrigerated (all diesel)All rigidsAverage ladentonne.km</v>
          </cell>
          <cell r="K2403" t="str">
            <v>Freighting goods All rigids Average laden tonne.km</v>
          </cell>
          <cell r="L2403">
            <v>0.24739</v>
          </cell>
        </row>
        <row r="2404">
          <cell r="J2404" t="str">
            <v>Scope 3Freighting goodsHGV refrigerated (all diesel)Articulated (&gt;3.5 - 33t)0% Ladenkm</v>
          </cell>
          <cell r="K2404" t="str">
            <v>Freighting goods Articulated (&gt;3.5 - 33t) 0% Laden km</v>
          </cell>
          <cell r="L2404">
            <v>0.72055999999999998</v>
          </cell>
        </row>
        <row r="2405">
          <cell r="J2405" t="str">
            <v>Scope 3Freighting goodsHGV refrigerated (all diesel)Articulated (&gt;3.5 - 33t)0% Ladenmiles</v>
          </cell>
          <cell r="K2405" t="str">
            <v>Articulated (&gt;3.5 - 33t) miles HGV refrigerated (all diesel)</v>
          </cell>
          <cell r="L2405">
            <v>1.1596299999999999</v>
          </cell>
        </row>
        <row r="2406">
          <cell r="J2406" t="str">
            <v>Scope 3Freighting goodsHGV refrigerated (all diesel)Articulated (&gt;3.5 - 33t)0% Ladentonne.km</v>
          </cell>
          <cell r="K2406" t="str">
            <v>Freighting goods Articulated (&gt;3.5 - 33t) 0% Laden tonne.km</v>
          </cell>
        </row>
        <row r="2407">
          <cell r="J2407" t="str">
            <v>Scope 3Freighting goodsHGV refrigerated (all diesel)Articulated (&gt;3.5 - 33t)50% Ladenkm</v>
          </cell>
          <cell r="K2407" t="str">
            <v>Freighting goods Articulated (&gt;3.5 - 33t) 50% Laden km</v>
          </cell>
          <cell r="L2407">
            <v>0.89727999999999997</v>
          </cell>
        </row>
        <row r="2408">
          <cell r="J2408" t="str">
            <v>Scope 3Freighting goodsHGV refrigerated (all diesel)Articulated (&gt;3.5 - 33t)50% Ladenmiles</v>
          </cell>
          <cell r="K2408" t="str">
            <v>Articulated (&gt;3.5 - 33t) miles HGV refrigerated (all diesel)</v>
          </cell>
          <cell r="L2408">
            <v>1.4440299999999999</v>
          </cell>
        </row>
        <row r="2409">
          <cell r="J2409" t="str">
            <v>Scope 3Freighting goodsHGV refrigerated (all diesel)Articulated (&gt;3.5 - 33t)50% Ladentonne.km</v>
          </cell>
          <cell r="K2409" t="str">
            <v>Freighting goods Articulated (&gt;3.5 - 33t) 50% Laden tonne.km</v>
          </cell>
          <cell r="L2409">
            <v>0.14129</v>
          </cell>
        </row>
        <row r="2410">
          <cell r="J2410" t="str">
            <v>Scope 3Freighting goodsHGV refrigerated (all diesel)Articulated (&gt;3.5 - 33t)100% Ladenkm</v>
          </cell>
          <cell r="K2410" t="str">
            <v>Freighting goods Articulated (&gt;3.5 - 33t) 100% Laden km</v>
          </cell>
          <cell r="L2410">
            <v>1.0740000000000001</v>
          </cell>
        </row>
        <row r="2411">
          <cell r="J2411" t="str">
            <v>Scope 3Freighting goodsHGV refrigerated (all diesel)Articulated (&gt;3.5 - 33t)100% Ladenmiles</v>
          </cell>
          <cell r="K2411" t="str">
            <v>Articulated (&gt;3.5 - 33t) miles HGV refrigerated (all diesel)</v>
          </cell>
          <cell r="L2411">
            <v>1.7284299999999999</v>
          </cell>
        </row>
        <row r="2412">
          <cell r="J2412" t="str">
            <v>Scope 3Freighting goodsHGV refrigerated (all diesel)Articulated (&gt;3.5 - 33t)100% Ladentonne.km</v>
          </cell>
          <cell r="K2412" t="str">
            <v>Freighting goods Articulated (&gt;3.5 - 33t) 100% Laden tonne.km</v>
          </cell>
          <cell r="L2412">
            <v>8.4559999999999996E-2</v>
          </cell>
        </row>
        <row r="2413">
          <cell r="J2413" t="str">
            <v>Scope 3Freighting goodsHGV refrigerated (all diesel)Articulated (&gt;3.5 - 33t)Average ladenkm</v>
          </cell>
          <cell r="K2413" t="str">
            <v>Freighting goods Articulated (&gt;3.5 - 33t) Average laden km</v>
          </cell>
          <cell r="L2413">
            <v>0.89020999999999995</v>
          </cell>
        </row>
        <row r="2414">
          <cell r="J2414" t="str">
            <v>Scope 3Freighting goodsHGV refrigerated (all diesel)Articulated (&gt;3.5 - 33t)Average ladenmiles</v>
          </cell>
          <cell r="K2414" t="str">
            <v>Articulated (&gt;3.5 - 33t) miles HGV refrigerated (all diesel)</v>
          </cell>
          <cell r="L2414">
            <v>1.43266</v>
          </cell>
        </row>
        <row r="2415">
          <cell r="J2415" t="str">
            <v>Scope 3Freighting goodsHGV refrigerated (all diesel)Articulated (&gt;3.5 - 33t)Average ladentonne.km</v>
          </cell>
          <cell r="K2415" t="str">
            <v>Freighting goods Articulated (&gt;3.5 - 33t) Average laden tonne.km</v>
          </cell>
          <cell r="L2415">
            <v>0.14602000000000001</v>
          </cell>
        </row>
        <row r="2416">
          <cell r="J2416" t="str">
            <v>Scope 3Freighting goodsHGV refrigerated (all diesel)Articulated (&gt;33t)0% Ladenkm</v>
          </cell>
          <cell r="K2416" t="str">
            <v>Freighting goods Articulated (&gt;33t) 0% Laden km</v>
          </cell>
          <cell r="L2416">
            <v>0.75122999999999995</v>
          </cell>
        </row>
        <row r="2417">
          <cell r="J2417" t="str">
            <v>Scope 3Freighting goodsHGV refrigerated (all diesel)Articulated (&gt;33t)0% Ladenmiles</v>
          </cell>
          <cell r="K2417" t="str">
            <v>Articulated (&gt;33t) miles HGV refrigerated (all diesel)</v>
          </cell>
          <cell r="L2417">
            <v>1.2089799999999999</v>
          </cell>
        </row>
        <row r="2418">
          <cell r="J2418" t="str">
            <v>Scope 3Freighting goodsHGV refrigerated (all diesel)Articulated (&gt;33t)0% Ladentonne.km</v>
          </cell>
          <cell r="K2418" t="str">
            <v>Freighting goods Articulated (&gt;33t) 0% Laden tonne.km</v>
          </cell>
        </row>
        <row r="2419">
          <cell r="J2419" t="str">
            <v>Scope 3Freighting goodsHGV refrigerated (all diesel)Articulated (&gt;33t)50% Ladenkm</v>
          </cell>
          <cell r="K2419" t="str">
            <v>Freighting goods Articulated (&gt;33t) 50% Laden km</v>
          </cell>
          <cell r="L2419">
            <v>0.99621000000000004</v>
          </cell>
        </row>
        <row r="2420">
          <cell r="J2420" t="str">
            <v>Scope 3Freighting goodsHGV refrigerated (all diesel)Articulated (&gt;33t)50% Ladenmiles</v>
          </cell>
          <cell r="K2420" t="str">
            <v>Articulated (&gt;33t) miles HGV refrigerated (all diesel)</v>
          </cell>
          <cell r="L2420">
            <v>1.60324</v>
          </cell>
        </row>
        <row r="2421">
          <cell r="J2421" t="str">
            <v>Scope 3Freighting goodsHGV refrigerated (all diesel)Articulated (&gt;33t)50% Ladentonne.km</v>
          </cell>
          <cell r="K2421" t="str">
            <v>Freighting goods Articulated (&gt;33t) 50% Laden tonne.km</v>
          </cell>
          <cell r="L2421">
            <v>0.10979999999999999</v>
          </cell>
        </row>
        <row r="2422">
          <cell r="J2422" t="str">
            <v>Scope 3Freighting goodsHGV refrigerated (all diesel)Articulated (&gt;33t)100% Ladenkm</v>
          </cell>
          <cell r="K2422" t="str">
            <v>Freighting goods Articulated (&gt;33t) 100% Laden km</v>
          </cell>
          <cell r="L2422">
            <v>1.2411799999999999</v>
          </cell>
        </row>
        <row r="2423">
          <cell r="J2423" t="str">
            <v>Scope 3Freighting goodsHGV refrigerated (all diesel)Articulated (&gt;33t)100% Ladenmiles</v>
          </cell>
          <cell r="K2423" t="str">
            <v>Articulated (&gt;33t) miles HGV refrigerated (all diesel)</v>
          </cell>
          <cell r="L2423">
            <v>1.99749</v>
          </cell>
        </row>
        <row r="2424">
          <cell r="J2424" t="str">
            <v>Scope 3Freighting goodsHGV refrigerated (all diesel)Articulated (&gt;33t)100% Ladentonne.km</v>
          </cell>
          <cell r="K2424" t="str">
            <v>Freighting goods Articulated (&gt;33t) 100% Laden tonne.km</v>
          </cell>
          <cell r="L2424">
            <v>6.8400000000000002E-2</v>
          </cell>
        </row>
        <row r="2425">
          <cell r="J2425" t="str">
            <v>Scope 3Freighting goodsHGV refrigerated (all diesel)Articulated (&gt;33t)Average ladenkm</v>
          </cell>
          <cell r="K2425" t="str">
            <v>Freighting goods Articulated (&gt;33t) Average laden km</v>
          </cell>
          <cell r="L2425">
            <v>1.0599000000000001</v>
          </cell>
        </row>
        <row r="2426">
          <cell r="J2426" t="str">
            <v>Scope 3Freighting goodsHGV refrigerated (all diesel)Articulated (&gt;33t)Average ladenmiles</v>
          </cell>
          <cell r="K2426" t="str">
            <v>Articulated (&gt;33t) miles HGV refrigerated (all diesel)</v>
          </cell>
          <cell r="L2426">
            <v>1.70574</v>
          </cell>
        </row>
        <row r="2427">
          <cell r="J2427" t="str">
            <v>Scope 3Freighting goodsHGV refrigerated (all diesel)Articulated (&gt;33t)Average ladentonne.km</v>
          </cell>
          <cell r="K2427" t="str">
            <v>Freighting goods Articulated (&gt;33t) Average laden tonne.km</v>
          </cell>
          <cell r="L2427">
            <v>9.2719999999999997E-2</v>
          </cell>
        </row>
        <row r="2428">
          <cell r="J2428" t="str">
            <v>Scope 3Freighting goodsHGV refrigerated (all diesel)All artics0% Ladenkm</v>
          </cell>
          <cell r="K2428" t="str">
            <v>Freighting goods All artics 0% Laden km</v>
          </cell>
          <cell r="L2428">
            <v>0.74997000000000003</v>
          </cell>
        </row>
        <row r="2429">
          <cell r="J2429" t="str">
            <v>Scope 3Freighting goodsHGV refrigerated (all diesel)All artics0% Ladenmiles</v>
          </cell>
          <cell r="K2429" t="str">
            <v>All artics miles HGV refrigerated (all diesel)</v>
          </cell>
          <cell r="L2429">
            <v>1.20696</v>
          </cell>
        </row>
        <row r="2430">
          <cell r="J2430" t="str">
            <v>Scope 3Freighting goodsHGV refrigerated (all diesel)All artics0% Ladentonne.km</v>
          </cell>
          <cell r="K2430" t="str">
            <v>Freighting goods All artics 0% Laden tonne.km</v>
          </cell>
        </row>
        <row r="2431">
          <cell r="J2431" t="str">
            <v>Scope 3Freighting goodsHGV refrigerated (all diesel)All artics50% Ladenkm</v>
          </cell>
          <cell r="K2431" t="str">
            <v>Freighting goods All artics 50% Laden km</v>
          </cell>
          <cell r="L2431">
            <v>0.99216000000000004</v>
          </cell>
        </row>
        <row r="2432">
          <cell r="J2432" t="str">
            <v>Scope 3Freighting goodsHGV refrigerated (all diesel)All artics50% Ladenmiles</v>
          </cell>
          <cell r="K2432" t="str">
            <v>All artics miles HGV refrigerated (all diesel)</v>
          </cell>
          <cell r="L2432">
            <v>1.5967199999999999</v>
          </cell>
        </row>
        <row r="2433">
          <cell r="J2433" t="str">
            <v>Scope 3Freighting goodsHGV refrigerated (all diesel)All artics50% Ladentonne.km</v>
          </cell>
          <cell r="K2433" t="str">
            <v>Freighting goods All artics 50% Laden tonne.km</v>
          </cell>
          <cell r="L2433">
            <v>0.1105</v>
          </cell>
        </row>
        <row r="2434">
          <cell r="J2434" t="str">
            <v>Scope 3Freighting goodsHGV refrigerated (all diesel)All artics100% Ladenkm</v>
          </cell>
          <cell r="K2434" t="str">
            <v>Freighting goods All artics 100% Laden km</v>
          </cell>
          <cell r="L2434">
            <v>1.23434</v>
          </cell>
        </row>
        <row r="2435">
          <cell r="J2435" t="str">
            <v>Scope 3Freighting goodsHGV refrigerated (all diesel)All artics100% Ladenmiles</v>
          </cell>
          <cell r="K2435" t="str">
            <v>All artics miles HGV refrigerated (all diesel)</v>
          </cell>
          <cell r="L2435">
            <v>1.98648</v>
          </cell>
        </row>
        <row r="2436">
          <cell r="J2436" t="str">
            <v>Scope 3Freighting goodsHGV refrigerated (all diesel)All artics100% Ladentonne.km</v>
          </cell>
          <cell r="K2436" t="str">
            <v>Freighting goods All artics 100% Laden tonne.km</v>
          </cell>
          <cell r="L2436">
            <v>6.8760000000000002E-2</v>
          </cell>
        </row>
        <row r="2437">
          <cell r="J2437" t="str">
            <v>Scope 3Freighting goodsHGV refrigerated (all diesel)All articsAverage ladenkm</v>
          </cell>
          <cell r="K2437" t="str">
            <v>Freighting goods All artics Average laden km</v>
          </cell>
          <cell r="L2437">
            <v>1.0529500000000001</v>
          </cell>
        </row>
        <row r="2438">
          <cell r="J2438" t="str">
            <v>Scope 3Freighting goodsHGV refrigerated (all diesel)All articsAverage ladenmiles</v>
          </cell>
          <cell r="K2438" t="str">
            <v>All artics miles HGV refrigerated (all diesel)</v>
          </cell>
          <cell r="L2438">
            <v>1.6945600000000001</v>
          </cell>
        </row>
        <row r="2439">
          <cell r="J2439" t="str">
            <v>Scope 3Freighting goodsHGV refrigerated (all diesel)All articsAverage ladentonne.km</v>
          </cell>
          <cell r="K2439" t="str">
            <v>Freighting goods All artics Average laden tonne.km</v>
          </cell>
          <cell r="L2439">
            <v>9.3899999999999997E-2</v>
          </cell>
        </row>
        <row r="2440">
          <cell r="J2440" t="str">
            <v>Scope 3Freighting goodsHGV refrigerated (all diesel)All HGVs0% Ladenkm</v>
          </cell>
          <cell r="K2440" t="str">
            <v>Freighting goods All HGVs 0% Laden km</v>
          </cell>
          <cell r="L2440">
            <v>0.76736000000000004</v>
          </cell>
        </row>
        <row r="2441">
          <cell r="J2441" t="str">
            <v>Scope 3Freighting goodsHGV refrigerated (all diesel)All HGVs0% Ladenmiles</v>
          </cell>
          <cell r="K2441" t="str">
            <v>All HGVs miles HGV refrigerated (all diesel)</v>
          </cell>
          <cell r="L2441">
            <v>1.23495</v>
          </cell>
        </row>
        <row r="2442">
          <cell r="J2442" t="str">
            <v>Scope 3Freighting goodsHGV refrigerated (all diesel)All HGVs0% Ladentonne.km</v>
          </cell>
          <cell r="K2442" t="str">
            <v>Freighting goods All HGVs 0% Laden tonne.km</v>
          </cell>
        </row>
        <row r="2443">
          <cell r="J2443" t="str">
            <v>Scope 3Freighting goodsHGV refrigerated (all diesel)All HGVs50% Ladenkm</v>
          </cell>
          <cell r="K2443" t="str">
            <v>Freighting goods All HGVs 50% Laden km</v>
          </cell>
          <cell r="L2443">
            <v>0.97016999999999998</v>
          </cell>
        </row>
        <row r="2444">
          <cell r="J2444" t="str">
            <v>Scope 3Freighting goodsHGV refrigerated (all diesel)All HGVs50% Ladenmiles</v>
          </cell>
          <cell r="K2444" t="str">
            <v>All HGVs miles HGV refrigerated (all diesel)</v>
          </cell>
          <cell r="L2444">
            <v>1.56134</v>
          </cell>
        </row>
        <row r="2445">
          <cell r="J2445" t="str">
            <v>Scope 3Freighting goodsHGV refrigerated (all diesel)All HGVs50% Ladentonne.km</v>
          </cell>
          <cell r="K2445" t="str">
            <v>Freighting goods All HGVs 50% Laden tonne.km</v>
          </cell>
          <cell r="L2445">
            <v>0.14235999999999999</v>
          </cell>
        </row>
        <row r="2446">
          <cell r="J2446" t="str">
            <v>Scope 3Freighting goodsHGV refrigerated (all diesel)All HGVs100% Ladenkm</v>
          </cell>
          <cell r="K2446" t="str">
            <v>Freighting goods All HGVs 100% Laden km</v>
          </cell>
          <cell r="L2446">
            <v>1.1729799999999999</v>
          </cell>
        </row>
        <row r="2447">
          <cell r="J2447" t="str">
            <v>Scope 3Freighting goodsHGV refrigerated (all diesel)All HGVs100% Ladenmiles</v>
          </cell>
          <cell r="K2447" t="str">
            <v>All HGVs miles HGV refrigerated (all diesel)</v>
          </cell>
          <cell r="L2447">
            <v>1.8877299999999999</v>
          </cell>
        </row>
        <row r="2448">
          <cell r="J2448" t="str">
            <v>Scope 3Freighting goodsHGV refrigerated (all diesel)All HGVs100% Ladentonne.km</v>
          </cell>
          <cell r="K2448" t="str">
            <v>Freighting goods All HGVs 100% Laden tonne.km</v>
          </cell>
          <cell r="L2448">
            <v>8.6389999999999995E-2</v>
          </cell>
        </row>
        <row r="2449">
          <cell r="J2449" t="str">
            <v>Scope 3Freighting goodsHGV refrigerated (all diesel)All HGVsAverage ladenkm</v>
          </cell>
          <cell r="K2449" t="str">
            <v>Freighting goods All HGVs Average laden km</v>
          </cell>
          <cell r="L2449">
            <v>1.0119199999999999</v>
          </cell>
        </row>
        <row r="2450">
          <cell r="J2450" t="str">
            <v>Scope 3Freighting goodsHGV refrigerated (all diesel)All HGVsAverage ladenmiles</v>
          </cell>
          <cell r="K2450" t="str">
            <v>All HGVs miles HGV refrigerated (all diesel)</v>
          </cell>
          <cell r="L2450">
            <v>1.62852</v>
          </cell>
        </row>
        <row r="2451">
          <cell r="J2451" t="str">
            <v>Scope 3Freighting goodsHGV refrigerated (all diesel)All HGVsAverage ladentonne.km</v>
          </cell>
          <cell r="K2451" t="str">
            <v>Freighting goods All HGVs Average laden tonne.km</v>
          </cell>
          <cell r="L2451">
            <v>0.12587999999999999</v>
          </cell>
        </row>
        <row r="2452">
          <cell r="J2452" t="str">
            <v>Scope 3Freighting goodsFreight flightsDomestic, to/from UKWith RFtonne.km</v>
          </cell>
          <cell r="K2452" t="str">
            <v>Freighting goods Domestic, to/from UK With RF tonne.km</v>
          </cell>
          <cell r="L2452">
            <v>4.4936300000000005</v>
          </cell>
        </row>
        <row r="2453">
          <cell r="J2453" t="str">
            <v>Scope 3Freighting goodsFreight flightsDomestic, to/from UKWithout RFtonne.km</v>
          </cell>
          <cell r="K2453" t="str">
            <v>Freighting goods Domestic, to/from UK Without RF tonne.km</v>
          </cell>
          <cell r="L2453">
            <v>2.3765000000000001</v>
          </cell>
        </row>
        <row r="2454">
          <cell r="J2454" t="str">
            <v>Scope 3Freighting goodsFreight flightsShort-haul, to/from UKWith RFtonne.km</v>
          </cell>
          <cell r="K2454" t="str">
            <v>Freighting goods Short-haul, to/from UK With RF tonne.km</v>
          </cell>
          <cell r="L2454">
            <v>2.3022900000000002</v>
          </cell>
        </row>
        <row r="2455">
          <cell r="J2455" t="str">
            <v>Scope 3Freighting goodsFreight flightsShort-haul, to/from UKWithout RFtonne.km</v>
          </cell>
          <cell r="K2455" t="str">
            <v>Freighting goods Short-haul, to/from UK Without RF tonne.km</v>
          </cell>
          <cell r="L2455">
            <v>1.2171700000000001</v>
          </cell>
        </row>
        <row r="2456">
          <cell r="J2456" t="str">
            <v>Scope 3Freighting goodsFreight flightsLong-haul, to/from UKWith RFtonne.km</v>
          </cell>
          <cell r="K2456" t="str">
            <v>Freighting goods Long-haul, to/from UK With RF tonne.km</v>
          </cell>
          <cell r="L2456">
            <v>1.0189000000000001</v>
          </cell>
        </row>
        <row r="2457">
          <cell r="J2457" t="str">
            <v>Scope 3Freighting goodsFreight flightsLong-haul, to/from UKWithout RFtonne.km</v>
          </cell>
          <cell r="K2457" t="str">
            <v>Freighting goods Long-haul, to/from UK Without RF tonne.km</v>
          </cell>
          <cell r="L2457">
            <v>0.53867000000000009</v>
          </cell>
        </row>
        <row r="2458">
          <cell r="J2458" t="str">
            <v>Scope 3Freighting goodsFreight flightsInternational, to/from non-UKWith RFtonne.km</v>
          </cell>
          <cell r="K2458" t="str">
            <v>Freighting goods International, to/from non-UK With RF tonne.km</v>
          </cell>
          <cell r="L2458">
            <v>1.0189000000000001</v>
          </cell>
        </row>
        <row r="2459">
          <cell r="J2459" t="str">
            <v>Scope 3Freighting goodsFreight flightsInternational, to/from non-UKWithout RFtonne.km</v>
          </cell>
          <cell r="K2459" t="str">
            <v>Freighting goods International, to/from non-UK Without RF tonne.km</v>
          </cell>
          <cell r="L2459">
            <v>0.53867000000000009</v>
          </cell>
        </row>
        <row r="2460">
          <cell r="J2460" t="str">
            <v>Scope 3Freighting goodsRailFreight traintonne.km</v>
          </cell>
          <cell r="K2460" t="str">
            <v>Freighting goods Freight train  tonne.km</v>
          </cell>
          <cell r="L2460">
            <v>2.7820000000000001E-2</v>
          </cell>
        </row>
        <row r="2461">
          <cell r="J2461" t="str">
            <v>Scope 3Freighting goodsSea tankerCrude tanker200,000+ dwttonne.km</v>
          </cell>
          <cell r="K2461" t="str">
            <v>Freighting goods Crude tanker  tonne.km</v>
          </cell>
          <cell r="L2461">
            <v>2.9399999999999999E-3</v>
          </cell>
        </row>
        <row r="2462">
          <cell r="J2462" t="str">
            <v>Scope 3Freighting goodsSea tankerCrude tanker120,000–199,999 dwttonne.km</v>
          </cell>
          <cell r="K2462" t="str">
            <v>Freighting goods Crude tanker  tonne.km</v>
          </cell>
          <cell r="L2462">
            <v>4.4610000000000006E-3</v>
          </cell>
        </row>
        <row r="2463">
          <cell r="J2463" t="str">
            <v>Scope 3Freighting goodsSea tankerCrude tanker80,000–119,999 dwttonne.km</v>
          </cell>
          <cell r="K2463" t="str">
            <v>Freighting goods Crude tanker  tonne.km</v>
          </cell>
          <cell r="L2463">
            <v>5.9820000000000012E-3</v>
          </cell>
        </row>
        <row r="2464">
          <cell r="J2464" t="str">
            <v>Scope 3Freighting goodsSea tankerCrude tanker60,000–79,999 dwttonne.km</v>
          </cell>
          <cell r="K2464" t="str">
            <v>Freighting goods Crude tanker  tonne.km</v>
          </cell>
          <cell r="L2464">
            <v>7.6039999999999996E-3</v>
          </cell>
        </row>
        <row r="2465">
          <cell r="J2465" t="str">
            <v>Scope 3Freighting goodsSea tankerCrude tanker10,000–59,999 dwttonne.km</v>
          </cell>
          <cell r="K2465" t="str">
            <v>Freighting goods Crude tanker  tonne.km</v>
          </cell>
          <cell r="L2465">
            <v>9.2270000000000008E-3</v>
          </cell>
        </row>
        <row r="2466">
          <cell r="J2466" t="str">
            <v>Scope 3Freighting goodsSea tankerCrude tanker0–9999 dwttonne.km</v>
          </cell>
          <cell r="K2466" t="str">
            <v>Freighting goods Crude tanker  tonne.km</v>
          </cell>
          <cell r="L2466">
            <v>3.3763000000000001E-2</v>
          </cell>
        </row>
        <row r="2467">
          <cell r="J2467" t="str">
            <v>Scope 3Freighting goodsSea tankerCrude tankerAveragetonne.km</v>
          </cell>
          <cell r="K2467" t="str">
            <v>Freighting goods Crude tanker  tonne.km</v>
          </cell>
          <cell r="L2467">
            <v>4.5720000000000005E-3</v>
          </cell>
        </row>
        <row r="2468">
          <cell r="J2468" t="str">
            <v>Scope 3Freighting goodsSea tankerProducts tanker 60,000+ dwttonne.km</v>
          </cell>
          <cell r="K2468" t="str">
            <v>Freighting goods Products tanker   tonne.km</v>
          </cell>
          <cell r="L2468">
            <v>5.7800000000000004E-3</v>
          </cell>
        </row>
        <row r="2469">
          <cell r="J2469" t="str">
            <v>Scope 3Freighting goodsSea tankerProducts tanker 20,000–59,999 dwttonne.km</v>
          </cell>
          <cell r="K2469" t="str">
            <v>Freighting goods Products tanker   tonne.km</v>
          </cell>
          <cell r="L2469">
            <v>1.0442999999999999E-2</v>
          </cell>
        </row>
        <row r="2470">
          <cell r="J2470" t="str">
            <v>Scope 3Freighting goodsSea tankerProducts tanker 10,000–19,999 dwttonne.km</v>
          </cell>
          <cell r="K2470" t="str">
            <v>Freighting goods Products tanker   tonne.km</v>
          </cell>
          <cell r="L2470">
            <v>1.8960999999999999E-2</v>
          </cell>
        </row>
        <row r="2471">
          <cell r="J2471" t="str">
            <v>Scope 3Freighting goodsSea tankerProducts tanker 5000–9999 dwttonne.km</v>
          </cell>
          <cell r="K2471" t="str">
            <v>Freighting goods Products tanker   tonne.km</v>
          </cell>
          <cell r="L2471">
            <v>2.9606999999999998E-2</v>
          </cell>
        </row>
        <row r="2472">
          <cell r="J2472" t="str">
            <v>Scope 3Freighting goodsSea tankerProducts tanker 0–4999 dwttonne.km</v>
          </cell>
          <cell r="K2472" t="str">
            <v>Freighting goods Products tanker   tonne.km</v>
          </cell>
          <cell r="L2472">
            <v>4.5626E-2</v>
          </cell>
        </row>
        <row r="2473">
          <cell r="J2473" t="str">
            <v>Scope 3Freighting goodsSea tankerProducts tanker Averagetonne.km</v>
          </cell>
          <cell r="K2473" t="str">
            <v>Freighting goods Products tanker   tonne.km</v>
          </cell>
          <cell r="L2473">
            <v>9.0339999999999986E-3</v>
          </cell>
        </row>
        <row r="2474">
          <cell r="J2474" t="str">
            <v>Scope 3Freighting goodsSea tankerChemical tanker 20,000+ dwttonne.km</v>
          </cell>
          <cell r="K2474" t="str">
            <v>Freighting goods Chemical tanker   tonne.km</v>
          </cell>
          <cell r="L2474">
            <v>8.5170000000000003E-3</v>
          </cell>
        </row>
        <row r="2475">
          <cell r="J2475" t="str">
            <v>Scope 3Freighting goodsSea tankerChemical tanker 10,000–19,999 dwttonne.km</v>
          </cell>
          <cell r="K2475" t="str">
            <v>Freighting goods Chemical tanker   tonne.km</v>
          </cell>
          <cell r="L2475">
            <v>1.095E-2</v>
          </cell>
        </row>
        <row r="2476">
          <cell r="J2476" t="str">
            <v>Scope 3Freighting goodsSea tankerChemical tanker 5000–9999 dwttonne.km</v>
          </cell>
          <cell r="K2476" t="str">
            <v>Freighting goods Chemical tanker   tonne.km</v>
          </cell>
          <cell r="L2476">
            <v>1.5310999999999998E-2</v>
          </cell>
        </row>
        <row r="2477">
          <cell r="J2477" t="str">
            <v>Scope 3Freighting goodsSea tankerChemical tanker 0–4999 dwttonne.km</v>
          </cell>
          <cell r="K2477" t="str">
            <v>Freighting goods Chemical tanker   tonne.km</v>
          </cell>
          <cell r="L2477">
            <v>2.2509000000000001E-2</v>
          </cell>
        </row>
        <row r="2478">
          <cell r="J2478" t="str">
            <v>Scope 3Freighting goodsSea tankerChemical tanker Averagetonne.km</v>
          </cell>
          <cell r="K2478" t="str">
            <v>Freighting goods Chemical tanker   tonne.km</v>
          </cell>
          <cell r="L2478">
            <v>1.0322E-2</v>
          </cell>
        </row>
        <row r="2479">
          <cell r="J2479" t="str">
            <v>Scope 3Freighting goodsSea tankerLNG tanker200,000+ m3tonne.km</v>
          </cell>
          <cell r="K2479" t="str">
            <v>Freighting goods LNG tanker  tonne.km</v>
          </cell>
          <cell r="L2479">
            <v>9.4300000000000009E-3</v>
          </cell>
        </row>
        <row r="2480">
          <cell r="J2480" t="str">
            <v>Scope 3Freighting goodsSea tankerLNG tanker0–199,999 m3tonne.km</v>
          </cell>
          <cell r="K2480" t="str">
            <v>Freighting goods LNG tanker  tonne.km</v>
          </cell>
          <cell r="L2480">
            <v>1.4701000000000001E-2</v>
          </cell>
        </row>
        <row r="2481">
          <cell r="J2481" t="str">
            <v>Scope 3Freighting goodsSea tankerLNG tankerAveragetonne.km</v>
          </cell>
          <cell r="K2481" t="str">
            <v>Freighting goods LNG tanker  tonne.km</v>
          </cell>
          <cell r="L2481">
            <v>1.1548000000000001E-2</v>
          </cell>
        </row>
        <row r="2482">
          <cell r="J2482" t="str">
            <v>Scope 3Freighting goodsSea tankerLPG Tanker50,000+ m3tonne.km</v>
          </cell>
          <cell r="K2482" t="str">
            <v>Freighting goods LPG Tanker  tonne.km</v>
          </cell>
          <cell r="L2482">
            <v>9.1259999999999987E-3</v>
          </cell>
        </row>
        <row r="2483">
          <cell r="J2483" t="str">
            <v>Scope 3Freighting goodsSea tankerLPG Tanker0–49,999 m3tonne.km</v>
          </cell>
          <cell r="K2483" t="str">
            <v>Freighting goods LPG Tanker  tonne.km</v>
          </cell>
          <cell r="L2483">
            <v>4.4104999999999998E-2</v>
          </cell>
        </row>
        <row r="2484">
          <cell r="J2484" t="str">
            <v>Scope 3Freighting goodsSea tankerLPG TankerAveragetonne.km</v>
          </cell>
          <cell r="K2484" t="str">
            <v>Freighting goods LPG Tanker  tonne.km</v>
          </cell>
          <cell r="L2484">
            <v>1.0382000000000001E-2</v>
          </cell>
        </row>
        <row r="2485">
          <cell r="J2485" t="str">
            <v>Scope 3Freighting goodsCargo shipBulk carrier200,000+ dwttonne.km</v>
          </cell>
          <cell r="K2485" t="str">
            <v>Freighting goods Bulk carrier  tonne.km</v>
          </cell>
          <cell r="L2485">
            <v>2.5350000000000004E-3</v>
          </cell>
        </row>
        <row r="2486">
          <cell r="J2486" t="str">
            <v>Scope 3Freighting goodsCargo shipBulk carrier100,000–199,999 dwttonne.km</v>
          </cell>
          <cell r="K2486" t="str">
            <v>Freighting goods Bulk carrier  tonne.km</v>
          </cell>
          <cell r="L2486">
            <v>3.042E-3</v>
          </cell>
        </row>
        <row r="2487">
          <cell r="J2487" t="str">
            <v>Scope 3Freighting goodsCargo shipBulk carrier60,000–99,999 dwttonne.km</v>
          </cell>
          <cell r="K2487" t="str">
            <v>Freighting goods Bulk carrier  tonne.km</v>
          </cell>
          <cell r="L2487">
            <v>4.1569999999999992E-3</v>
          </cell>
        </row>
        <row r="2488">
          <cell r="J2488" t="str">
            <v>Scope 3Freighting goodsCargo shipBulk carrier35,000–59,999 dwttonne.km</v>
          </cell>
          <cell r="K2488" t="str">
            <v>Freighting goods Bulk carrier  tonne.km</v>
          </cell>
          <cell r="L2488">
            <v>5.7800000000000004E-3</v>
          </cell>
        </row>
        <row r="2489">
          <cell r="J2489" t="str">
            <v>Scope 3Freighting goodsCargo shipBulk carrier10,000–34,999 dwttonne.km</v>
          </cell>
          <cell r="K2489" t="str">
            <v>Freighting goods Bulk carrier  tonne.km</v>
          </cell>
          <cell r="L2489">
            <v>8.0100000000000015E-3</v>
          </cell>
        </row>
        <row r="2490">
          <cell r="J2490" t="str">
            <v>Scope 3Freighting goodsCargo shipBulk carrier0–9999 dwttonne.km</v>
          </cell>
          <cell r="K2490" t="str">
            <v>Freighting goods Bulk carrier  tonne.km</v>
          </cell>
          <cell r="L2490">
            <v>2.9606999999999998E-2</v>
          </cell>
        </row>
        <row r="2491">
          <cell r="J2491" t="str">
            <v>Scope 3Freighting goodsCargo shipBulk carrierAveragetonne.km</v>
          </cell>
          <cell r="K2491" t="str">
            <v>Freighting goods Bulk carrier  tonne.km</v>
          </cell>
          <cell r="L2491">
            <v>3.539E-3</v>
          </cell>
        </row>
        <row r="2492">
          <cell r="J2492" t="str">
            <v>Scope 3Freighting goodsCargo shipGeneral cargo10,000+ dwttonne.km</v>
          </cell>
          <cell r="K2492" t="str">
            <v>Freighting goods General cargo  tonne.km</v>
          </cell>
          <cell r="L2492">
            <v>1.2066000000000002E-2</v>
          </cell>
        </row>
        <row r="2493">
          <cell r="J2493" t="str">
            <v>Scope 3Freighting goodsCargo shipGeneral cargo5000–9999 dwttonne.km</v>
          </cell>
          <cell r="K2493" t="str">
            <v>Freighting goods General cargo  tonne.km</v>
          </cell>
          <cell r="L2493">
            <v>1.6020000000000003E-2</v>
          </cell>
        </row>
        <row r="2494">
          <cell r="J2494" t="str">
            <v>Scope 3Freighting goodsCargo shipGeneral cargo0–4999 dwttonne.km</v>
          </cell>
          <cell r="K2494" t="str">
            <v>Freighting goods General cargo  tonne.km</v>
          </cell>
          <cell r="L2494">
            <v>1.4093000000000001E-2</v>
          </cell>
        </row>
        <row r="2495">
          <cell r="J2495" t="str">
            <v>Scope 3Freighting goodsCargo shipGeneral cargo10,000+ dwt 100+ TEUtonne.km</v>
          </cell>
          <cell r="K2495" t="str">
            <v>Freighting goods General cargo  tonne.km</v>
          </cell>
          <cell r="L2495">
            <v>1.1153E-2</v>
          </cell>
        </row>
        <row r="2496">
          <cell r="J2496" t="str">
            <v>Scope 3Freighting goodsCargo shipGeneral cargo5000–9999 dwt 100+ TEUtonne.km</v>
          </cell>
          <cell r="K2496" t="str">
            <v>Freighting goods General cargo  tonne.km</v>
          </cell>
          <cell r="L2496">
            <v>1.7743000000000002E-2</v>
          </cell>
        </row>
        <row r="2497">
          <cell r="J2497" t="str">
            <v>Scope 3Freighting goodsCargo shipGeneral cargo0–4999 dwt 100+ TEUtonne.km</v>
          </cell>
          <cell r="K2497" t="str">
            <v>Freighting goods General cargo  tonne.km</v>
          </cell>
          <cell r="L2497">
            <v>2.0076E-2</v>
          </cell>
        </row>
        <row r="2498">
          <cell r="J2498" t="str">
            <v>Scope 3Freighting goodsCargo shipGeneral cargoAveragetonne.km</v>
          </cell>
          <cell r="K2498" t="str">
            <v>Freighting goods General cargo  tonne.km</v>
          </cell>
          <cell r="L2498">
            <v>1.3232000000000001E-2</v>
          </cell>
        </row>
        <row r="2499">
          <cell r="J2499" t="str">
            <v>Scope 3Freighting goodsCargo shipContainer ship8000+ TEUtonne.km</v>
          </cell>
          <cell r="K2499" t="str">
            <v>Freighting goods Container ship  tonne.km</v>
          </cell>
          <cell r="L2499">
            <v>1.2674000000000001E-2</v>
          </cell>
        </row>
        <row r="2500">
          <cell r="J2500" t="str">
            <v>Scope 3Freighting goodsCargo shipContainer ship5000–7999 TEUtonne.km</v>
          </cell>
          <cell r="K2500" t="str">
            <v>Freighting goods Container ship  tonne.km</v>
          </cell>
          <cell r="L2500">
            <v>1.6831000000000002E-2</v>
          </cell>
        </row>
        <row r="2501">
          <cell r="J2501" t="str">
            <v>Scope 3Freighting goodsCargo shipContainer ship3000–4999 TEUtonne.km</v>
          </cell>
          <cell r="K2501" t="str">
            <v>Freighting goods Container ship  tonne.km</v>
          </cell>
          <cell r="L2501">
            <v>1.6831000000000002E-2</v>
          </cell>
        </row>
        <row r="2502">
          <cell r="J2502" t="str">
            <v>Scope 3Freighting goodsCargo shipContainer ship2000–2999 TEUtonne.km</v>
          </cell>
          <cell r="K2502" t="str">
            <v>Freighting goods Container ship  tonne.km</v>
          </cell>
          <cell r="L2502">
            <v>2.0278000000000001E-2</v>
          </cell>
        </row>
        <row r="2503">
          <cell r="J2503" t="str">
            <v>Scope 3Freighting goodsCargo shipContainer ship1000–1999 TEUtonne.km</v>
          </cell>
          <cell r="K2503" t="str">
            <v>Freighting goods Container ship  tonne.km</v>
          </cell>
          <cell r="L2503">
            <v>3.2547000000000006E-2</v>
          </cell>
        </row>
        <row r="2504">
          <cell r="J2504" t="str">
            <v>Scope 3Freighting goodsCargo shipContainer ship0–999 TEUtonne.km</v>
          </cell>
          <cell r="K2504" t="str">
            <v>Freighting goods Container ship  tonne.km</v>
          </cell>
          <cell r="L2504">
            <v>3.6804999999999997E-2</v>
          </cell>
        </row>
        <row r="2505">
          <cell r="J2505" t="str">
            <v>Scope 3Freighting goodsCargo shipContainer shipAveragetonne.km</v>
          </cell>
          <cell r="K2505" t="str">
            <v>Freighting goods Container ship  tonne.km</v>
          </cell>
          <cell r="L2505">
            <v>1.6142E-2</v>
          </cell>
        </row>
        <row r="2506">
          <cell r="J2506" t="str">
            <v>Scope 3Freighting goodsCargo shipVehicle transport4000+ CEUtonne.km</v>
          </cell>
          <cell r="K2506" t="str">
            <v>Freighting goods Vehicle transport  tonne.km</v>
          </cell>
          <cell r="L2506">
            <v>3.2446000000000003E-2</v>
          </cell>
        </row>
        <row r="2507">
          <cell r="J2507" t="str">
            <v>Scope 3Freighting goodsCargo shipVehicle transport0–3999 CEUtonne.km</v>
          </cell>
          <cell r="K2507" t="str">
            <v>Freighting goods Vehicle transport  tonne.km</v>
          </cell>
          <cell r="L2507">
            <v>5.8401000000000002E-2</v>
          </cell>
        </row>
        <row r="2508">
          <cell r="J2508" t="str">
            <v>Scope 3Freighting goodsCargo shipVehicle transportAveragetonne.km</v>
          </cell>
          <cell r="K2508" t="str">
            <v>Freighting goods Vehicle transport  tonne.km</v>
          </cell>
          <cell r="L2508">
            <v>3.8578999999999995E-2</v>
          </cell>
        </row>
        <row r="2509">
          <cell r="J2509" t="str">
            <v>Scope 3Freighting goodsCargo shipRoRo-Ferry2000+ LMtonne.km</v>
          </cell>
          <cell r="K2509" t="str">
            <v>Freighting goods RoRo-Ferry  tonne.km</v>
          </cell>
          <cell r="L2509">
            <v>5.0189000000000004E-2</v>
          </cell>
        </row>
        <row r="2510">
          <cell r="J2510" t="str">
            <v>Scope 3Freighting goodsCargo shipRoRo-Ferry0–1999 LMtonne.km</v>
          </cell>
          <cell r="K2510" t="str">
            <v>Freighting goods RoRo-Ferry  tonne.km</v>
          </cell>
          <cell r="L2510">
            <v>6.1138999999999999E-2</v>
          </cell>
        </row>
        <row r="2511">
          <cell r="J2511" t="str">
            <v>Scope 3Freighting goodsCargo shipRoRo-FerryAveragetonne.km</v>
          </cell>
          <cell r="K2511" t="str">
            <v>Freighting goods RoRo-Ferry  tonne.km</v>
          </cell>
          <cell r="L2511">
            <v>5.1659000000000004E-2</v>
          </cell>
        </row>
        <row r="2512">
          <cell r="J2512" t="str">
            <v>Scope 3Freighting goodsCargo shipLarge RoPax ferryAveragetonne.km</v>
          </cell>
          <cell r="K2512" t="str">
            <v>Freighting goods Large RoPax ferry  tonne.km</v>
          </cell>
          <cell r="L2512">
            <v>0.37667</v>
          </cell>
        </row>
        <row r="2513">
          <cell r="J2513" t="str">
            <v>Scope 3Freighting goodsCargo shipRefrigerated cargo All dwttonne.km</v>
          </cell>
          <cell r="K2513" t="str">
            <v>Freighting goods Refrigerated cargo  tonne.km</v>
          </cell>
          <cell r="L2513">
            <v>1.3080000000000001E-2</v>
          </cell>
        </row>
        <row r="2514">
          <cell r="J2514" t="str">
            <v>Scope 3Waste disposalConstructionAggregatesRe-usetonnes</v>
          </cell>
          <cell r="K2514" t="str">
            <v>Aggregates</v>
          </cell>
        </row>
        <row r="2515">
          <cell r="J2515" t="str">
            <v>Scope 3Waste disposalConstructionAggregatesOpen-looptonnes</v>
          </cell>
          <cell r="K2515" t="str">
            <v>Aggregates</v>
          </cell>
          <cell r="L2515">
            <v>0.98914159999999995</v>
          </cell>
        </row>
        <row r="2516">
          <cell r="J2516" t="str">
            <v>Scope 3Waste disposalConstructionAggregatesClosed-looptonnes</v>
          </cell>
          <cell r="K2516" t="str">
            <v>Aggregates</v>
          </cell>
          <cell r="L2516">
            <v>0.98914159999999995</v>
          </cell>
        </row>
        <row r="2517">
          <cell r="J2517" t="str">
            <v>Scope 3Waste disposalConstructionAggregatesCombustiontonnes</v>
          </cell>
          <cell r="K2517" t="str">
            <v>Aggregates</v>
          </cell>
        </row>
        <row r="2518">
          <cell r="J2518" t="str">
            <v>Scope 3Waste disposalConstructionAggregatesCompostingtonnes</v>
          </cell>
          <cell r="K2518" t="str">
            <v>Aggregates</v>
          </cell>
        </row>
        <row r="2519">
          <cell r="J2519" t="str">
            <v>Scope 3Waste disposalConstructionAggregatesLandfilltonnes</v>
          </cell>
          <cell r="K2519" t="str">
            <v>Aggregates</v>
          </cell>
          <cell r="L2519">
            <v>1.2393136</v>
          </cell>
        </row>
        <row r="2520">
          <cell r="J2520" t="str">
            <v>Scope 3Waste disposalConstructionAverage constructionRe-usetonnes</v>
          </cell>
          <cell r="K2520" t="str">
            <v>Average construction</v>
          </cell>
        </row>
        <row r="2521">
          <cell r="J2521" t="str">
            <v>Scope 3Waste disposalConstructionAverage constructionOpen-looptonnes</v>
          </cell>
          <cell r="K2521" t="str">
            <v>Average construction</v>
          </cell>
          <cell r="L2521">
            <v>0.98914159999999995</v>
          </cell>
        </row>
        <row r="2522">
          <cell r="J2522" t="str">
            <v>Scope 3Waste disposalConstructionAverage constructionClosed-looptonnes</v>
          </cell>
          <cell r="K2522" t="str">
            <v>Average construction</v>
          </cell>
          <cell r="L2522">
            <v>0.98914159999999995</v>
          </cell>
        </row>
        <row r="2523">
          <cell r="J2523" t="str">
            <v>Scope 3Waste disposalConstructionAverage constructionCombustiontonnes</v>
          </cell>
          <cell r="K2523" t="str">
            <v>Average construction</v>
          </cell>
        </row>
        <row r="2524">
          <cell r="J2524" t="str">
            <v>Scope 3Waste disposalConstructionAverage constructionCompostingtonnes</v>
          </cell>
          <cell r="K2524" t="str">
            <v>Average construction</v>
          </cell>
        </row>
        <row r="2525">
          <cell r="J2525" t="str">
            <v>Scope 3Waste disposalConstructionAverage constructionLandfilltonnes</v>
          </cell>
          <cell r="K2525" t="str">
            <v>Average construction</v>
          </cell>
        </row>
        <row r="2526">
          <cell r="J2526" t="str">
            <v>Scope 3Waste disposalConstructionAsbestosRe-usetonnes</v>
          </cell>
          <cell r="K2526" t="str">
            <v>Asbestos</v>
          </cell>
        </row>
        <row r="2527">
          <cell r="J2527" t="str">
            <v>Scope 3Waste disposalConstructionAsbestosOpen-looptonnes</v>
          </cell>
          <cell r="K2527" t="str">
            <v>Asbestos</v>
          </cell>
        </row>
        <row r="2528">
          <cell r="J2528" t="str">
            <v>Scope 3Waste disposalConstructionAsbestosClosed-looptonnes</v>
          </cell>
          <cell r="K2528" t="str">
            <v>Asbestos</v>
          </cell>
        </row>
        <row r="2529">
          <cell r="J2529" t="str">
            <v>Scope 3Waste disposalConstructionAsbestosCombustiontonnes</v>
          </cell>
          <cell r="K2529" t="str">
            <v>Asbestos</v>
          </cell>
        </row>
        <row r="2530">
          <cell r="J2530" t="str">
            <v>Scope 3Waste disposalConstructionAsbestosCompostingtonnes</v>
          </cell>
          <cell r="K2530" t="str">
            <v>Asbestos</v>
          </cell>
        </row>
        <row r="2531">
          <cell r="J2531" t="str">
            <v>Scope 3Waste disposalConstructionAsbestosLandfilltonnes</v>
          </cell>
          <cell r="K2531" t="str">
            <v>Asbestos</v>
          </cell>
          <cell r="L2531">
            <v>5.9184263565891468</v>
          </cell>
        </row>
        <row r="2532">
          <cell r="J2532" t="str">
            <v>Scope 3Waste disposalConstructionAsphaltRe-usetonnes</v>
          </cell>
          <cell r="K2532" t="str">
            <v>Asphalt</v>
          </cell>
        </row>
        <row r="2533">
          <cell r="J2533" t="str">
            <v>Scope 3Waste disposalConstructionAsphaltOpen-looptonnes</v>
          </cell>
          <cell r="K2533" t="str">
            <v>Asphalt</v>
          </cell>
          <cell r="L2533">
            <v>0.98914159999999995</v>
          </cell>
        </row>
        <row r="2534">
          <cell r="J2534" t="str">
            <v>Scope 3Waste disposalConstructionAsphaltClosed-looptonnes</v>
          </cell>
          <cell r="K2534" t="str">
            <v>Asphalt</v>
          </cell>
          <cell r="L2534">
            <v>0.98914159999999995</v>
          </cell>
        </row>
        <row r="2535">
          <cell r="J2535" t="str">
            <v>Scope 3Waste disposalConstructionAsphaltCombustiontonnes</v>
          </cell>
          <cell r="K2535" t="str">
            <v>Asphalt</v>
          </cell>
        </row>
        <row r="2536">
          <cell r="J2536" t="str">
            <v>Scope 3Waste disposalConstructionAsphaltCompostingtonnes</v>
          </cell>
          <cell r="K2536" t="str">
            <v>Asphalt</v>
          </cell>
        </row>
        <row r="2537">
          <cell r="J2537" t="str">
            <v>Scope 3Waste disposalConstructionAsphaltLandfilltonnes</v>
          </cell>
          <cell r="K2537" t="str">
            <v>Asphalt</v>
          </cell>
          <cell r="L2537">
            <v>1.2393136</v>
          </cell>
        </row>
        <row r="2538">
          <cell r="J2538" t="str">
            <v>Scope 3Waste disposalConstructionBricksRe-usetonnes</v>
          </cell>
          <cell r="K2538" t="str">
            <v>Bricks</v>
          </cell>
        </row>
        <row r="2539">
          <cell r="J2539" t="str">
            <v>Scope 3Waste disposalConstructionBricksOpen-looptonnes</v>
          </cell>
          <cell r="K2539" t="str">
            <v>Bricks</v>
          </cell>
          <cell r="L2539">
            <v>0.98914159999999995</v>
          </cell>
        </row>
        <row r="2540">
          <cell r="J2540" t="str">
            <v>Scope 3Waste disposalConstructionBricksClosed-looptonnes</v>
          </cell>
          <cell r="K2540" t="str">
            <v>Bricks</v>
          </cell>
        </row>
        <row r="2541">
          <cell r="J2541" t="str">
            <v>Scope 3Waste disposalConstructionBricksCombustiontonnes</v>
          </cell>
          <cell r="K2541" t="str">
            <v>Bricks</v>
          </cell>
        </row>
        <row r="2542">
          <cell r="J2542" t="str">
            <v>Scope 3Waste disposalConstructionBricksCompostingtonnes</v>
          </cell>
          <cell r="K2542" t="str">
            <v>Bricks</v>
          </cell>
        </row>
        <row r="2543">
          <cell r="J2543" t="str">
            <v>Scope 3Waste disposalConstructionBricksLandfilltonnes</v>
          </cell>
          <cell r="K2543" t="str">
            <v>Bricks</v>
          </cell>
          <cell r="L2543">
            <v>1.2393136</v>
          </cell>
        </row>
        <row r="2544">
          <cell r="J2544" t="str">
            <v>Scope 3Waste disposalConstructionConcreteRe-usetonnes</v>
          </cell>
          <cell r="K2544" t="str">
            <v>Concrete</v>
          </cell>
        </row>
        <row r="2545">
          <cell r="J2545" t="str">
            <v>Scope 3Waste disposalConstructionConcreteOpen-looptonnes</v>
          </cell>
          <cell r="K2545" t="str">
            <v>Concrete</v>
          </cell>
          <cell r="L2545">
            <v>0.98914159999999995</v>
          </cell>
        </row>
        <row r="2546">
          <cell r="J2546" t="str">
            <v>Scope 3Waste disposalConstructionConcreteClosed-looptonnes</v>
          </cell>
          <cell r="K2546" t="str">
            <v>Concrete</v>
          </cell>
          <cell r="L2546">
            <v>0.98914159999999995</v>
          </cell>
        </row>
        <row r="2547">
          <cell r="J2547" t="str">
            <v>Scope 3Waste disposalConstructionConcreteCombustiontonnes</v>
          </cell>
          <cell r="K2547" t="str">
            <v>Concrete</v>
          </cell>
        </row>
        <row r="2548">
          <cell r="J2548" t="str">
            <v>Scope 3Waste disposalConstructionConcreteCompostingtonnes</v>
          </cell>
          <cell r="K2548" t="str">
            <v>Concrete</v>
          </cell>
        </row>
        <row r="2549">
          <cell r="J2549" t="str">
            <v>Scope 3Waste disposalConstructionConcreteLandfilltonnes</v>
          </cell>
          <cell r="K2549" t="str">
            <v>Concrete</v>
          </cell>
          <cell r="L2549">
            <v>1.2393136</v>
          </cell>
        </row>
        <row r="2550">
          <cell r="J2550" t="str">
            <v>Scope 3Waste disposalConstructionInsulationRe-usetonnes</v>
          </cell>
          <cell r="K2550" t="str">
            <v>Insulation</v>
          </cell>
        </row>
        <row r="2551">
          <cell r="J2551" t="str">
            <v>Scope 3Waste disposalConstructionInsulationOpen-looptonnes</v>
          </cell>
          <cell r="K2551" t="str">
            <v>Insulation</v>
          </cell>
        </row>
        <row r="2552">
          <cell r="J2552" t="str">
            <v>Scope 3Waste disposalConstructionInsulationClosed-looptonnes</v>
          </cell>
          <cell r="K2552" t="str">
            <v>Insulation</v>
          </cell>
          <cell r="L2552">
            <v>0.98914159999999995</v>
          </cell>
        </row>
        <row r="2553">
          <cell r="J2553" t="str">
            <v>Scope 3Waste disposalConstructionInsulationCombustiontonnes</v>
          </cell>
          <cell r="K2553" t="str">
            <v>Insulation</v>
          </cell>
        </row>
        <row r="2554">
          <cell r="J2554" t="str">
            <v>Scope 3Waste disposalConstructionInsulationCompostingtonnes</v>
          </cell>
          <cell r="K2554" t="str">
            <v>Insulation</v>
          </cell>
        </row>
        <row r="2555">
          <cell r="J2555" t="str">
            <v>Scope 3Waste disposalConstructionInsulationLandfilltonnes</v>
          </cell>
          <cell r="K2555" t="str">
            <v>Insulation</v>
          </cell>
          <cell r="L2555">
            <v>1.2393136</v>
          </cell>
        </row>
        <row r="2556">
          <cell r="J2556" t="str">
            <v>Scope 3Waste disposalConstructionMetalsRe-usetonnes</v>
          </cell>
          <cell r="K2556" t="str">
            <v>Metals</v>
          </cell>
        </row>
        <row r="2557">
          <cell r="J2557" t="str">
            <v>Scope 3Waste disposalConstructionMetalsOpen-looptonnes</v>
          </cell>
          <cell r="K2557" t="str">
            <v>Metals</v>
          </cell>
        </row>
        <row r="2558">
          <cell r="J2558" t="str">
            <v>Scope 3Waste disposalConstructionMetalsClosed-looptonnes</v>
          </cell>
          <cell r="K2558" t="str">
            <v>Metals</v>
          </cell>
          <cell r="L2558">
            <v>0.98914159999999995</v>
          </cell>
        </row>
        <row r="2559">
          <cell r="J2559" t="str">
            <v>Scope 3Waste disposalConstructionMetalsCombustiontonnes</v>
          </cell>
          <cell r="K2559" t="str">
            <v>Metals</v>
          </cell>
        </row>
        <row r="2560">
          <cell r="J2560" t="str">
            <v>Scope 3Waste disposalConstructionMetalsCompostingtonnes</v>
          </cell>
          <cell r="K2560" t="str">
            <v>Metals</v>
          </cell>
        </row>
        <row r="2561">
          <cell r="J2561" t="str">
            <v>Scope 3Waste disposalConstructionMetalsLandfilltonnes</v>
          </cell>
          <cell r="K2561" t="str">
            <v>Metals</v>
          </cell>
          <cell r="L2561">
            <v>1.2643491</v>
          </cell>
        </row>
        <row r="2562">
          <cell r="J2562" t="str">
            <v>Scope 3Waste disposalConstructionSoilsRe-usetonnes</v>
          </cell>
          <cell r="K2562" t="str">
            <v>Soils</v>
          </cell>
        </row>
        <row r="2563">
          <cell r="J2563" t="str">
            <v>Scope 3Waste disposalConstructionSoilsOpen-looptonnes</v>
          </cell>
          <cell r="K2563" t="str">
            <v>Soils</v>
          </cell>
        </row>
        <row r="2564">
          <cell r="J2564" t="str">
            <v>Scope 3Waste disposalConstructionSoilsClosed-looptonnes</v>
          </cell>
          <cell r="K2564" t="str">
            <v>Soils</v>
          </cell>
          <cell r="L2564">
            <v>0.98914159999999995</v>
          </cell>
        </row>
        <row r="2565">
          <cell r="J2565" t="str">
            <v>Scope 3Waste disposalConstructionSoilsCombustiontonnes</v>
          </cell>
          <cell r="K2565" t="str">
            <v>Soils</v>
          </cell>
        </row>
        <row r="2566">
          <cell r="J2566" t="str">
            <v>Scope 3Waste disposalConstructionSoilsCompostingtonnes</v>
          </cell>
          <cell r="K2566" t="str">
            <v>Soils</v>
          </cell>
        </row>
        <row r="2567">
          <cell r="J2567" t="str">
            <v>Scope 3Waste disposalConstructionSoilsLandfilltonnes</v>
          </cell>
          <cell r="K2567" t="str">
            <v>Soils</v>
          </cell>
          <cell r="L2567">
            <v>17.582694949286356</v>
          </cell>
        </row>
        <row r="2568">
          <cell r="J2568" t="str">
            <v>Scope 3Waste disposalConstructionMineral oilRe-usetonnes</v>
          </cell>
          <cell r="K2568" t="str">
            <v>Mineral oil</v>
          </cell>
        </row>
        <row r="2569">
          <cell r="J2569" t="str">
            <v>Scope 3Waste disposalConstructionMineral oilOpen-looptonnes</v>
          </cell>
          <cell r="K2569" t="str">
            <v>Mineral oil</v>
          </cell>
        </row>
        <row r="2570">
          <cell r="J2570" t="str">
            <v>Scope 3Waste disposalConstructionMineral oilClosed-looptonnes</v>
          </cell>
          <cell r="K2570" t="str">
            <v>Mineral oil</v>
          </cell>
          <cell r="L2570">
            <v>21.293565891472866</v>
          </cell>
        </row>
        <row r="2571">
          <cell r="J2571" t="str">
            <v>Scope 3Waste disposalConstructionMineral oilCombustiontonnes</v>
          </cell>
          <cell r="K2571" t="str">
            <v>Mineral oil</v>
          </cell>
          <cell r="L2571">
            <v>21.293565891472866</v>
          </cell>
        </row>
        <row r="2572">
          <cell r="J2572" t="str">
            <v>Scope 3Waste disposalConstructionMineral oilCompostingtonnes</v>
          </cell>
          <cell r="K2572" t="str">
            <v>Mineral oil</v>
          </cell>
        </row>
        <row r="2573">
          <cell r="J2573" t="str">
            <v>Scope 3Waste disposalConstructionMineral oilLandfilltonnes</v>
          </cell>
          <cell r="K2573" t="str">
            <v>Mineral oil</v>
          </cell>
        </row>
        <row r="2574">
          <cell r="J2574" t="str">
            <v>Scope 3Waste disposalConstructionPlasterboardRe-usetonnes</v>
          </cell>
          <cell r="K2574" t="str">
            <v>Plasterboard</v>
          </cell>
        </row>
        <row r="2575">
          <cell r="J2575" t="str">
            <v>Scope 3Waste disposalConstructionPlasterboardOpen-looptonnes</v>
          </cell>
          <cell r="K2575" t="str">
            <v>Plasterboard</v>
          </cell>
        </row>
        <row r="2576">
          <cell r="J2576" t="str">
            <v>Scope 3Waste disposalConstructionPlasterboardClosed-looptonnes</v>
          </cell>
          <cell r="K2576" t="str">
            <v>Plasterboard</v>
          </cell>
          <cell r="L2576">
            <v>21.293565891472866</v>
          </cell>
        </row>
        <row r="2577">
          <cell r="J2577" t="str">
            <v>Scope 3Waste disposalConstructionPlasterboardCombustiontonnes</v>
          </cell>
          <cell r="K2577" t="str">
            <v>Plasterboard</v>
          </cell>
        </row>
        <row r="2578">
          <cell r="J2578" t="str">
            <v>Scope 3Waste disposalConstructionPlasterboardCompostingtonnes</v>
          </cell>
          <cell r="K2578" t="str">
            <v>Plasterboard</v>
          </cell>
        </row>
        <row r="2579">
          <cell r="J2579" t="str">
            <v>Scope 3Waste disposalConstructionPlasterboardLandfilltonnes</v>
          </cell>
          <cell r="K2579" t="str">
            <v>Plasterboard</v>
          </cell>
          <cell r="L2579">
            <v>71.95</v>
          </cell>
        </row>
        <row r="2580">
          <cell r="J2580" t="str">
            <v>Scope 3Waste disposalConstructionTyresRe-usetonnes</v>
          </cell>
          <cell r="K2580" t="str">
            <v>Tyres</v>
          </cell>
        </row>
        <row r="2581">
          <cell r="J2581" t="str">
            <v>Scope 3Waste disposalConstructionTyresOpen-looptonnes</v>
          </cell>
          <cell r="K2581" t="str">
            <v>Tyres</v>
          </cell>
        </row>
        <row r="2582">
          <cell r="J2582" t="str">
            <v>Scope 3Waste disposalConstructionTyresClosed-looptonnes</v>
          </cell>
          <cell r="K2582" t="str">
            <v>Tyres</v>
          </cell>
          <cell r="L2582">
            <v>21.293565891472866</v>
          </cell>
        </row>
        <row r="2583">
          <cell r="J2583" t="str">
            <v>Scope 3Waste disposalConstructionTyresCombustiontonnes</v>
          </cell>
          <cell r="K2583" t="str">
            <v>Tyres</v>
          </cell>
        </row>
        <row r="2584">
          <cell r="J2584" t="str">
            <v>Scope 3Waste disposalConstructionTyresCompostingtonnes</v>
          </cell>
          <cell r="K2584" t="str">
            <v>Tyres</v>
          </cell>
        </row>
        <row r="2585">
          <cell r="J2585" t="str">
            <v>Scope 3Waste disposalConstructionTyresLandfilltonnes</v>
          </cell>
          <cell r="K2585" t="str">
            <v>Tyres</v>
          </cell>
        </row>
        <row r="2586">
          <cell r="J2586" t="str">
            <v>Scope 3Waste disposalConstructionWoodRe-usetonnes</v>
          </cell>
          <cell r="K2586" t="str">
            <v>Wood</v>
          </cell>
        </row>
        <row r="2587">
          <cell r="J2587" t="str">
            <v>Scope 3Waste disposalConstructionWoodOpen-looptonnes</v>
          </cell>
          <cell r="K2587" t="str">
            <v>Wood</v>
          </cell>
        </row>
        <row r="2588">
          <cell r="J2588" t="str">
            <v>Scope 3Waste disposalConstructionWoodClosed-looptonnes</v>
          </cell>
          <cell r="K2588" t="str">
            <v>Wood</v>
          </cell>
          <cell r="L2588">
            <v>21.293565891472866</v>
          </cell>
        </row>
        <row r="2589">
          <cell r="J2589" t="str">
            <v>Scope 3Waste disposalConstructionWoodCombustiontonnes</v>
          </cell>
          <cell r="K2589" t="str">
            <v>Wood</v>
          </cell>
          <cell r="L2589">
            <v>21.293565891472866</v>
          </cell>
        </row>
        <row r="2590">
          <cell r="J2590" t="str">
            <v>Scope 3Waste disposalConstructionWoodCompostingtonnes</v>
          </cell>
          <cell r="K2590" t="str">
            <v>Wood</v>
          </cell>
          <cell r="L2590">
            <v>8.9506976744186044</v>
          </cell>
        </row>
        <row r="2591">
          <cell r="J2591" t="str">
            <v>Scope 3Waste disposalConstructionWoodLandfilltonnes</v>
          </cell>
          <cell r="K2591" t="str">
            <v>Wood</v>
          </cell>
          <cell r="L2591">
            <v>828.03226547429415</v>
          </cell>
        </row>
        <row r="2592">
          <cell r="J2592" t="str">
            <v>Scope 3Waste disposalOtherBooksRe-usetonnes</v>
          </cell>
          <cell r="K2592" t="str">
            <v>Books</v>
          </cell>
        </row>
        <row r="2593">
          <cell r="J2593" t="str">
            <v>Scope 3Waste disposalOtherBooksOpen-looptonnes</v>
          </cell>
          <cell r="K2593" t="str">
            <v>Books</v>
          </cell>
        </row>
        <row r="2594">
          <cell r="J2594" t="str">
            <v>Scope 3Waste disposalOtherBooksClosed-looptonnes</v>
          </cell>
          <cell r="K2594" t="str">
            <v>Books</v>
          </cell>
          <cell r="L2594">
            <v>21.293565891472866</v>
          </cell>
        </row>
        <row r="2595">
          <cell r="J2595" t="str">
            <v>Scope 3Waste disposalOtherBooksCombustiontonnes</v>
          </cell>
          <cell r="K2595" t="str">
            <v>Books</v>
          </cell>
          <cell r="L2595">
            <v>21.293565891472866</v>
          </cell>
        </row>
        <row r="2596">
          <cell r="J2596" t="str">
            <v>Scope 3Waste disposalOtherBooksCompostingtonnes</v>
          </cell>
          <cell r="K2596" t="str">
            <v>Books</v>
          </cell>
        </row>
        <row r="2597">
          <cell r="J2597" t="str">
            <v>Scope 3Waste disposalOtherBooksLandfilltonnes</v>
          </cell>
          <cell r="K2597" t="str">
            <v>Books</v>
          </cell>
          <cell r="L2597">
            <v>1041.8036935229597</v>
          </cell>
        </row>
        <row r="2598">
          <cell r="J2598" t="str">
            <v>Scope 3Waste disposalOtherGlassRe-usetonnes</v>
          </cell>
          <cell r="K2598" t="str">
            <v>Glass</v>
          </cell>
        </row>
        <row r="2599">
          <cell r="J2599" t="str">
            <v>Scope 3Waste disposalOtherGlassOpen-looptonnes</v>
          </cell>
          <cell r="K2599" t="str">
            <v>Glass</v>
          </cell>
          <cell r="L2599">
            <v>21.293565891472866</v>
          </cell>
        </row>
        <row r="2600">
          <cell r="J2600" t="str">
            <v>Scope 3Waste disposalOtherGlassClosed-looptonnes</v>
          </cell>
          <cell r="K2600" t="str">
            <v>Glass</v>
          </cell>
          <cell r="L2600">
            <v>21.293565891472866</v>
          </cell>
        </row>
        <row r="2601">
          <cell r="J2601" t="str">
            <v>Scope 3Waste disposalOtherGlassCombustiontonnes</v>
          </cell>
          <cell r="K2601" t="str">
            <v>Glass</v>
          </cell>
          <cell r="L2601">
            <v>21.293565891472866</v>
          </cell>
        </row>
        <row r="2602">
          <cell r="J2602" t="str">
            <v>Scope 3Waste disposalOtherGlassCompostingtonnes</v>
          </cell>
          <cell r="K2602" t="str">
            <v>Glass</v>
          </cell>
        </row>
        <row r="2603">
          <cell r="J2603" t="str">
            <v>Scope 3Waste disposalOtherGlassLandfilltonnes</v>
          </cell>
          <cell r="K2603" t="str">
            <v>Glass</v>
          </cell>
          <cell r="L2603">
            <v>8.9019922480620153</v>
          </cell>
        </row>
        <row r="2604">
          <cell r="J2604" t="str">
            <v>Scope 3Waste disposalOtherClothingRe-usetonnes</v>
          </cell>
          <cell r="K2604" t="str">
            <v>Clothing</v>
          </cell>
        </row>
        <row r="2605">
          <cell r="J2605" t="str">
            <v>Scope 3Waste disposalOtherClothingOpen-looptonnes</v>
          </cell>
          <cell r="K2605" t="str">
            <v>Clothing</v>
          </cell>
        </row>
        <row r="2606">
          <cell r="J2606" t="str">
            <v>Scope 3Waste disposalOtherClothingClosed-looptonnes</v>
          </cell>
          <cell r="K2606" t="str">
            <v>Clothing</v>
          </cell>
          <cell r="L2606">
            <v>21.293565891472866</v>
          </cell>
        </row>
        <row r="2607">
          <cell r="J2607" t="str">
            <v>Scope 3Waste disposalOtherClothingCombustiontonnes</v>
          </cell>
          <cell r="K2607" t="str">
            <v>Clothing</v>
          </cell>
          <cell r="L2607">
            <v>21.293565891472866</v>
          </cell>
        </row>
        <row r="2608">
          <cell r="J2608" t="str">
            <v>Scope 3Waste disposalOtherClothingCompostingtonnes</v>
          </cell>
          <cell r="K2608" t="str">
            <v>Clothing</v>
          </cell>
        </row>
        <row r="2609">
          <cell r="J2609" t="str">
            <v>Scope 3Waste disposalOtherClothingLandfilltonnes</v>
          </cell>
          <cell r="K2609" t="str">
            <v>Clothing</v>
          </cell>
          <cell r="L2609">
            <v>444.94340664702185</v>
          </cell>
        </row>
        <row r="2610">
          <cell r="J2610" t="str">
            <v>Scope 3Waste disposalRefuseHousehold residual wasteOpen-looptonnes</v>
          </cell>
          <cell r="K2610" t="str">
            <v>Household residual waste</v>
          </cell>
          <cell r="L2610">
            <v>21.293565891472866</v>
          </cell>
        </row>
        <row r="2611">
          <cell r="J2611" t="str">
            <v>Scope 3Waste disposalRefuseHousehold residual wasteClosed-looptonnes</v>
          </cell>
          <cell r="K2611" t="str">
            <v>Household residual waste</v>
          </cell>
          <cell r="L2611">
            <v>21.293565891472866</v>
          </cell>
        </row>
        <row r="2612">
          <cell r="J2612" t="str">
            <v>Scope 3Waste disposalRefuseHousehold residual wasteCombustiontonnes</v>
          </cell>
          <cell r="K2612" t="str">
            <v>Household residual waste</v>
          </cell>
          <cell r="L2612">
            <v>21.293565891472866</v>
          </cell>
        </row>
        <row r="2613">
          <cell r="J2613" t="str">
            <v>Scope 3Waste disposalRefuseHousehold residual wasteAnaerobic digestiontonnes</v>
          </cell>
          <cell r="K2613" t="str">
            <v>Household residual waste</v>
          </cell>
          <cell r="L2613">
            <v>8.9506976744186044</v>
          </cell>
        </row>
        <row r="2614">
          <cell r="J2614" t="str">
            <v>Scope 3Waste disposalRefuseHousehold residual wasteCompostingtonnes</v>
          </cell>
          <cell r="K2614" t="str">
            <v>Household residual waste</v>
          </cell>
          <cell r="L2614">
            <v>8.9506976744186044</v>
          </cell>
        </row>
        <row r="2615">
          <cell r="J2615" t="str">
            <v>Scope 3Waste disposalRefuseHousehold residual wasteLandfilltonnes</v>
          </cell>
          <cell r="K2615" t="str">
            <v>Household residual waste</v>
          </cell>
          <cell r="L2615">
            <v>446.24149999999997</v>
          </cell>
        </row>
        <row r="2616">
          <cell r="J2616" t="str">
            <v>Scope 3Waste disposalRefuseOrganic: food and drink wasteOpen-looptonnes</v>
          </cell>
          <cell r="K2616" t="str">
            <v>Organic: food and drink waste</v>
          </cell>
        </row>
        <row r="2617">
          <cell r="J2617" t="str">
            <v>Scope 3Waste disposalRefuseOrganic: food and drink wasteClosed-looptonnes</v>
          </cell>
          <cell r="K2617" t="str">
            <v>Organic: food and drink waste</v>
          </cell>
        </row>
        <row r="2618">
          <cell r="J2618" t="str">
            <v>Scope 3Waste disposalRefuseOrganic: food and drink wasteCombustiontonnes</v>
          </cell>
          <cell r="K2618" t="str">
            <v>Organic: food and drink waste</v>
          </cell>
          <cell r="L2618">
            <v>21.293565891472866</v>
          </cell>
        </row>
        <row r="2619">
          <cell r="J2619" t="str">
            <v>Scope 3Waste disposalRefuseOrganic: food and drink wasteAnaerobic digestiontonnes</v>
          </cell>
          <cell r="K2619" t="str">
            <v>Organic: food and drink waste</v>
          </cell>
          <cell r="L2619">
            <v>8.9506976744186044</v>
          </cell>
        </row>
        <row r="2620">
          <cell r="J2620" t="str">
            <v>Scope 3Waste disposalRefuseOrganic: food and drink wasteCompostingtonnes</v>
          </cell>
          <cell r="K2620" t="str">
            <v>Organic: food and drink waste</v>
          </cell>
          <cell r="L2620">
            <v>8.9506976744186044</v>
          </cell>
        </row>
        <row r="2621">
          <cell r="J2621" t="str">
            <v>Scope 3Waste disposalRefuseOrganic: food and drink wasteLandfilltonnes</v>
          </cell>
          <cell r="K2621" t="str">
            <v>Organic: food and drink waste</v>
          </cell>
          <cell r="L2621">
            <v>626.87486615417743</v>
          </cell>
        </row>
        <row r="2622">
          <cell r="J2622" t="str">
            <v>Scope 3Waste disposalRefuseOrganic: garden wasteOpen-looptonnes</v>
          </cell>
          <cell r="K2622" t="str">
            <v>Organic: garden waste</v>
          </cell>
        </row>
        <row r="2623">
          <cell r="J2623" t="str">
            <v>Scope 3Waste disposalRefuseOrganic: garden wasteClosed-looptonnes</v>
          </cell>
          <cell r="K2623" t="str">
            <v>Organic: garden waste</v>
          </cell>
        </row>
        <row r="2624">
          <cell r="J2624" t="str">
            <v>Scope 3Waste disposalRefuseOrganic: garden wasteCombustiontonnes</v>
          </cell>
          <cell r="K2624" t="str">
            <v>Organic: garden waste</v>
          </cell>
          <cell r="L2624">
            <v>21.293565891472866</v>
          </cell>
        </row>
        <row r="2625">
          <cell r="J2625" t="str">
            <v>Scope 3Waste disposalRefuseOrganic: garden wasteAnaerobic digestiontonnes</v>
          </cell>
          <cell r="K2625" t="str">
            <v>Organic: garden waste</v>
          </cell>
          <cell r="L2625">
            <v>8.9506976744186044</v>
          </cell>
        </row>
        <row r="2626">
          <cell r="J2626" t="str">
            <v>Scope 3Waste disposalRefuseOrganic: garden wasteCompostingtonnes</v>
          </cell>
          <cell r="K2626" t="str">
            <v>Organic: garden waste</v>
          </cell>
          <cell r="L2626">
            <v>8.9506976744186044</v>
          </cell>
        </row>
        <row r="2627">
          <cell r="J2627" t="str">
            <v>Scope 3Waste disposalRefuseOrganic: garden wasteLandfilltonnes</v>
          </cell>
          <cell r="K2627" t="str">
            <v>Organic: garden waste</v>
          </cell>
          <cell r="L2627">
            <v>578.95913371117013</v>
          </cell>
        </row>
        <row r="2628">
          <cell r="J2628" t="str">
            <v>Scope 3Waste disposalRefuseOrganic: mixed food and garden wasteOpen-looptonnes</v>
          </cell>
          <cell r="K2628" t="str">
            <v>Organic: mixed food and garden waste</v>
          </cell>
        </row>
        <row r="2629">
          <cell r="J2629" t="str">
            <v>Scope 3Waste disposalRefuseOrganic: mixed food and garden wasteClosed-looptonnes</v>
          </cell>
          <cell r="K2629" t="str">
            <v>Organic: mixed food and garden waste</v>
          </cell>
        </row>
        <row r="2630">
          <cell r="J2630" t="str">
            <v>Scope 3Waste disposalRefuseOrganic: mixed food and garden wasteCombustiontonnes</v>
          </cell>
          <cell r="K2630" t="str">
            <v>Organic: mixed food and garden waste</v>
          </cell>
          <cell r="L2630">
            <v>21.293565891472866</v>
          </cell>
        </row>
        <row r="2631">
          <cell r="J2631" t="str">
            <v>Scope 3Waste disposalRefuseOrganic: mixed food and garden wasteAnaerobic digestiontonnes</v>
          </cell>
          <cell r="K2631" t="str">
            <v>Organic: mixed food and garden waste</v>
          </cell>
          <cell r="L2631">
            <v>8.9506976744186044</v>
          </cell>
        </row>
        <row r="2632">
          <cell r="J2632" t="str">
            <v>Scope 3Waste disposalRefuseOrganic: mixed food and garden wasteCompostingtonnes</v>
          </cell>
          <cell r="K2632" t="str">
            <v>Organic: mixed food and garden waste</v>
          </cell>
          <cell r="L2632">
            <v>8.9506976744186044</v>
          </cell>
        </row>
        <row r="2633">
          <cell r="J2633" t="str">
            <v>Scope 3Waste disposalRefuseOrganic: mixed food and garden wasteLandfilltonnes</v>
          </cell>
          <cell r="K2633" t="str">
            <v>Organic: mixed food and garden waste</v>
          </cell>
          <cell r="L2633">
            <v>587.34438688869636</v>
          </cell>
        </row>
        <row r="2634">
          <cell r="J2634" t="str">
            <v>Scope 3Waste disposalRefuseCommercial and industrial wasteOpen-looptonnes</v>
          </cell>
          <cell r="K2634" t="str">
            <v>Commercial and industrial waste</v>
          </cell>
        </row>
        <row r="2635">
          <cell r="J2635" t="str">
            <v>Scope 3Waste disposalRefuseCommercial and industrial wasteClosed-looptonnes</v>
          </cell>
          <cell r="K2635" t="str">
            <v>Commercial and industrial waste</v>
          </cell>
          <cell r="L2635">
            <v>21.293565891472866</v>
          </cell>
        </row>
        <row r="2636">
          <cell r="J2636" t="str">
            <v>Scope 3Waste disposalRefuseCommercial and industrial wasteCombustiontonnes</v>
          </cell>
          <cell r="K2636" t="str">
            <v>Commercial and industrial waste</v>
          </cell>
          <cell r="L2636">
            <v>21.293565891472866</v>
          </cell>
        </row>
        <row r="2637">
          <cell r="J2637" t="str">
            <v>Scope 3Waste disposalRefuseCommercial and industrial wasteAnaerobic digestiontonnes</v>
          </cell>
          <cell r="K2637" t="str">
            <v>Commercial and industrial waste</v>
          </cell>
          <cell r="L2637">
            <v>8.9506976744186044</v>
          </cell>
        </row>
        <row r="2638">
          <cell r="J2638" t="str">
            <v>Scope 3Waste disposalRefuseCommercial and industrial wasteCompostingtonnes</v>
          </cell>
          <cell r="K2638" t="str">
            <v>Commercial and industrial waste</v>
          </cell>
          <cell r="L2638">
            <v>8.9506976744186044</v>
          </cell>
        </row>
        <row r="2639">
          <cell r="J2639" t="str">
            <v>Scope 3Waste disposalRefuseCommercial and industrial wasteLandfilltonnes</v>
          </cell>
          <cell r="K2639" t="str">
            <v>Commercial and industrial waste</v>
          </cell>
          <cell r="L2639">
            <v>467.04579999999999</v>
          </cell>
        </row>
        <row r="2640">
          <cell r="J2640" t="str">
            <v>Scope 3Waste disposalElectrical itemsWEEE - fridges and freezersRe-usetonnes</v>
          </cell>
          <cell r="K2640" t="str">
            <v>WEEE - fridges and freezers</v>
          </cell>
        </row>
        <row r="2641">
          <cell r="J2641" t="str">
            <v>Scope 3Waste disposalElectrical itemsWEEE - fridges and freezersOpen-looptonnes</v>
          </cell>
          <cell r="K2641" t="str">
            <v>WEEE - fridges and freezers</v>
          </cell>
          <cell r="L2641">
            <v>21.293565891472866</v>
          </cell>
        </row>
        <row r="2642">
          <cell r="J2642" t="str">
            <v>Scope 3Waste disposalElectrical itemsWEEE - fridges and freezersCombustiontonnes</v>
          </cell>
          <cell r="K2642" t="str">
            <v>WEEE - fridges and freezers</v>
          </cell>
        </row>
        <row r="2643">
          <cell r="J2643" t="str">
            <v>Scope 3Waste disposalElectrical itemsWEEE - fridges and freezersLandfilltonnes</v>
          </cell>
          <cell r="K2643" t="str">
            <v>WEEE - fridges and freezers</v>
          </cell>
          <cell r="L2643">
            <v>8.9019922480620153</v>
          </cell>
        </row>
        <row r="2644">
          <cell r="J2644" t="str">
            <v>Scope 3Waste disposalElectrical itemsWEEE - largeRe-usetonnes</v>
          </cell>
          <cell r="K2644" t="str">
            <v>WEEE - large</v>
          </cell>
        </row>
        <row r="2645">
          <cell r="J2645" t="str">
            <v>Scope 3Waste disposalElectrical itemsWEEE - largeOpen-looptonnes</v>
          </cell>
          <cell r="K2645" t="str">
            <v>WEEE - large</v>
          </cell>
          <cell r="L2645">
            <v>21.293565891472866</v>
          </cell>
        </row>
        <row r="2646">
          <cell r="J2646" t="str">
            <v>Scope 3Waste disposalElectrical itemsWEEE - largeCombustiontonnes</v>
          </cell>
          <cell r="K2646" t="str">
            <v>WEEE - large</v>
          </cell>
          <cell r="L2646">
            <v>21.293565891472866</v>
          </cell>
        </row>
        <row r="2647">
          <cell r="J2647" t="str">
            <v>Scope 3Waste disposalElectrical itemsWEEE - largeLandfilltonnes</v>
          </cell>
          <cell r="K2647" t="str">
            <v>WEEE - large</v>
          </cell>
          <cell r="L2647">
            <v>8.9019922480620153</v>
          </cell>
        </row>
        <row r="2648">
          <cell r="J2648" t="str">
            <v>Scope 3Waste disposalElectrical itemsWEEE - mixedRe-usetonnes</v>
          </cell>
          <cell r="K2648" t="str">
            <v>WEEE - mixed</v>
          </cell>
        </row>
        <row r="2649">
          <cell r="J2649" t="str">
            <v>Scope 3Waste disposalElectrical itemsWEEE - mixedOpen-looptonnes</v>
          </cell>
          <cell r="K2649" t="str">
            <v>WEEE - mixed</v>
          </cell>
          <cell r="L2649">
            <v>21.293565891472866</v>
          </cell>
        </row>
        <row r="2650">
          <cell r="J2650" t="str">
            <v>Scope 3Waste disposalElectrical itemsWEEE - mixedCombustiontonnes</v>
          </cell>
          <cell r="K2650" t="str">
            <v>WEEE - mixed</v>
          </cell>
          <cell r="L2650">
            <v>21.293565891472866</v>
          </cell>
        </row>
        <row r="2651">
          <cell r="J2651" t="str">
            <v>Scope 3Waste disposalElectrical itemsWEEE - mixedLandfilltonnes</v>
          </cell>
          <cell r="K2651" t="str">
            <v>WEEE - mixed</v>
          </cell>
          <cell r="L2651">
            <v>8.9019922480620153</v>
          </cell>
        </row>
        <row r="2652">
          <cell r="J2652" t="str">
            <v>Scope 3Waste disposalElectrical itemsWEEE - smallRe-usetonnes</v>
          </cell>
          <cell r="K2652" t="str">
            <v>WEEE - small</v>
          </cell>
        </row>
        <row r="2653">
          <cell r="J2653" t="str">
            <v>Scope 3Waste disposalElectrical itemsWEEE - smallOpen-looptonnes</v>
          </cell>
          <cell r="K2653" t="str">
            <v>WEEE - small</v>
          </cell>
          <cell r="L2653">
            <v>21.293565891472866</v>
          </cell>
        </row>
        <row r="2654">
          <cell r="J2654" t="str">
            <v>Scope 3Waste disposalElectrical itemsWEEE - smallCombustiontonnes</v>
          </cell>
          <cell r="K2654" t="str">
            <v>WEEE - small</v>
          </cell>
          <cell r="L2654">
            <v>21.293565891472866</v>
          </cell>
        </row>
        <row r="2655">
          <cell r="J2655" t="str">
            <v>Scope 3Waste disposalElectrical itemsWEEE - smallLandfilltonnes</v>
          </cell>
          <cell r="K2655" t="str">
            <v>WEEE - small</v>
          </cell>
          <cell r="L2655">
            <v>8.9019922480620153</v>
          </cell>
        </row>
        <row r="2656">
          <cell r="J2656" t="str">
            <v>Scope 3Waste disposalElectrical itemsBatteriesRe-usetonnes</v>
          </cell>
          <cell r="K2656" t="str">
            <v>Batteries</v>
          </cell>
        </row>
        <row r="2657">
          <cell r="J2657" t="str">
            <v>Scope 3Waste disposalElectrical itemsBatteriesOpen-looptonnes</v>
          </cell>
          <cell r="K2657" t="str">
            <v>Batteries</v>
          </cell>
          <cell r="L2657">
            <v>21.293565891472866</v>
          </cell>
        </row>
        <row r="2658">
          <cell r="J2658" t="str">
            <v>Scope 3Waste disposalElectrical itemsBatteriesCombustiontonnes</v>
          </cell>
          <cell r="K2658" t="str">
            <v>Batteries</v>
          </cell>
        </row>
        <row r="2659">
          <cell r="J2659" t="str">
            <v>Scope 3Waste disposalElectrical itemsBatteriesLandfilltonnes</v>
          </cell>
          <cell r="K2659" t="str">
            <v>Batteries</v>
          </cell>
          <cell r="L2659">
            <v>8.9019922480620153</v>
          </cell>
        </row>
        <row r="2660">
          <cell r="J2660" t="str">
            <v>Scope 3Waste disposalMetalMetal: aluminium cans and foil (excl. forming)Open-looptonnes</v>
          </cell>
          <cell r="K2660" t="str">
            <v>Metal: aluminium cans and foil (excl. forming)</v>
          </cell>
          <cell r="L2660">
            <v>21.293565891472866</v>
          </cell>
        </row>
        <row r="2661">
          <cell r="J2661" t="str">
            <v>Scope 3Waste disposalMetalMetal: aluminium cans and foil (excl. forming)Closed-looptonnes</v>
          </cell>
          <cell r="K2661" t="str">
            <v>Metal: aluminium cans and foil (excl. forming)</v>
          </cell>
          <cell r="L2661">
            <v>21.293565891472866</v>
          </cell>
        </row>
        <row r="2662">
          <cell r="J2662" t="str">
            <v>Scope 3Waste disposalMetalMetal: aluminium cans and foil (excl. forming)Combustiontonnes</v>
          </cell>
          <cell r="K2662" t="str">
            <v>Metal: aluminium cans and foil (excl. forming)</v>
          </cell>
          <cell r="L2662">
            <v>21.293565891472866</v>
          </cell>
        </row>
        <row r="2663">
          <cell r="J2663" t="str">
            <v>Scope 3Waste disposalMetalMetal: aluminium cans and foil (excl. forming)Landfilltonnes</v>
          </cell>
          <cell r="K2663" t="str">
            <v>Metal: aluminium cans and foil (excl. forming)</v>
          </cell>
          <cell r="L2663">
            <v>8.9019922480620153</v>
          </cell>
        </row>
        <row r="2664">
          <cell r="J2664" t="str">
            <v>Scope 3Waste disposalMetalMetal: mixed cansOpen-looptonnes</v>
          </cell>
          <cell r="K2664" t="str">
            <v>Metal: mixed cans</v>
          </cell>
          <cell r="L2664">
            <v>21.293565891472866</v>
          </cell>
        </row>
        <row r="2665">
          <cell r="J2665" t="str">
            <v>Scope 3Waste disposalMetalMetal: mixed cansClosed-looptonnes</v>
          </cell>
          <cell r="K2665" t="str">
            <v>Metal: mixed cans</v>
          </cell>
          <cell r="L2665">
            <v>21.293565891472866</v>
          </cell>
        </row>
        <row r="2666">
          <cell r="J2666" t="str">
            <v>Scope 3Waste disposalMetalMetal: mixed cansCombustiontonnes</v>
          </cell>
          <cell r="K2666" t="str">
            <v>Metal: mixed cans</v>
          </cell>
          <cell r="L2666">
            <v>21.293565891472866</v>
          </cell>
        </row>
        <row r="2667">
          <cell r="J2667" t="str">
            <v>Scope 3Waste disposalMetalMetal: mixed cansLandfilltonnes</v>
          </cell>
          <cell r="K2667" t="str">
            <v>Metal: mixed cans</v>
          </cell>
          <cell r="L2667">
            <v>8.9019922480620153</v>
          </cell>
        </row>
        <row r="2668">
          <cell r="J2668" t="str">
            <v>Scope 3Waste disposalMetalMetal: scrap metalOpen-looptonnes</v>
          </cell>
          <cell r="K2668" t="str">
            <v>Metal: scrap metal</v>
          </cell>
          <cell r="L2668">
            <v>21.293565891472866</v>
          </cell>
        </row>
        <row r="2669">
          <cell r="J2669" t="str">
            <v>Scope 3Waste disposalMetalMetal: scrap metalClosed-looptonnes</v>
          </cell>
          <cell r="K2669" t="str">
            <v>Metal: scrap metal</v>
          </cell>
          <cell r="L2669">
            <v>21.293565891472866</v>
          </cell>
        </row>
        <row r="2670">
          <cell r="J2670" t="str">
            <v>Scope 3Waste disposalMetalMetal: scrap metalCombustiontonnes</v>
          </cell>
          <cell r="K2670" t="str">
            <v>Metal: scrap metal</v>
          </cell>
          <cell r="L2670">
            <v>21.293565891472866</v>
          </cell>
        </row>
        <row r="2671">
          <cell r="J2671" t="str">
            <v>Scope 3Waste disposalMetalMetal: scrap metalLandfilltonnes</v>
          </cell>
          <cell r="K2671" t="str">
            <v>Metal: scrap metal</v>
          </cell>
          <cell r="L2671">
            <v>8.9019922480620153</v>
          </cell>
        </row>
        <row r="2672">
          <cell r="J2672" t="str">
            <v>Scope 3Waste disposalMetalMetal: steel cansOpen-looptonnes</v>
          </cell>
          <cell r="K2672" t="str">
            <v>Metal: steel cans</v>
          </cell>
          <cell r="L2672">
            <v>21.293565891472866</v>
          </cell>
        </row>
        <row r="2673">
          <cell r="J2673" t="str">
            <v>Scope 3Waste disposalMetalMetal: steel cansClosed-looptonnes</v>
          </cell>
          <cell r="K2673" t="str">
            <v>Metal: steel cans</v>
          </cell>
          <cell r="L2673">
            <v>21.293565891472866</v>
          </cell>
        </row>
        <row r="2674">
          <cell r="J2674" t="str">
            <v>Scope 3Waste disposalMetalMetal: steel cansCombustiontonnes</v>
          </cell>
          <cell r="K2674" t="str">
            <v>Metal: steel cans</v>
          </cell>
          <cell r="L2674">
            <v>21.293565891472866</v>
          </cell>
        </row>
        <row r="2675">
          <cell r="J2675" t="str">
            <v>Scope 3Waste disposalMetalMetal: steel cansLandfilltonnes</v>
          </cell>
          <cell r="K2675" t="str">
            <v>Metal: steel cans</v>
          </cell>
          <cell r="L2675">
            <v>8.9019922480620153</v>
          </cell>
        </row>
        <row r="2676">
          <cell r="J2676" t="str">
            <v>Scope 3Waste disposalPlasticPlastics: average plasticsOpen-looptonnes</v>
          </cell>
          <cell r="K2676" t="str">
            <v>Plastics: average plastics</v>
          </cell>
          <cell r="L2676">
            <v>21.293565891472866</v>
          </cell>
        </row>
        <row r="2677">
          <cell r="J2677" t="str">
            <v>Scope 3Waste disposalPlasticPlastics: average plasticsClosed-looptonnes</v>
          </cell>
          <cell r="K2677" t="str">
            <v>Plastics: average plastics</v>
          </cell>
          <cell r="L2677">
            <v>21.293565891472866</v>
          </cell>
        </row>
        <row r="2678">
          <cell r="J2678" t="str">
            <v>Scope 3Waste disposalPlasticPlastics: average plasticsCombustiontonnes</v>
          </cell>
          <cell r="K2678" t="str">
            <v>Plastics: average plastics</v>
          </cell>
          <cell r="L2678">
            <v>21.293565891472866</v>
          </cell>
        </row>
        <row r="2679">
          <cell r="J2679" t="str">
            <v>Scope 3Waste disposalPlasticPlastics: average plasticsLandfilltonnes</v>
          </cell>
          <cell r="K2679" t="str">
            <v>Plastics: average plastics</v>
          </cell>
          <cell r="L2679">
            <v>8.9019922480620153</v>
          </cell>
        </row>
        <row r="2680">
          <cell r="J2680" t="str">
            <v>Scope 3Waste disposalPlasticPlastics: average plastic filmOpen-looptonnes</v>
          </cell>
          <cell r="K2680" t="str">
            <v>Plastics: average plastic film</v>
          </cell>
          <cell r="L2680">
            <v>21.293565891472866</v>
          </cell>
        </row>
        <row r="2681">
          <cell r="J2681" t="str">
            <v>Scope 3Waste disposalPlasticPlastics: average plastic filmClosed-looptonnes</v>
          </cell>
          <cell r="K2681" t="str">
            <v>Plastics: average plastic film</v>
          </cell>
          <cell r="L2681">
            <v>21.293565891472866</v>
          </cell>
        </row>
        <row r="2682">
          <cell r="J2682" t="str">
            <v>Scope 3Waste disposalPlasticPlastics: average plastic filmCombustiontonnes</v>
          </cell>
          <cell r="K2682" t="str">
            <v>Plastics: average plastic film</v>
          </cell>
          <cell r="L2682">
            <v>21.293565891472866</v>
          </cell>
        </row>
        <row r="2683">
          <cell r="J2683" t="str">
            <v>Scope 3Waste disposalPlasticPlastics: average plastic filmLandfilltonnes</v>
          </cell>
          <cell r="K2683" t="str">
            <v>Plastics: average plastic film</v>
          </cell>
          <cell r="L2683">
            <v>8.9019922480620153</v>
          </cell>
        </row>
        <row r="2684">
          <cell r="J2684" t="str">
            <v>Scope 3Waste disposalPlasticPlastics: average plastic rigidOpen-looptonnes</v>
          </cell>
          <cell r="K2684" t="str">
            <v>Plastics: average plastic rigid</v>
          </cell>
          <cell r="L2684">
            <v>21.293565891472866</v>
          </cell>
        </row>
        <row r="2685">
          <cell r="J2685" t="str">
            <v>Scope 3Waste disposalPlasticPlastics: average plastic rigidClosed-looptonnes</v>
          </cell>
          <cell r="K2685" t="str">
            <v>Plastics: average plastic rigid</v>
          </cell>
          <cell r="L2685">
            <v>21.293565891472866</v>
          </cell>
        </row>
        <row r="2686">
          <cell r="J2686" t="str">
            <v>Scope 3Waste disposalPlasticPlastics: average plastic rigidCombustiontonnes</v>
          </cell>
          <cell r="K2686" t="str">
            <v>Plastics: average plastic rigid</v>
          </cell>
          <cell r="L2686">
            <v>21.293565891472866</v>
          </cell>
        </row>
        <row r="2687">
          <cell r="J2687" t="str">
            <v>Scope 3Waste disposalPlasticPlastics: average plastic rigidLandfilltonnes</v>
          </cell>
          <cell r="K2687" t="str">
            <v>Plastics: average plastic rigid</v>
          </cell>
          <cell r="L2687">
            <v>8.9019922480620153</v>
          </cell>
        </row>
        <row r="2688">
          <cell r="J2688" t="str">
            <v>Scope 3Waste disposalPlasticPlastics: HDPE (incl. forming)Open-looptonnes</v>
          </cell>
          <cell r="K2688" t="str">
            <v>Plastics: HDPE (incl. forming)</v>
          </cell>
          <cell r="L2688">
            <v>21.293565891472866</v>
          </cell>
        </row>
        <row r="2689">
          <cell r="J2689" t="str">
            <v>Scope 3Waste disposalPlasticPlastics: HDPE (incl. forming)Closed-looptonnes</v>
          </cell>
          <cell r="K2689" t="str">
            <v>Plastics: HDPE (incl. forming)</v>
          </cell>
          <cell r="L2689">
            <v>21.293565891472866</v>
          </cell>
        </row>
        <row r="2690">
          <cell r="J2690" t="str">
            <v>Scope 3Waste disposalPlasticPlastics: HDPE (incl. forming)Combustiontonnes</v>
          </cell>
          <cell r="K2690" t="str">
            <v>Plastics: HDPE (incl. forming)</v>
          </cell>
          <cell r="L2690">
            <v>21.293565891472866</v>
          </cell>
        </row>
        <row r="2691">
          <cell r="J2691" t="str">
            <v>Scope 3Waste disposalPlasticPlastics: HDPE (incl. forming)Landfilltonnes</v>
          </cell>
          <cell r="K2691" t="str">
            <v>Plastics: HDPE (incl. forming)</v>
          </cell>
          <cell r="L2691">
            <v>8.9019922480620153</v>
          </cell>
        </row>
        <row r="2692">
          <cell r="J2692" t="str">
            <v>Scope 3Waste disposalPlasticPlastics: LDPE and LLDPE (incl. forming)Open-looptonnes</v>
          </cell>
          <cell r="K2692" t="str">
            <v>Plastics: LDPE and LLDPE (incl. forming)</v>
          </cell>
          <cell r="L2692">
            <v>21.293565891472866</v>
          </cell>
        </row>
        <row r="2693">
          <cell r="J2693" t="str">
            <v>Scope 3Waste disposalPlasticPlastics: LDPE and LLDPE (incl. forming)Closed-looptonnes</v>
          </cell>
          <cell r="K2693" t="str">
            <v>Plastics: LDPE and LLDPE (incl. forming)</v>
          </cell>
          <cell r="L2693">
            <v>21.293565891472866</v>
          </cell>
        </row>
        <row r="2694">
          <cell r="J2694" t="str">
            <v>Scope 3Waste disposalPlasticPlastics: LDPE and LLDPE (incl. forming)Combustiontonnes</v>
          </cell>
          <cell r="K2694" t="str">
            <v>Plastics: LDPE and LLDPE (incl. forming)</v>
          </cell>
          <cell r="L2694">
            <v>21.293565891472866</v>
          </cell>
        </row>
        <row r="2695">
          <cell r="J2695" t="str">
            <v>Scope 3Waste disposalPlasticPlastics: LDPE and LLDPE (incl. forming)Landfilltonnes</v>
          </cell>
          <cell r="K2695" t="str">
            <v>Plastics: LDPE and LLDPE (incl. forming)</v>
          </cell>
          <cell r="L2695">
            <v>8.9019922480620153</v>
          </cell>
        </row>
        <row r="2696">
          <cell r="J2696" t="str">
            <v>Scope 3Waste disposalPlasticPlastics: PET (incl. forming)Open-looptonnes</v>
          </cell>
          <cell r="K2696" t="str">
            <v>Plastics: PET (incl. forming)</v>
          </cell>
          <cell r="L2696">
            <v>21.293565891472866</v>
          </cell>
        </row>
        <row r="2697">
          <cell r="J2697" t="str">
            <v>Scope 3Waste disposalPlasticPlastics: PET (incl. forming)Closed-looptonnes</v>
          </cell>
          <cell r="K2697" t="str">
            <v>Plastics: PET (incl. forming)</v>
          </cell>
          <cell r="L2697">
            <v>21.293565891472866</v>
          </cell>
        </row>
        <row r="2698">
          <cell r="J2698" t="str">
            <v>Scope 3Waste disposalPlasticPlastics: PET (incl. forming)Combustiontonnes</v>
          </cell>
          <cell r="K2698" t="str">
            <v>Plastics: PET (incl. forming)</v>
          </cell>
          <cell r="L2698">
            <v>21.293565891472866</v>
          </cell>
        </row>
        <row r="2699">
          <cell r="J2699" t="str">
            <v>Scope 3Waste disposalPlasticPlastics: PET (incl. forming)Landfilltonnes</v>
          </cell>
          <cell r="K2699" t="str">
            <v>Plastics: PET (incl. forming)</v>
          </cell>
          <cell r="L2699">
            <v>8.9019922480620153</v>
          </cell>
        </row>
        <row r="2700">
          <cell r="J2700" t="str">
            <v>Scope 3Waste disposalPlasticPlastics: PP (incl. forming)Open-looptonnes</v>
          </cell>
          <cell r="K2700" t="str">
            <v>Plastics: PP (incl. forming)</v>
          </cell>
          <cell r="L2700">
            <v>21.293565891472866</v>
          </cell>
        </row>
        <row r="2701">
          <cell r="J2701" t="str">
            <v>Scope 3Waste disposalPlasticPlastics: PP (incl. forming)Closed-looptonnes</v>
          </cell>
          <cell r="K2701" t="str">
            <v>Plastics: PP (incl. forming)</v>
          </cell>
          <cell r="L2701">
            <v>21.293565891472866</v>
          </cell>
        </row>
        <row r="2702">
          <cell r="J2702" t="str">
            <v>Scope 3Waste disposalPlasticPlastics: PP (incl. forming)Combustiontonnes</v>
          </cell>
          <cell r="K2702" t="str">
            <v>Plastics: PP (incl. forming)</v>
          </cell>
          <cell r="L2702">
            <v>21.293565891472866</v>
          </cell>
        </row>
        <row r="2703">
          <cell r="J2703" t="str">
            <v>Scope 3Waste disposalPlasticPlastics: PP (incl. forming)Landfilltonnes</v>
          </cell>
          <cell r="K2703" t="str">
            <v>Plastics: PP (incl. forming)</v>
          </cell>
          <cell r="L2703">
            <v>8.9019922480620153</v>
          </cell>
        </row>
        <row r="2704">
          <cell r="J2704" t="str">
            <v>Scope 3Waste disposalPlasticPlastics: PS (incl. forming)Open-looptonnes</v>
          </cell>
          <cell r="K2704" t="str">
            <v>Plastics: PS (incl. forming)</v>
          </cell>
          <cell r="L2704">
            <v>21.293565891472866</v>
          </cell>
        </row>
        <row r="2705">
          <cell r="J2705" t="str">
            <v>Scope 3Waste disposalPlasticPlastics: PS (incl. forming)Closed-looptonnes</v>
          </cell>
          <cell r="K2705" t="str">
            <v>Plastics: PS (incl. forming)</v>
          </cell>
          <cell r="L2705">
            <v>21.293565891472866</v>
          </cell>
        </row>
        <row r="2706">
          <cell r="J2706" t="str">
            <v>Scope 3Waste disposalPlasticPlastics: PS (incl. forming)Combustiontonnes</v>
          </cell>
          <cell r="K2706" t="str">
            <v>Plastics: PS (incl. forming)</v>
          </cell>
          <cell r="L2706">
            <v>21.293565891472866</v>
          </cell>
        </row>
        <row r="2707">
          <cell r="J2707" t="str">
            <v>Scope 3Waste disposalPlasticPlastics: PS (incl. forming)Landfilltonnes</v>
          </cell>
          <cell r="K2707" t="str">
            <v>Plastics: PS (incl. forming)</v>
          </cell>
          <cell r="L2707">
            <v>8.9019922480620153</v>
          </cell>
        </row>
        <row r="2708">
          <cell r="J2708" t="str">
            <v>Scope 3Waste disposalPlasticPlastics: PVC (incl. forming)Open-looptonnes</v>
          </cell>
          <cell r="K2708" t="str">
            <v>Plastics: PVC (incl. forming)</v>
          </cell>
          <cell r="L2708">
            <v>21.293565891472866</v>
          </cell>
        </row>
        <row r="2709">
          <cell r="J2709" t="str">
            <v>Scope 3Waste disposalPlasticPlastics: PVC (incl. forming)Closed-looptonnes</v>
          </cell>
          <cell r="K2709" t="str">
            <v>Plastics: PVC (incl. forming)</v>
          </cell>
          <cell r="L2709">
            <v>21.293565891472866</v>
          </cell>
        </row>
        <row r="2710">
          <cell r="J2710" t="str">
            <v>Scope 3Waste disposalPlasticPlastics: PVC (incl. forming)Combustiontonnes</v>
          </cell>
          <cell r="K2710" t="str">
            <v>Plastics: PVC (incl. forming)</v>
          </cell>
          <cell r="L2710">
            <v>21.293565891472866</v>
          </cell>
        </row>
        <row r="2711">
          <cell r="J2711" t="str">
            <v>Scope 3Waste disposalPlasticPlastics: PVC (incl. forming)Landfilltonnes</v>
          </cell>
          <cell r="K2711" t="str">
            <v>Plastics: PVC (incl. forming)</v>
          </cell>
          <cell r="L2711">
            <v>8.9019922480620153</v>
          </cell>
        </row>
        <row r="2712">
          <cell r="J2712" t="str">
            <v>Scope 3Waste disposalPaperPaper and board: boardOpen-looptonnes</v>
          </cell>
          <cell r="K2712" t="str">
            <v>Paper and board: board</v>
          </cell>
        </row>
        <row r="2713">
          <cell r="J2713" t="str">
            <v>Scope 3Waste disposalPaperPaper and board: boardClosed-looptonnes</v>
          </cell>
          <cell r="K2713" t="str">
            <v>Paper and board: board</v>
          </cell>
          <cell r="L2713">
            <v>21.293565891472866</v>
          </cell>
        </row>
        <row r="2714">
          <cell r="J2714" t="str">
            <v>Scope 3Waste disposalPaperPaper and board: boardCombustiontonnes</v>
          </cell>
          <cell r="K2714" t="str">
            <v>Paper and board: board</v>
          </cell>
          <cell r="L2714">
            <v>21.293565891472866</v>
          </cell>
        </row>
        <row r="2715">
          <cell r="J2715" t="str">
            <v>Scope 3Waste disposalPaperPaper and board: boardCompostingtonnes</v>
          </cell>
          <cell r="K2715" t="str">
            <v>Paper and board: board</v>
          </cell>
          <cell r="L2715">
            <v>8.9506976744186044</v>
          </cell>
        </row>
        <row r="2716">
          <cell r="J2716" t="str">
            <v>Scope 3Waste disposalPaperPaper and board: boardLandfilltonnes</v>
          </cell>
          <cell r="K2716" t="str">
            <v>Paper and board: board</v>
          </cell>
          <cell r="L2716">
            <v>1041.8036935229597</v>
          </cell>
        </row>
        <row r="2717">
          <cell r="J2717" t="str">
            <v>Scope 3Waste disposalPaperPaper and board: mixedOpen-looptonnes</v>
          </cell>
          <cell r="K2717" t="str">
            <v>Paper and board: mixed</v>
          </cell>
        </row>
        <row r="2718">
          <cell r="J2718" t="str">
            <v>Scope 3Waste disposalPaperPaper and board: mixedClosed-looptonnes</v>
          </cell>
          <cell r="K2718" t="str">
            <v>Paper and board: mixed</v>
          </cell>
          <cell r="L2718">
            <v>21.293565891472866</v>
          </cell>
        </row>
        <row r="2719">
          <cell r="J2719" t="str">
            <v>Scope 3Waste disposalPaperPaper and board: mixedCombustiontonnes</v>
          </cell>
          <cell r="K2719" t="str">
            <v>Paper and board: mixed</v>
          </cell>
          <cell r="L2719">
            <v>21.293565891472866</v>
          </cell>
        </row>
        <row r="2720">
          <cell r="J2720" t="str">
            <v>Scope 3Waste disposalPaperPaper and board: mixedCompostingtonnes</v>
          </cell>
          <cell r="K2720" t="str">
            <v>Paper and board: mixed</v>
          </cell>
          <cell r="L2720">
            <v>8.9506976744186044</v>
          </cell>
        </row>
        <row r="2721">
          <cell r="J2721" t="str">
            <v>Scope 3Waste disposalPaperPaper and board: mixedLandfilltonnes</v>
          </cell>
          <cell r="K2721" t="str">
            <v>Paper and board: mixed</v>
          </cell>
          <cell r="L2721">
            <v>1041.8036935229597</v>
          </cell>
        </row>
        <row r="2722">
          <cell r="J2722" t="str">
            <v>Scope 3Waste disposalPaperPaper and board: paperOpen-looptonnes</v>
          </cell>
          <cell r="K2722" t="str">
            <v>Paper and board: paper</v>
          </cell>
        </row>
        <row r="2723">
          <cell r="J2723" t="str">
            <v>Scope 3Waste disposalPaperPaper and board: paperClosed-looptonnes</v>
          </cell>
          <cell r="K2723" t="str">
            <v>Paper and board: paper</v>
          </cell>
          <cell r="L2723">
            <v>21.293565891472866</v>
          </cell>
        </row>
        <row r="2724">
          <cell r="J2724" t="str">
            <v>Scope 3Waste disposalPaperPaper and board: paperCombustiontonnes</v>
          </cell>
          <cell r="K2724" t="str">
            <v>Paper and board: paper</v>
          </cell>
          <cell r="L2724">
            <v>21.293565891472866</v>
          </cell>
        </row>
        <row r="2725">
          <cell r="J2725" t="str">
            <v>Scope 3Waste disposalPaperPaper and board: paperCompostingtonnes</v>
          </cell>
          <cell r="K2725" t="str">
            <v>Paper and board: paper</v>
          </cell>
          <cell r="L2725">
            <v>8.9506976744186044</v>
          </cell>
        </row>
        <row r="2726">
          <cell r="J2726" t="str">
            <v>Scope 3Waste disposalPaperPaper and board: paperLandfilltonnes</v>
          </cell>
          <cell r="K2726" t="str">
            <v>Paper and board: paper</v>
          </cell>
          <cell r="L2726">
            <v>1041.8036935229597</v>
          </cell>
        </row>
        <row r="2727">
          <cell r="J2727" t="str">
            <v>Scope 3Hotel stayHotel stayUKRoom per night</v>
          </cell>
          <cell r="K2727" t="str">
            <v>UK Room per night</v>
          </cell>
          <cell r="L2727">
            <v>13.9</v>
          </cell>
        </row>
        <row r="2728">
          <cell r="J2728" t="str">
            <v>Scope 3Hotel stayHotel stayUK (London)Room per night</v>
          </cell>
          <cell r="K2728" t="str">
            <v>UK (London) Room per night</v>
          </cell>
          <cell r="L2728">
            <v>13.8</v>
          </cell>
        </row>
        <row r="2729">
          <cell r="J2729" t="str">
            <v>Scope 3Hotel stayHotel stayArgentinaRoom per night</v>
          </cell>
          <cell r="K2729" t="str">
            <v>Argentina Room per night</v>
          </cell>
          <cell r="L2729">
            <v>56</v>
          </cell>
        </row>
        <row r="2730">
          <cell r="J2730" t="str">
            <v>Scope 3Hotel stayHotel stayAustraliaRoom per night</v>
          </cell>
          <cell r="K2730" t="str">
            <v>Australia Room per night</v>
          </cell>
          <cell r="L2730">
            <v>42.6</v>
          </cell>
        </row>
        <row r="2731">
          <cell r="J2731" t="str">
            <v>Scope 3Hotel stayHotel stayAustriaRoom per night</v>
          </cell>
          <cell r="K2731" t="str">
            <v>Austria Room per night</v>
          </cell>
          <cell r="L2731">
            <v>13.9</v>
          </cell>
        </row>
        <row r="2732">
          <cell r="J2732" t="str">
            <v>Scope 3Hotel stayHotel stayBelgiumRoom per night</v>
          </cell>
          <cell r="K2732" t="str">
            <v>Belgium Room per night</v>
          </cell>
          <cell r="L2732">
            <v>10.9</v>
          </cell>
        </row>
        <row r="2733">
          <cell r="J2733" t="str">
            <v>Scope 3Hotel stayHotel stayBrazilRoom per night</v>
          </cell>
          <cell r="K2733" t="str">
            <v>Brazil Room per night</v>
          </cell>
          <cell r="L2733">
            <v>12.3</v>
          </cell>
        </row>
        <row r="2734">
          <cell r="J2734" t="str">
            <v>Scope 3Hotel stayHotel stayCanadaRoom per night</v>
          </cell>
          <cell r="K2734" t="str">
            <v>Canada Room per night</v>
          </cell>
          <cell r="L2734">
            <v>16.100000000000001</v>
          </cell>
        </row>
        <row r="2735">
          <cell r="J2735" t="str">
            <v>Scope 3Hotel stayHotel stayChileRoom per night</v>
          </cell>
          <cell r="K2735" t="str">
            <v>Chile Room per night</v>
          </cell>
          <cell r="L2735">
            <v>30.5</v>
          </cell>
        </row>
        <row r="2736">
          <cell r="J2736" t="str">
            <v>Scope 3Hotel stayHotel stayChinaRoom per night</v>
          </cell>
          <cell r="K2736" t="str">
            <v>China Room per night</v>
          </cell>
          <cell r="L2736">
            <v>62.9</v>
          </cell>
        </row>
        <row r="2737">
          <cell r="J2737" t="str">
            <v>Scope 3Hotel stayHotel stayColombiaRoom per night</v>
          </cell>
          <cell r="K2737" t="str">
            <v>Colombia Room per night</v>
          </cell>
          <cell r="L2737">
            <v>13.5</v>
          </cell>
        </row>
        <row r="2738">
          <cell r="J2738" t="str">
            <v>Scope 3Hotel stayHotel stayCosta RicaRoom per night</v>
          </cell>
          <cell r="K2738" t="str">
            <v>Costa Rica Room per night</v>
          </cell>
          <cell r="L2738">
            <v>7.5</v>
          </cell>
        </row>
        <row r="2739">
          <cell r="J2739" t="str">
            <v>Scope 3Hotel stayHotel stayCzech RepublicRoom per night</v>
          </cell>
          <cell r="K2739" t="str">
            <v>Czech Republic Room per night</v>
          </cell>
          <cell r="L2739">
            <v>36.200000000000003</v>
          </cell>
        </row>
        <row r="2740">
          <cell r="J2740" t="str">
            <v>Scope 3Hotel stayHotel stayEgyptRoom per night</v>
          </cell>
          <cell r="K2740" t="str">
            <v>Egypt Room per night</v>
          </cell>
          <cell r="L2740">
            <v>56.5</v>
          </cell>
        </row>
        <row r="2741">
          <cell r="J2741" t="str">
            <v>Scope 3Hotel stayHotel stayFijiRoom per night</v>
          </cell>
          <cell r="K2741" t="str">
            <v>Fiji Room per night</v>
          </cell>
          <cell r="L2741">
            <v>47.8</v>
          </cell>
        </row>
        <row r="2742">
          <cell r="J2742" t="str">
            <v>Scope 3Hotel stayHotel stayFranceRoom per night</v>
          </cell>
          <cell r="K2742" t="str">
            <v>France Room per night</v>
          </cell>
          <cell r="L2742">
            <v>6.5</v>
          </cell>
        </row>
        <row r="2743">
          <cell r="J2743" t="str">
            <v>Scope 3Hotel stayHotel stayGermanyRoom per night</v>
          </cell>
          <cell r="K2743" t="str">
            <v>Germany Room per night</v>
          </cell>
          <cell r="L2743">
            <v>17</v>
          </cell>
        </row>
        <row r="2744">
          <cell r="J2744" t="str">
            <v>Scope 3Hotel stayHotel stayGreeceRoom per night</v>
          </cell>
          <cell r="K2744" t="str">
            <v>Greece Room per night</v>
          </cell>
          <cell r="L2744">
            <v>43</v>
          </cell>
        </row>
        <row r="2745">
          <cell r="J2745" t="str">
            <v>Scope 3Hotel stayHotel stayHong Kong, ChinaRoom per night</v>
          </cell>
          <cell r="K2745" t="str">
            <v>Hong Kong, China Room per night</v>
          </cell>
          <cell r="L2745">
            <v>65.900000000000006</v>
          </cell>
        </row>
        <row r="2746">
          <cell r="J2746" t="str">
            <v>Scope 3Hotel stayHotel stayIndiaRoom per night</v>
          </cell>
          <cell r="K2746" t="str">
            <v>India Room per night</v>
          </cell>
          <cell r="L2746">
            <v>75.5</v>
          </cell>
        </row>
        <row r="2747">
          <cell r="J2747" t="str">
            <v>Scope 3Hotel stayHotel stayIndonesiaRoom per night</v>
          </cell>
          <cell r="K2747" t="str">
            <v>Indonesia Room per night</v>
          </cell>
          <cell r="L2747">
            <v>89.1</v>
          </cell>
        </row>
        <row r="2748">
          <cell r="J2748" t="str">
            <v>Scope 3Hotel stayHotel stayIrelandRoom per night</v>
          </cell>
          <cell r="K2748" t="str">
            <v>Ireland Room per night</v>
          </cell>
          <cell r="L2748">
            <v>25</v>
          </cell>
        </row>
        <row r="2749">
          <cell r="J2749" t="str">
            <v>Scope 3Hotel stayHotel stayIsraelRoom per night</v>
          </cell>
          <cell r="K2749" t="str">
            <v>Israel Room per night</v>
          </cell>
          <cell r="L2749">
            <v>54</v>
          </cell>
        </row>
        <row r="2750">
          <cell r="J2750" t="str">
            <v>Scope 3Hotel stayHotel stayItalyRoom per night</v>
          </cell>
          <cell r="K2750" t="str">
            <v>Italy Room per night</v>
          </cell>
          <cell r="L2750">
            <v>20.2</v>
          </cell>
        </row>
        <row r="2751">
          <cell r="J2751" t="str">
            <v>Scope 3Hotel stayHotel stayJapanRoom per night</v>
          </cell>
          <cell r="K2751" t="str">
            <v>Japan Room per night</v>
          </cell>
          <cell r="L2751">
            <v>60.6</v>
          </cell>
        </row>
        <row r="2752">
          <cell r="J2752" t="str">
            <v>Scope 3Hotel stayHotel stayJordanRoom per night</v>
          </cell>
          <cell r="K2752" t="str">
            <v>Jordan Room per night</v>
          </cell>
          <cell r="L2752">
            <v>62.4</v>
          </cell>
        </row>
        <row r="2753">
          <cell r="J2753" t="str">
            <v>Scope 3Hotel stayHotel stayKoreaRoom per night</v>
          </cell>
          <cell r="K2753" t="str">
            <v>Korea Room per night</v>
          </cell>
          <cell r="L2753">
            <v>61.2</v>
          </cell>
        </row>
        <row r="2754">
          <cell r="J2754" t="str">
            <v>Scope 3Hotel stayHotel stayMacau, ChinaRoom per night</v>
          </cell>
          <cell r="K2754" t="str">
            <v>Macau, China Room per night</v>
          </cell>
          <cell r="L2754">
            <v>75.599999999999994</v>
          </cell>
        </row>
        <row r="2755">
          <cell r="J2755" t="str">
            <v>Scope 3Hotel stayHotel stayMalaysiaRoom per night</v>
          </cell>
          <cell r="K2755" t="str">
            <v>Malaysia Room per night</v>
          </cell>
          <cell r="L2755">
            <v>83</v>
          </cell>
        </row>
        <row r="2756">
          <cell r="J2756" t="str">
            <v>Scope 3Hotel stayHotel stayMexicoRoom per night</v>
          </cell>
          <cell r="K2756" t="str">
            <v>Mexico Room per night</v>
          </cell>
          <cell r="L2756">
            <v>25.9</v>
          </cell>
        </row>
        <row r="2757">
          <cell r="J2757" t="str">
            <v>Scope 3Hotel stayHotel stayNetherlandsRoom per night</v>
          </cell>
          <cell r="K2757" t="str">
            <v>Netherlands Room per night</v>
          </cell>
          <cell r="L2757">
            <v>20.9</v>
          </cell>
        </row>
        <row r="2758">
          <cell r="J2758" t="str">
            <v>Scope 3Hotel stayHotel stayNew ZealandRoom per night</v>
          </cell>
          <cell r="K2758" t="str">
            <v>New Zealand Room per night</v>
          </cell>
          <cell r="L2758">
            <v>10.4</v>
          </cell>
        </row>
        <row r="2759">
          <cell r="J2759" t="str">
            <v>Scope 3Hotel stayHotel stayPanamaRoom per night</v>
          </cell>
          <cell r="K2759" t="str">
            <v>Panama Room per night</v>
          </cell>
          <cell r="L2759">
            <v>22.1</v>
          </cell>
        </row>
        <row r="2760">
          <cell r="J2760" t="str">
            <v>Scope 3Hotel stayHotel stayPeruRoom per night</v>
          </cell>
          <cell r="K2760" t="str">
            <v>Peru Room per night</v>
          </cell>
          <cell r="L2760">
            <v>22.5</v>
          </cell>
        </row>
        <row r="2761">
          <cell r="J2761" t="str">
            <v>Scope 3Hotel stayHotel stayPhilippinesRoom per night</v>
          </cell>
          <cell r="K2761" t="str">
            <v>Philippines Room per night</v>
          </cell>
          <cell r="L2761">
            <v>44.2</v>
          </cell>
        </row>
        <row r="2762">
          <cell r="J2762" t="str">
            <v>Scope 3Hotel stayHotel stayPolandRoom per night</v>
          </cell>
          <cell r="K2762" t="str">
            <v>Poland Room per night</v>
          </cell>
          <cell r="L2762">
            <v>33.200000000000003</v>
          </cell>
        </row>
        <row r="2763">
          <cell r="J2763" t="str">
            <v>Scope 3Hotel stayHotel stayPortugalRoom per night</v>
          </cell>
          <cell r="K2763" t="str">
            <v>Portugal Room per night</v>
          </cell>
          <cell r="L2763">
            <v>26</v>
          </cell>
        </row>
        <row r="2764">
          <cell r="J2764" t="str">
            <v>Scope 3Hotel stayHotel stayQatarRoom per night</v>
          </cell>
          <cell r="K2764" t="str">
            <v>Qatar Room per night</v>
          </cell>
          <cell r="L2764">
            <v>126.8</v>
          </cell>
        </row>
        <row r="2765">
          <cell r="J2765" t="str">
            <v>Scope 3Hotel stayHotel stayRussian FederationRoom per night</v>
          </cell>
          <cell r="K2765" t="str">
            <v>Russian Federation Room per night</v>
          </cell>
          <cell r="L2765">
            <v>31.8</v>
          </cell>
        </row>
        <row r="2766">
          <cell r="J2766" t="str">
            <v>Scope 3Hotel stayHotel staySaudi ArabiaRoom per night</v>
          </cell>
          <cell r="K2766" t="str">
            <v>Saudi Arabia Room per night</v>
          </cell>
          <cell r="L2766">
            <v>114.5</v>
          </cell>
        </row>
        <row r="2767">
          <cell r="J2767" t="str">
            <v>Scope 3Hotel stayHotel staySingaporeRoom per night</v>
          </cell>
          <cell r="K2767" t="str">
            <v>Singapore Room per night</v>
          </cell>
          <cell r="L2767">
            <v>37.799999999999997</v>
          </cell>
        </row>
        <row r="2768">
          <cell r="J2768" t="str">
            <v>Scope 3Hotel stayHotel staySlovak RepublicRoom per night</v>
          </cell>
          <cell r="K2768" t="str">
            <v>Slovak Republic Room per night</v>
          </cell>
          <cell r="L2768">
            <v>19.100000000000001</v>
          </cell>
        </row>
        <row r="2769">
          <cell r="J2769" t="str">
            <v>Scope 3Hotel stayHotel staySouth AfricaRoom per night</v>
          </cell>
          <cell r="K2769" t="str">
            <v>South Africa Room per night</v>
          </cell>
          <cell r="L2769">
            <v>61</v>
          </cell>
        </row>
        <row r="2770">
          <cell r="J2770" t="str">
            <v>Scope 3Hotel stayHotel staySpainRoom per night</v>
          </cell>
          <cell r="K2770" t="str">
            <v>Spain Room per night</v>
          </cell>
          <cell r="L2770">
            <v>18.7</v>
          </cell>
        </row>
        <row r="2771">
          <cell r="J2771" t="str">
            <v>Scope 3Hotel stayHotel staySwitzerlandRoom per night</v>
          </cell>
          <cell r="K2771" t="str">
            <v>Switzerland Room per night</v>
          </cell>
          <cell r="L2771">
            <v>7.4</v>
          </cell>
        </row>
        <row r="2772">
          <cell r="J2772" t="str">
            <v>Scope 3Hotel stayHotel stayTaiwan, ChinaRoom per night</v>
          </cell>
          <cell r="K2772" t="str">
            <v>Taiwan, China Room per night</v>
          </cell>
          <cell r="L2772">
            <v>77.3</v>
          </cell>
        </row>
        <row r="2773">
          <cell r="J2773" t="str">
            <v>Scope 3Hotel stayHotel stayThailandRoom per night</v>
          </cell>
          <cell r="K2773" t="str">
            <v>Thailand Room per night</v>
          </cell>
          <cell r="L2773">
            <v>51</v>
          </cell>
        </row>
        <row r="2774">
          <cell r="J2774" t="str">
            <v>Scope 3Hotel stayHotel stayTurkeyRoom per night</v>
          </cell>
          <cell r="K2774" t="str">
            <v>Turkey Room per night</v>
          </cell>
          <cell r="L2774">
            <v>33.6</v>
          </cell>
        </row>
        <row r="2775">
          <cell r="J2775" t="str">
            <v>Scope 3Hotel stayHotel stayUnited Arab EmiratesRoom per night</v>
          </cell>
          <cell r="K2775" t="str">
            <v>United Arab Emirates Room per night</v>
          </cell>
          <cell r="L2775">
            <v>114.4</v>
          </cell>
        </row>
        <row r="2776">
          <cell r="J2776" t="str">
            <v>Scope 3Hotel stayHotel stayUnited StatesRoom per night</v>
          </cell>
          <cell r="K2776" t="str">
            <v>United States Room per night</v>
          </cell>
          <cell r="L2776">
            <v>19.7</v>
          </cell>
        </row>
        <row r="2777">
          <cell r="J2777" t="str">
            <v>Scope 3Hotel stayHotel stayVietnamRoom per night</v>
          </cell>
          <cell r="K2777" t="str">
            <v>Vietnam Room per night</v>
          </cell>
          <cell r="L2777">
            <v>51.8</v>
          </cell>
        </row>
        <row r="2778">
          <cell r="J2778" t="str">
            <v>Scope 1FuelsGaseous fuelsNatural gas (100% mineral blend)kWh</v>
          </cell>
          <cell r="K2778" t="str">
            <v>Natural gas (100% mineral blend) kWh (Gross CV)</v>
          </cell>
          <cell r="L2778">
            <v>0.18437999999999999</v>
          </cell>
        </row>
        <row r="2779">
          <cell r="J2779" t="str">
            <v>Scope 1FuelsGaseous fuelsNatural gas (100% mineral blend)kWh</v>
          </cell>
          <cell r="K2779" t="str">
            <v>Natural gas (100% mineral blend) kWh (Net CV)</v>
          </cell>
          <cell r="L2779">
            <v>0.20430999999999999</v>
          </cell>
        </row>
        <row r="2780">
          <cell r="J2780" t="str">
            <v>Scope 1FuelsGaseous fuelsNatural gas (100% mineral blend)cubic metres</v>
          </cell>
          <cell r="K2780" t="str">
            <v>Natural gas (100% mineral blend) cubic metres</v>
          </cell>
          <cell r="L2780">
            <v>2.0347300000000001</v>
          </cell>
        </row>
        <row r="2781">
          <cell r="J2781" t="str">
            <v>Scope 1FuelsGaseous fuelsNatural gas (100% mineral blend)tonnes</v>
          </cell>
          <cell r="K2781" t="str">
            <v>Natural gas (100% mineral blend) tonnes</v>
          </cell>
          <cell r="L2781">
            <v>2555.2800000000002</v>
          </cell>
        </row>
        <row r="2782">
          <cell r="J2782" t="str">
            <v>Scope 3WTT- fuelsWTT- gaseous fuelsNatural gas (100% mineral blend)Energy - Gross CVkWh</v>
          </cell>
          <cell r="K2782" t="str">
            <v>Natural gas (100% mineral blend) kWh (Gross CV)</v>
          </cell>
          <cell r="L2782">
            <v>3.1350000000000003E-2</v>
          </cell>
        </row>
        <row r="2783">
          <cell r="J2783" t="str">
            <v>Scope 3WTT- fuelsWTT- gaseous fuelsNatural gas (100% mineral blend)Energy - Net CVkWh</v>
          </cell>
          <cell r="K2783" t="str">
            <v>Natural gas (100% mineral blend) kWh (Net CV)</v>
          </cell>
          <cell r="L2783">
            <v>3.474E-2</v>
          </cell>
        </row>
        <row r="2784">
          <cell r="J2784" t="str">
            <v>Scope 3WTT- fuelsWTT- gaseous fuelsNatural gas (100% mineral blend)cubic metres</v>
          </cell>
          <cell r="K2784" t="str">
            <v>Natural gas (100% mineral blend) cubic metres</v>
          </cell>
          <cell r="L2784">
            <v>0.34593000000000002</v>
          </cell>
        </row>
        <row r="2785">
          <cell r="J2785" t="str">
            <v>Scope 3WTT- fuelsWTT- gaseous fuelsNatural gas (100% mineral blend)Tonnestonnes</v>
          </cell>
          <cell r="K2785" t="str">
            <v>Natural gas (100% mineral blend) tonnes</v>
          </cell>
          <cell r="L2785">
            <v>434.42892000000001</v>
          </cell>
        </row>
        <row r="2786">
          <cell r="J2786" t="str">
            <v>Scope 3Hotel stayHotel stayFinlandRoom per night</v>
          </cell>
          <cell r="K2786" t="str">
            <v>Finland Room per night</v>
          </cell>
        </row>
        <row r="2787">
          <cell r="J2787" t="str">
            <v>Scope 3Hotel stayHotel stayMaldivesRoom per night</v>
          </cell>
          <cell r="K2787" t="str">
            <v>Maldives Room per night</v>
          </cell>
          <cell r="L2787">
            <v>183.3</v>
          </cell>
        </row>
        <row r="2788">
          <cell r="J2788" t="str">
            <v>Scope 3Hotel stayHotel stayOmanRoom per night</v>
          </cell>
          <cell r="K2788" t="str">
            <v>Oman Room per night</v>
          </cell>
        </row>
        <row r="2789">
          <cell r="J2789" t="str">
            <v>Scope 3Hotel stayHotel stayRomaniaRoom per night</v>
          </cell>
          <cell r="K2789" t="str">
            <v>Romania Room per night</v>
          </cell>
          <cell r="L2789">
            <v>25.5</v>
          </cell>
        </row>
        <row r="2790">
          <cell r="J2790" t="str">
            <v>Scope 3Hotel stayArgentina</v>
          </cell>
          <cell r="L2790">
            <v>77.080424308056706</v>
          </cell>
        </row>
        <row r="2791">
          <cell r="J2791" t="str">
            <v>Scope 3Hotel stayAustralia</v>
          </cell>
          <cell r="L2791">
            <v>51.466471723405341</v>
          </cell>
        </row>
        <row r="2792">
          <cell r="J2792" t="str">
            <v>Scope 3Hotel stayAustria</v>
          </cell>
          <cell r="L2792">
            <v>18.725744293612962</v>
          </cell>
        </row>
        <row r="2793">
          <cell r="J2793" t="str">
            <v>Scope 3Hotel stayBelgium</v>
          </cell>
          <cell r="L2793">
            <v>16.035151683703944</v>
          </cell>
        </row>
        <row r="2794">
          <cell r="J2794" t="str">
            <v>Scope 3Hotel stayBrazil</v>
          </cell>
          <cell r="L2794">
            <v>16.769809675026117</v>
          </cell>
        </row>
        <row r="2795">
          <cell r="J2795" t="str">
            <v>Scope 3Hotel stayCanada</v>
          </cell>
          <cell r="L2795">
            <v>23.002166292333708</v>
          </cell>
        </row>
        <row r="2796">
          <cell r="J2796" t="str">
            <v>Scope 3Hotel stayChile</v>
          </cell>
          <cell r="L2796">
            <v>38.503511174022393</v>
          </cell>
        </row>
        <row r="2797">
          <cell r="J2797" t="str">
            <v>Scope 3Hotel stayChina</v>
          </cell>
          <cell r="L2797">
            <v>76.737627146438484</v>
          </cell>
        </row>
        <row r="2798">
          <cell r="J2798" t="str">
            <v>Scope 3Hotel stayColombia</v>
          </cell>
          <cell r="L2798">
            <v>18.691466461784788</v>
          </cell>
        </row>
        <row r="2799">
          <cell r="J2799" t="str">
            <v>Scope 3Hotel stayCosta Rica</v>
          </cell>
          <cell r="L2799">
            <v>11.096858841059207</v>
          </cell>
        </row>
        <row r="2800">
          <cell r="J2800" t="str">
            <v>Scope 3Hotel stayCzech Republic</v>
          </cell>
          <cell r="L2800">
            <v>53.037219463669118</v>
          </cell>
        </row>
        <row r="2801">
          <cell r="J2801" t="str">
            <v>Scope 3Hotel stayEgypt</v>
          </cell>
          <cell r="L2801">
            <v>65.382682614811756</v>
          </cell>
        </row>
        <row r="2802">
          <cell r="J2802" t="str">
            <v>Scope 3Hotel stayFiji</v>
          </cell>
          <cell r="L2802">
            <v>48.993336037299031</v>
          </cell>
        </row>
        <row r="2803">
          <cell r="J2803" t="str">
            <v>Scope 3Hotel stayFrance</v>
          </cell>
          <cell r="L2803">
            <v>8.0126184545605437</v>
          </cell>
        </row>
        <row r="2804">
          <cell r="J2804" t="str">
            <v>Scope 3Hotel stayGermany</v>
          </cell>
          <cell r="L2804">
            <v>22.572026711400376</v>
          </cell>
        </row>
        <row r="2805">
          <cell r="J2805" t="str">
            <v>Scope 3Hotel stayGreece</v>
          </cell>
          <cell r="L2805">
            <v>56.627685720005942</v>
          </cell>
        </row>
        <row r="2806">
          <cell r="J2806" t="str">
            <v>Scope 3Hotel stayHong Kong, China</v>
          </cell>
          <cell r="L2806">
            <v>84.426438475335118</v>
          </cell>
        </row>
        <row r="2807">
          <cell r="J2807" t="str">
            <v>Scope 3Hotel stayIndia</v>
          </cell>
          <cell r="L2807">
            <v>93.198799142636602</v>
          </cell>
        </row>
        <row r="2808">
          <cell r="J2808" t="str">
            <v>Scope 3Hotel stayIndonesia</v>
          </cell>
          <cell r="L2808">
            <v>110.3676141753575</v>
          </cell>
        </row>
        <row r="2809">
          <cell r="J2809" t="str">
            <v>Scope 3Hotel stayIreland</v>
          </cell>
          <cell r="L2809">
            <v>31.775165187017322</v>
          </cell>
        </row>
        <row r="2810">
          <cell r="J2810" t="str">
            <v>Scope 3Hotel stayIsrael</v>
          </cell>
          <cell r="L2810">
            <v>72.598080586952847</v>
          </cell>
        </row>
        <row r="2811">
          <cell r="J2811" t="str">
            <v>Scope 3Hotel stayItaly</v>
          </cell>
          <cell r="L2811">
            <v>26.199251568086986</v>
          </cell>
        </row>
        <row r="2812">
          <cell r="J2812" t="str">
            <v>Scope 3Hotel stayJapan</v>
          </cell>
          <cell r="L2812">
            <v>81.861440127167015</v>
          </cell>
        </row>
        <row r="2813">
          <cell r="J2813" t="str">
            <v>Scope 3Hotel stayJordan</v>
          </cell>
          <cell r="L2813">
            <v>80.477135131264305</v>
          </cell>
        </row>
        <row r="2814">
          <cell r="J2814" t="str">
            <v>Scope 3Hotel stayKorea</v>
          </cell>
          <cell r="L2814">
            <v>85.190472831819932</v>
          </cell>
        </row>
        <row r="2815">
          <cell r="J2815" t="str">
            <v>Scope 3Hotel stayMacau, China</v>
          </cell>
          <cell r="L2815">
            <v>109.01410445195043</v>
          </cell>
        </row>
        <row r="2816">
          <cell r="J2816" t="str">
            <v>Scope 3Hotel stayMalaysia</v>
          </cell>
          <cell r="L2816">
            <v>95.935130175481405</v>
          </cell>
        </row>
        <row r="2817">
          <cell r="J2817" t="str">
            <v>Scope 3Hotel stayMaldives</v>
          </cell>
          <cell r="L2817">
            <v>218.68109608622194</v>
          </cell>
        </row>
        <row r="2818">
          <cell r="J2818" t="str">
            <v>Scope 3Hotel stayMexico</v>
          </cell>
          <cell r="L2818">
            <v>30.51757563917813</v>
          </cell>
        </row>
        <row r="2819">
          <cell r="J2819" t="str">
            <v>Scope 3Hotel stayNetherlands</v>
          </cell>
          <cell r="L2819">
            <v>23.778370136881961</v>
          </cell>
        </row>
        <row r="2820">
          <cell r="J2820" t="str">
            <v>Scope 3Hotel stayNew Zealand</v>
          </cell>
          <cell r="L2820">
            <v>11.567172168839967</v>
          </cell>
        </row>
        <row r="2821">
          <cell r="J2821" t="str">
            <v>Scope 3Hotel stayPanama</v>
          </cell>
          <cell r="L2821">
            <v>31.723971121521245</v>
          </cell>
        </row>
        <row r="2822">
          <cell r="J2822" t="str">
            <v>Scope 3Hotel stayPeru</v>
          </cell>
          <cell r="L2822">
            <v>28.653892337825912</v>
          </cell>
        </row>
        <row r="2823">
          <cell r="J2823" t="str">
            <v>Scope 3Hotel stayPhilippines</v>
          </cell>
          <cell r="L2823">
            <v>66.539423095834906</v>
          </cell>
        </row>
        <row r="2824">
          <cell r="J2824" t="str">
            <v>Scope 3Hotel stayPoland</v>
          </cell>
          <cell r="L2824">
            <v>39.11920791608344</v>
          </cell>
        </row>
        <row r="2825">
          <cell r="J2825" t="str">
            <v>Scope 3Hotel stayPortugal</v>
          </cell>
          <cell r="L2825">
            <v>36.473384752625947</v>
          </cell>
        </row>
        <row r="2826">
          <cell r="J2826" t="str">
            <v>Scope 3Hotel stayQatar</v>
          </cell>
          <cell r="L2826">
            <v>165.17598310801637</v>
          </cell>
        </row>
        <row r="2827">
          <cell r="J2827" t="str">
            <v>Scope 3Hotel stayRomania</v>
          </cell>
          <cell r="L2827">
            <v>34.161833982091636</v>
          </cell>
        </row>
        <row r="2828">
          <cell r="J2828" t="str">
            <v>Scope 3Hotel stayRussian Federation</v>
          </cell>
          <cell r="L2828">
            <v>37.980628163173535</v>
          </cell>
        </row>
        <row r="2829">
          <cell r="J2829" t="str">
            <v>Scope 3Hotel staySaudi Arabia</v>
          </cell>
          <cell r="L2829">
            <v>156.64337011620293</v>
          </cell>
        </row>
        <row r="2830">
          <cell r="J2830" t="str">
            <v>Scope 3Hotel staySingapore</v>
          </cell>
          <cell r="L2830">
            <v>51.331988006268759</v>
          </cell>
        </row>
        <row r="2831">
          <cell r="J2831" t="str">
            <v>Scope 3Hotel staySlovak Republic</v>
          </cell>
          <cell r="L2831">
            <v>21.340126307499247</v>
          </cell>
        </row>
        <row r="2832">
          <cell r="J2832" t="str">
            <v>Scope 3Hotel staySouth Africa</v>
          </cell>
          <cell r="L2832">
            <v>82.36216616113515</v>
          </cell>
        </row>
        <row r="2833">
          <cell r="J2833" t="str">
            <v>Scope 3Hotel staySpain</v>
          </cell>
          <cell r="L2833">
            <v>20.073118751678589</v>
          </cell>
        </row>
        <row r="2834">
          <cell r="J2834" t="str">
            <v>Scope 3Hotel staySwitzerland</v>
          </cell>
          <cell r="L2834">
            <v>10.745317978366998</v>
          </cell>
        </row>
        <row r="2835">
          <cell r="J2835" t="str">
            <v>Scope 3Hotel stayTaiwan, China</v>
          </cell>
          <cell r="L2835">
            <v>117.81990810145552</v>
          </cell>
        </row>
        <row r="2836">
          <cell r="J2836" t="str">
            <v>Scope 3Hotel stayThailand</v>
          </cell>
          <cell r="L2836">
            <v>59.047166072401389</v>
          </cell>
        </row>
        <row r="2837">
          <cell r="J2837" t="str">
            <v>Scope 3Hotel stayTurkey</v>
          </cell>
          <cell r="L2837">
            <v>41.770225004115687</v>
          </cell>
        </row>
        <row r="2838">
          <cell r="J2838" t="str">
            <v>Scope 3Hotel stayUnited Arab Emirates</v>
          </cell>
          <cell r="L2838">
            <v>145.46219520593925</v>
          </cell>
        </row>
        <row r="2839">
          <cell r="J2839" t="str">
            <v>Scope 3Hotel stayUnited Kingdom</v>
          </cell>
          <cell r="L2839">
            <v>18.411913834381792</v>
          </cell>
        </row>
        <row r="2840">
          <cell r="J2840" t="str">
            <v>Scope 3Hotel stayUnited States</v>
          </cell>
          <cell r="L2840">
            <v>23.037691394877818</v>
          </cell>
        </row>
        <row r="2841">
          <cell r="J2841" t="str">
            <v>Scope 3Hotel stayVietnam</v>
          </cell>
          <cell r="L2841">
            <v>60.124075050203743</v>
          </cell>
        </row>
        <row r="2842">
          <cell r="J2842" t="str">
            <v>Scope 3Hotel stayOther</v>
          </cell>
          <cell r="L2842">
            <v>57.813850633597731</v>
          </cell>
        </row>
        <row r="2843">
          <cell r="J2843" t="str">
            <v>Scope 2ElectricityChoose a country from the listkWh</v>
          </cell>
        </row>
        <row r="2844">
          <cell r="J2844" t="str">
            <v>Scope 2ElectricityAfghanistankWh</v>
          </cell>
          <cell r="L2844">
            <v>0.19324767053546749</v>
          </cell>
        </row>
        <row r="2845">
          <cell r="J2845" t="str">
            <v>Scope 2ElectricityAlbaniakWh</v>
          </cell>
          <cell r="L2845">
            <v>0</v>
          </cell>
        </row>
        <row r="2846">
          <cell r="J2846" t="str">
            <v>Scope 2ElectricityAlgeriakWh</v>
          </cell>
          <cell r="L2846">
            <v>0.39735996599998508</v>
          </cell>
        </row>
        <row r="2847">
          <cell r="J2847" t="str">
            <v>Scope 2ElectricityAmerican SamoakWh</v>
          </cell>
          <cell r="L2847">
            <v>0.51585178606230508</v>
          </cell>
        </row>
        <row r="2848">
          <cell r="J2848" t="str">
            <v>Scope 2ElectricityAndorrakWh</v>
          </cell>
          <cell r="L2848">
            <v>6.9673849573517396E-2</v>
          </cell>
        </row>
        <row r="2849">
          <cell r="J2849" t="str">
            <v>Scope 2ElectricityAngolakWh</v>
          </cell>
          <cell r="L2849">
            <v>0.74769930024477493</v>
          </cell>
        </row>
        <row r="2850">
          <cell r="J2850" t="str">
            <v>Scope 2ElectricityAnguillakWh</v>
          </cell>
          <cell r="L2850">
            <v>0.47154055157656488</v>
          </cell>
        </row>
        <row r="2851">
          <cell r="J2851" t="str">
            <v>Scope 2ElectricityAntigua and BarbudakWh</v>
          </cell>
          <cell r="L2851">
            <v>0.48936326941013636</v>
          </cell>
        </row>
        <row r="2852">
          <cell r="J2852" t="str">
            <v>Scope 2ElectricityArgentinakWh</v>
          </cell>
          <cell r="L2852">
            <v>0.28818336045538856</v>
          </cell>
        </row>
        <row r="2853">
          <cell r="J2853" t="str">
            <v>Scope 2ElectricityArmeniakWh</v>
          </cell>
          <cell r="L2853">
            <v>0.20454483749672869</v>
          </cell>
        </row>
        <row r="2854">
          <cell r="J2854" t="str">
            <v>Scope 2ElectricityArubakWh</v>
          </cell>
          <cell r="L2854">
            <v>0.42110279162662789</v>
          </cell>
        </row>
        <row r="2855">
          <cell r="J2855" t="str">
            <v>Scope 2ElectricityAustraliakWh</v>
          </cell>
          <cell r="L2855">
            <v>0.42053363647474784</v>
          </cell>
        </row>
        <row r="2856">
          <cell r="J2856" t="str">
            <v>Scope 2ElectricityAustriakWh</v>
          </cell>
          <cell r="L2856">
            <v>0.11306459924536531</v>
          </cell>
        </row>
        <row r="2857">
          <cell r="J2857" t="str">
            <v>Scope 2ElectricityAzerbaijankWh</v>
          </cell>
          <cell r="L2857">
            <v>0.38434324668477948</v>
          </cell>
        </row>
        <row r="2858">
          <cell r="J2858" t="str">
            <v>Scope 2ElectricityBahamaskWh</v>
          </cell>
          <cell r="L2858">
            <v>0.44084390528246614</v>
          </cell>
        </row>
        <row r="2859">
          <cell r="J2859" t="str">
            <v>Scope 2ElectricityBahrainkWh</v>
          </cell>
          <cell r="L2859">
            <v>0.45426772236082774</v>
          </cell>
        </row>
        <row r="2860">
          <cell r="J2860" t="str">
            <v>Scope 2ElectricityBangladeshkWh</v>
          </cell>
          <cell r="L2860">
            <v>0.41171393976072629</v>
          </cell>
        </row>
        <row r="2861">
          <cell r="J2861" t="str">
            <v>Scope 2ElectricityBarbadoskWh</v>
          </cell>
          <cell r="L2861">
            <v>0.48399970861244168</v>
          </cell>
        </row>
        <row r="2862">
          <cell r="J2862" t="str">
            <v>Scope 2ElectricityBelaruskWh</v>
          </cell>
          <cell r="L2862">
            <v>0.29156017074610707</v>
          </cell>
        </row>
        <row r="2863">
          <cell r="J2863" t="str">
            <v>Scope 2ElectricityBelgiumkWh</v>
          </cell>
          <cell r="L2863">
            <v>0.12439442830229973</v>
          </cell>
        </row>
        <row r="2864">
          <cell r="J2864" t="str">
            <v>Scope 2ElectricityBelizekWh</v>
          </cell>
          <cell r="L2864">
            <v>0.18295145194239501</v>
          </cell>
        </row>
        <row r="2865">
          <cell r="J2865" t="str">
            <v>Scope 2ElectricityBeninkWh</v>
          </cell>
          <cell r="L2865">
            <v>0.57576498270398824</v>
          </cell>
        </row>
        <row r="2866">
          <cell r="J2866" t="str">
            <v>Scope 2ElectricityBermudakWh</v>
          </cell>
          <cell r="L2866">
            <v>0.34150887228045818</v>
          </cell>
        </row>
        <row r="2867">
          <cell r="J2867" t="str">
            <v>Scope 2ElectricityBhutankWh</v>
          </cell>
          <cell r="L2867">
            <v>0</v>
          </cell>
        </row>
        <row r="2868">
          <cell r="J2868" t="str">
            <v>Scope 2ElectricityBolivia (Plurinational State of)kWh</v>
          </cell>
          <cell r="L2868">
            <v>0.39328922931458055</v>
          </cell>
        </row>
        <row r="2869">
          <cell r="J2869" t="str">
            <v>Scope 2ElectricityBonaire, Sint Eustatius and SabakWh</v>
          </cell>
          <cell r="L2869">
            <v>0.4002008502268069</v>
          </cell>
        </row>
        <row r="2870">
          <cell r="J2870" t="str">
            <v>Scope 2ElectricityBosnia and HerzegovinakWh</v>
          </cell>
          <cell r="L2870">
            <v>0.73899703898176494</v>
          </cell>
        </row>
        <row r="2871">
          <cell r="J2871" t="str">
            <v>Scope 2ElectricityBotswanakWh</v>
          </cell>
          <cell r="L2871">
            <v>1.0702660561769677</v>
          </cell>
        </row>
        <row r="2872">
          <cell r="J2872" t="str">
            <v>Scope 2ElectricityBrazilkWh</v>
          </cell>
          <cell r="L2872">
            <v>0.15002455524249805</v>
          </cell>
        </row>
        <row r="2873">
          <cell r="J2873" t="str">
            <v>Scope 2ElectricityBritish Virgin IslandskWh</v>
          </cell>
          <cell r="L2873">
            <v>0.42019370651198024</v>
          </cell>
        </row>
        <row r="2874">
          <cell r="J2874" t="str">
            <v>Scope 2ElectricityBrunei DarussalamkWh</v>
          </cell>
          <cell r="L2874">
            <v>0.40716262469847075</v>
          </cell>
        </row>
        <row r="2875">
          <cell r="J2875" t="str">
            <v>Scope 2ElectricityBulgariakWh</v>
          </cell>
          <cell r="L2875">
            <v>0.49528073716719095</v>
          </cell>
        </row>
        <row r="2876">
          <cell r="J2876" t="str">
            <v>Scope 2ElectricityBurkina FasokWh</v>
          </cell>
          <cell r="L2876">
            <v>0.53909725528687413</v>
          </cell>
        </row>
        <row r="2877">
          <cell r="J2877" t="str">
            <v>Scope 2ElectricityBurundikWh</v>
          </cell>
          <cell r="L2877">
            <v>0.19702455268316243</v>
          </cell>
        </row>
        <row r="2878">
          <cell r="J2878" t="str">
            <v>Scope 2ElectricityCambodiakWh</v>
          </cell>
          <cell r="L2878">
            <v>0.5878056579166453</v>
          </cell>
        </row>
        <row r="2879">
          <cell r="J2879" t="str">
            <v>Scope 2ElectricityCameroonkWh</v>
          </cell>
          <cell r="L2879">
            <v>0.35435330317016411</v>
          </cell>
        </row>
        <row r="2880">
          <cell r="J2880" t="str">
            <v>Scope 2ElectricityCanadakWh</v>
          </cell>
          <cell r="L2880">
            <v>0.21336269883078726</v>
          </cell>
        </row>
        <row r="2881">
          <cell r="J2881" t="str">
            <v>Scope 2ElectricityCanary Islands (Spain)kWh</v>
          </cell>
          <cell r="L2881">
            <v>0.43481413856751822</v>
          </cell>
        </row>
        <row r="2882">
          <cell r="J2882" t="str">
            <v>Scope 2ElectricityCabo VerdekWh</v>
          </cell>
          <cell r="L2882">
            <v>0.50502036075606649</v>
          </cell>
        </row>
        <row r="2883">
          <cell r="J2883" t="str">
            <v>Scope 2ElectricityCayman IslandskWh</v>
          </cell>
          <cell r="L2883">
            <v>0.3726714673977749</v>
          </cell>
        </row>
        <row r="2884">
          <cell r="J2884" t="str">
            <v>Scope 2ElectricityCentral African RepublickWh</v>
          </cell>
          <cell r="L2884">
            <v>7.6543270540411157E-2</v>
          </cell>
        </row>
        <row r="2885">
          <cell r="J2885" t="str">
            <v>Scope 2ElectricityChadkWh</v>
          </cell>
          <cell r="L2885">
            <v>0.58085894445251807</v>
          </cell>
        </row>
        <row r="2886">
          <cell r="J2886" t="str">
            <v>Scope 2ElectricityChannel Islands (U.K)kWh</v>
          </cell>
          <cell r="L2886">
            <v>0.38864330796075547</v>
          </cell>
        </row>
        <row r="2887">
          <cell r="J2887" t="str">
            <v>Scope 2ElectricityChilekWh</v>
          </cell>
          <cell r="L2887">
            <v>0.23522759412950062</v>
          </cell>
        </row>
        <row r="2888">
          <cell r="J2888" t="str">
            <v>Scope 2ElectricityChinakWh</v>
          </cell>
          <cell r="L2888">
            <v>0.48541165818310938</v>
          </cell>
        </row>
        <row r="2889">
          <cell r="J2889" t="str">
            <v>Scope 2ElectricityColombiakWh</v>
          </cell>
          <cell r="L2889">
            <v>0.2083405816551489</v>
          </cell>
        </row>
        <row r="2890">
          <cell r="J2890" t="str">
            <v>Scope 2ElectricityComoroskWh</v>
          </cell>
          <cell r="L2890">
            <v>0.58911210738721209</v>
          </cell>
        </row>
        <row r="2891">
          <cell r="J2891" t="str">
            <v>Scope 2ElectricityDemocratic Republic of the CongokWh</v>
          </cell>
          <cell r="L2891">
            <v>3.7319499906670749E-4</v>
          </cell>
        </row>
        <row r="2892">
          <cell r="J2892" t="str">
            <v>Scope 2ElectricityCongokWh</v>
          </cell>
          <cell r="L2892">
            <v>0.40527115015885989</v>
          </cell>
        </row>
        <row r="2893">
          <cell r="J2893" t="str">
            <v>Scope 2ElectricityCook IslandskWh</v>
          </cell>
          <cell r="L2893">
            <v>0.42172474668190363</v>
          </cell>
        </row>
        <row r="2894">
          <cell r="J2894" t="str">
            <v>Scope 2ElectricityCosta RicakWh</v>
          </cell>
          <cell r="L2894">
            <v>3.8890542905425193E-2</v>
          </cell>
        </row>
        <row r="2895">
          <cell r="J2895" t="str">
            <v>Scope 2ElectricityCôte d’IvoirekWh</v>
          </cell>
          <cell r="L2895">
            <v>0.31423207204883674</v>
          </cell>
        </row>
        <row r="2896">
          <cell r="J2896" t="str">
            <v>Scope 2ElectricityCroatiakWh</v>
          </cell>
          <cell r="L2896">
            <v>0.16786317078875765</v>
          </cell>
        </row>
        <row r="2897">
          <cell r="J2897" t="str">
            <v>Scope 2ElectricityCubakWh</v>
          </cell>
          <cell r="L2897">
            <v>0.39116420340992103</v>
          </cell>
        </row>
        <row r="2898">
          <cell r="J2898" t="str">
            <v>Scope 2ElectricityCuraçaokWh</v>
          </cell>
          <cell r="L2898">
            <v>0.50573442734547314</v>
          </cell>
        </row>
        <row r="2899">
          <cell r="J2899" t="str">
            <v>Scope 2ElectricityCypruskWh</v>
          </cell>
          <cell r="L2899">
            <v>0.43803047550899349</v>
          </cell>
        </row>
        <row r="2900">
          <cell r="J2900" t="str">
            <v>Scope 2ElectricityCzechiakWh</v>
          </cell>
          <cell r="L2900">
            <v>0.46130532071465791</v>
          </cell>
        </row>
        <row r="2901">
          <cell r="J2901" t="str">
            <v>Scope 2ElectricityDenmarkkWh</v>
          </cell>
          <cell r="L2901">
            <v>0.15524215224135512</v>
          </cell>
        </row>
        <row r="2902">
          <cell r="J2902" t="str">
            <v>Scope 2ElectricityDjiboutikWh</v>
          </cell>
          <cell r="L2902">
            <v>0.5754710042947454</v>
          </cell>
        </row>
        <row r="2903">
          <cell r="J2903" t="str">
            <v>Scope 2ElectricityDominicakWh</v>
          </cell>
          <cell r="L2903">
            <v>0.43287633042985701</v>
          </cell>
        </row>
        <row r="2904">
          <cell r="J2904" t="str">
            <v>Scope 2ElectricityDominican RepublickWh</v>
          </cell>
          <cell r="L2904">
            <v>0.4262199044106032</v>
          </cell>
        </row>
        <row r="2905">
          <cell r="J2905" t="str">
            <v>Scope 2ElectricityEcuadorkWh</v>
          </cell>
          <cell r="L2905">
            <v>0.2800294909278872</v>
          </cell>
        </row>
        <row r="2906">
          <cell r="J2906" t="str">
            <v>Scope 2ElectricityEgyptkWh</v>
          </cell>
          <cell r="L2906">
            <v>0.40588937135029746</v>
          </cell>
        </row>
        <row r="2907">
          <cell r="J2907" t="str">
            <v>Scope 2ElectricityEl SalvadorkWh</v>
          </cell>
          <cell r="L2907">
            <v>0.27485008888093454</v>
          </cell>
        </row>
        <row r="2908">
          <cell r="J2908" t="str">
            <v>Scope 2ElectricityEquatorial GuineakWh</v>
          </cell>
          <cell r="L2908">
            <v>0.36114391543849622</v>
          </cell>
        </row>
        <row r="2909">
          <cell r="J2909" t="str">
            <v>Scope 2ElectricityEritreakWh</v>
          </cell>
          <cell r="L2909">
            <v>0.70365909562906104</v>
          </cell>
        </row>
        <row r="2910">
          <cell r="J2910" t="str">
            <v>Scope 2ElectricityEstoniakWh</v>
          </cell>
          <cell r="L2910">
            <v>0.62515083075896127</v>
          </cell>
        </row>
        <row r="2911">
          <cell r="J2911" t="str">
            <v>Scope 2ElectricityEswatinikWh</v>
          </cell>
          <cell r="L2911">
            <v>0</v>
          </cell>
        </row>
        <row r="2912">
          <cell r="J2912" t="str">
            <v>Scope 2ElectricityEthiopiakWh</v>
          </cell>
          <cell r="L2912">
            <v>1.4137451606587194E-4</v>
          </cell>
        </row>
        <row r="2913">
          <cell r="J2913" t="str">
            <v>Scope 2ElectricityFalkland Islands (Malvinas)kWh</v>
          </cell>
          <cell r="L2913">
            <v>0.31556387781247658</v>
          </cell>
        </row>
        <row r="2914">
          <cell r="J2914" t="str">
            <v>Scope 2ElectricityFaroe IslandskWh</v>
          </cell>
          <cell r="L2914">
            <v>0.32041067403125012</v>
          </cell>
        </row>
        <row r="2915">
          <cell r="J2915" t="str">
            <v>Scope 2ElectricityFijikWh</v>
          </cell>
          <cell r="L2915">
            <v>0.33444750654637956</v>
          </cell>
        </row>
        <row r="2916">
          <cell r="J2916" t="str">
            <v>Scope 2ElectricityFinlandkWh</v>
          </cell>
          <cell r="L2916">
            <v>0.11407744325305934</v>
          </cell>
        </row>
        <row r="2917">
          <cell r="J2917" t="str">
            <v>Scope 2ElectricityFrancekWh</v>
          </cell>
          <cell r="L2917">
            <v>6.7622730217810498E-2</v>
          </cell>
        </row>
        <row r="2918">
          <cell r="J2918" t="str">
            <v>Scope 2ElectricityFrench GuianakWh</v>
          </cell>
          <cell r="L2918">
            <v>0.19963952023268763</v>
          </cell>
        </row>
        <row r="2919">
          <cell r="J2919" t="str">
            <v>Scope 2ElectricityFrench PolynesiakWh</v>
          </cell>
          <cell r="L2919">
            <v>0.41246692155998732</v>
          </cell>
        </row>
        <row r="2920">
          <cell r="J2920" t="str">
            <v>Scope 2ElectricityGabonkWh</v>
          </cell>
          <cell r="L2920">
            <v>0.53293431460808716</v>
          </cell>
        </row>
        <row r="2921">
          <cell r="J2921" t="str">
            <v>Scope 2ElectricityGambiakWh</v>
          </cell>
          <cell r="L2921">
            <v>0.59097362870842962</v>
          </cell>
        </row>
        <row r="2922">
          <cell r="J2922" t="str">
            <v>Scope 2ElectricityGeorgiakWh</v>
          </cell>
          <cell r="L2922">
            <v>0.13546579806767312</v>
          </cell>
        </row>
        <row r="2923">
          <cell r="J2923" t="str">
            <v>Scope 2ElectricityGermanykWh</v>
          </cell>
          <cell r="L2923">
            <v>0.31288448375889327</v>
          </cell>
        </row>
        <row r="2924">
          <cell r="J2924" t="str">
            <v>Scope 2ElectricityGhanakWh</v>
          </cell>
          <cell r="L2924">
            <v>0.27598720016838457</v>
          </cell>
        </row>
        <row r="2925">
          <cell r="J2925" t="str">
            <v>Scope 2ElectricityGibraltarkWh</v>
          </cell>
          <cell r="L2925">
            <v>0.36878488096005385</v>
          </cell>
        </row>
        <row r="2926">
          <cell r="J2926" t="str">
            <v>Scope 2ElectricityGreecekWh</v>
          </cell>
          <cell r="L2926">
            <v>0.34584365638438352</v>
          </cell>
        </row>
        <row r="2927">
          <cell r="J2927" t="str">
            <v>Scope 2ElectricityGreenlandkWh</v>
          </cell>
          <cell r="L2927">
            <v>0.10481543874366528</v>
          </cell>
        </row>
        <row r="2928">
          <cell r="J2928" t="str">
            <v>Scope 2ElectricityGrenadakWh</v>
          </cell>
          <cell r="L2928">
            <v>0.52269728550429639</v>
          </cell>
        </row>
        <row r="2929">
          <cell r="J2929" t="str">
            <v>Scope 2ElectricityGuadeloupekWh</v>
          </cell>
          <cell r="L2929">
            <v>0.43283816382376417</v>
          </cell>
        </row>
        <row r="2930">
          <cell r="J2930" t="str">
            <v>Scope 2ElectricityGuamkWh</v>
          </cell>
          <cell r="L2930">
            <v>0.42781751637600723</v>
          </cell>
        </row>
        <row r="2931">
          <cell r="J2931" t="str">
            <v>Scope 2ElectricityGuatemalakWh</v>
          </cell>
          <cell r="L2931">
            <v>0.42710028162566133</v>
          </cell>
        </row>
        <row r="2932">
          <cell r="J2932" t="str">
            <v>Scope 2ElectricityGuineakWh</v>
          </cell>
          <cell r="L2932">
            <v>0.45955350776006648</v>
          </cell>
        </row>
        <row r="2933">
          <cell r="J2933" t="str">
            <v>Scope 2ElectricityGuinea-BissaukWh</v>
          </cell>
          <cell r="L2933">
            <v>0.57722616240922886</v>
          </cell>
        </row>
        <row r="2934">
          <cell r="J2934" t="str">
            <v>Scope 2ElectricityGuyanakWh</v>
          </cell>
          <cell r="L2934">
            <v>0.61569957527366181</v>
          </cell>
        </row>
        <row r="2935">
          <cell r="J2935" t="str">
            <v>Scope 2ElectricityHaitikWh</v>
          </cell>
          <cell r="L2935">
            <v>0.76461328169482057</v>
          </cell>
        </row>
        <row r="2936">
          <cell r="J2936" t="str">
            <v>Scope 2ElectricityHonduraskWh</v>
          </cell>
          <cell r="L2936">
            <v>0.35908721846448904</v>
          </cell>
        </row>
        <row r="2937">
          <cell r="J2937" t="str">
            <v>Scope 2ElectricityHungarykWh</v>
          </cell>
          <cell r="L2937">
            <v>0.19106812185105576</v>
          </cell>
        </row>
        <row r="2938">
          <cell r="J2938" t="str">
            <v>Scope 2ElectricityIcelandkWh</v>
          </cell>
          <cell r="L2938">
            <v>3.231426044255337E-5</v>
          </cell>
        </row>
        <row r="2939">
          <cell r="J2939" t="str">
            <v>Scope 2ElectricityIndiakWh</v>
          </cell>
          <cell r="L2939">
            <v>0.60769882173352263</v>
          </cell>
        </row>
        <row r="2940">
          <cell r="J2940" t="str">
            <v>Scope 2ElectricityIndonesiakWh</v>
          </cell>
          <cell r="L2940">
            <v>0.67450011325265746</v>
          </cell>
        </row>
        <row r="2941">
          <cell r="J2941" t="str">
            <v>Scope 2ElectricityIran (Islamic Republic of)kWh</v>
          </cell>
          <cell r="L2941">
            <v>0.42091570869559075</v>
          </cell>
        </row>
        <row r="2942">
          <cell r="J2942" t="str">
            <v>Scope 2ElectricityIraqkWh</v>
          </cell>
          <cell r="L2942">
            <v>0.78791671856532819</v>
          </cell>
        </row>
        <row r="2943">
          <cell r="J2943" t="str">
            <v>Scope 2ElectricityIrelandkWh</v>
          </cell>
          <cell r="L2943">
            <v>0.18948199631026585</v>
          </cell>
        </row>
        <row r="2944">
          <cell r="J2944" t="str">
            <v>Scope 2ElectricityIsle of MankWh</v>
          </cell>
          <cell r="L2944">
            <v>0.20425785650194292</v>
          </cell>
        </row>
        <row r="2945">
          <cell r="J2945" t="str">
            <v>Scope 2ElectricityIsraelkWh</v>
          </cell>
          <cell r="L2945">
            <v>0.25834601334393376</v>
          </cell>
        </row>
        <row r="2946">
          <cell r="J2946" t="str">
            <v>Scope 2ElectricityItalykWh</v>
          </cell>
          <cell r="L2946">
            <v>0.2237124367134288</v>
          </cell>
        </row>
        <row r="2947">
          <cell r="J2947" t="str">
            <v>Scope 2ElectricityJamaicakWh</v>
          </cell>
          <cell r="L2947">
            <v>0.49760415303551148</v>
          </cell>
        </row>
        <row r="2948">
          <cell r="J2948" t="str">
            <v>Scope 2ElectricityJapankWh</v>
          </cell>
          <cell r="L2948">
            <v>0.40825411194196204</v>
          </cell>
        </row>
        <row r="2949">
          <cell r="J2949" t="str">
            <v>Scope 2ElectricityJordankWh</v>
          </cell>
          <cell r="L2949">
            <v>0.38186279856047622</v>
          </cell>
        </row>
        <row r="2950">
          <cell r="J2950" t="str">
            <v>Scope 2ElectricityKazakhstankWh</v>
          </cell>
          <cell r="L2950">
            <v>0.53221770407285385</v>
          </cell>
        </row>
        <row r="2951">
          <cell r="J2951" t="str">
            <v>Scope 2ElectricityKenyakWh</v>
          </cell>
          <cell r="L2951">
            <v>0.27425803622160261</v>
          </cell>
        </row>
        <row r="2952">
          <cell r="J2952" t="str">
            <v>Scope 2ElectricityKiribatikWh</v>
          </cell>
          <cell r="L2952">
            <v>0.52962444777366813</v>
          </cell>
        </row>
        <row r="2953">
          <cell r="J2953" t="str">
            <v>Scope 2ElectricityDemocratic People's Republic of KoreakWh</v>
          </cell>
          <cell r="L2953">
            <v>0.35948250254137204</v>
          </cell>
        </row>
        <row r="2954">
          <cell r="J2954" t="str">
            <v>Scope 2ElectricityRepublic of KoreakWh</v>
          </cell>
          <cell r="L2954">
            <v>0.33504687976350889</v>
          </cell>
        </row>
        <row r="2955">
          <cell r="J2955" t="str">
            <v>Scope 2ElectricityKosovokWh</v>
          </cell>
          <cell r="L2955">
            <v>0.84281577966221954</v>
          </cell>
        </row>
        <row r="2956">
          <cell r="J2956" t="str">
            <v>Scope 2ElectricityKuwaitkWh</v>
          </cell>
          <cell r="L2956">
            <v>0.39976965536565945</v>
          </cell>
        </row>
        <row r="2957">
          <cell r="J2957" t="str">
            <v>Scope 2ElectricityKyrgyzstankWh</v>
          </cell>
          <cell r="L2957">
            <v>9.7720914461216501E-2</v>
          </cell>
        </row>
        <row r="2958">
          <cell r="J2958" t="str">
            <v>Scope 2ElectricityLao People's Democratic RepublickWh</v>
          </cell>
          <cell r="L2958">
            <v>0.55456191213040507</v>
          </cell>
        </row>
        <row r="2959">
          <cell r="J2959" t="str">
            <v>Scope 2ElectricityLatviakWh</v>
          </cell>
          <cell r="L2959">
            <v>0.11720603105855093</v>
          </cell>
        </row>
        <row r="2960">
          <cell r="J2960" t="str">
            <v>Scope 2ElectricityLebanonkWh</v>
          </cell>
          <cell r="L2960">
            <v>0.56698500341756064</v>
          </cell>
        </row>
        <row r="2961">
          <cell r="J2961" t="str">
            <v>Scope 2ElectricityLesothokWh</v>
          </cell>
          <cell r="L2961">
            <v>0</v>
          </cell>
        </row>
        <row r="2962">
          <cell r="J2962" t="str">
            <v>Scope 2ElectricityLiberiakWh</v>
          </cell>
          <cell r="L2962">
            <v>0.37391313303397694</v>
          </cell>
        </row>
        <row r="2963">
          <cell r="J2963" t="str">
            <v>Scope 2ElectricityLibyakWh</v>
          </cell>
          <cell r="L2963">
            <v>0.49333625699416395</v>
          </cell>
        </row>
        <row r="2964">
          <cell r="J2964" t="str">
            <v>Scope 2ElectricityLiechtensteinkWh</v>
          </cell>
          <cell r="L2964">
            <v>5.2102600496927873E-2</v>
          </cell>
        </row>
        <row r="2965">
          <cell r="J2965" t="str">
            <v>Scope 2ElectricityLithuaniakWh</v>
          </cell>
          <cell r="L2965">
            <v>0.10184412274316461</v>
          </cell>
        </row>
        <row r="2966">
          <cell r="J2966" t="str">
            <v>Scope 2ElectricityLuxembourgkWh</v>
          </cell>
          <cell r="L2966">
            <v>9.5040592324606502E-2</v>
          </cell>
        </row>
        <row r="2967">
          <cell r="J2967" t="str">
            <v>Scope 2ElectricityMadagascarkWh</v>
          </cell>
          <cell r="L2967">
            <v>0.5674109228654125</v>
          </cell>
        </row>
        <row r="2968">
          <cell r="J2968" t="str">
            <v>Scope 2ElectricityMadeira (Portugal)kWh</v>
          </cell>
          <cell r="L2968">
            <v>0.36866348192449871</v>
          </cell>
        </row>
        <row r="2969">
          <cell r="J2969" t="str">
            <v>Scope 2ElectricityMalawikWh</v>
          </cell>
          <cell r="L2969">
            <v>0.24273169367576958</v>
          </cell>
        </row>
        <row r="2970">
          <cell r="J2970" t="str">
            <v>Scope 2ElectricityMalaysiakWh</v>
          </cell>
          <cell r="L2970">
            <v>0.43619213559667075</v>
          </cell>
        </row>
        <row r="2971">
          <cell r="J2971" t="str">
            <v>Scope 2ElectricityMaldiveskWh</v>
          </cell>
          <cell r="L2971">
            <v>0.52446028262705113</v>
          </cell>
        </row>
        <row r="2972">
          <cell r="J2972" t="str">
            <v>Scope 2ElectricityMalikWh</v>
          </cell>
          <cell r="L2972">
            <v>0.62337167550636152</v>
          </cell>
        </row>
        <row r="2973">
          <cell r="J2973" t="str">
            <v>Scope 2ElectricityMaltakWh</v>
          </cell>
          <cell r="L2973">
            <v>0.29451240553406732</v>
          </cell>
        </row>
        <row r="2974">
          <cell r="J2974" t="str">
            <v>Scope 2ElectricityMarshall IslandskWh</v>
          </cell>
          <cell r="L2974">
            <v>0.56092326136014525</v>
          </cell>
        </row>
        <row r="2975">
          <cell r="J2975" t="str">
            <v>Scope 2ElectricityMartiniquekWh</v>
          </cell>
          <cell r="L2975">
            <v>0.40642868750288047</v>
          </cell>
        </row>
        <row r="2976">
          <cell r="J2976" t="str">
            <v>Scope 2ElectricityMauritaniakWh</v>
          </cell>
          <cell r="L2976">
            <v>0.51312073333186736</v>
          </cell>
        </row>
        <row r="2977">
          <cell r="J2977" t="str">
            <v>Scope 2ElectricityMauritiuskWh</v>
          </cell>
          <cell r="L2977">
            <v>0.54276295631382909</v>
          </cell>
        </row>
        <row r="2978">
          <cell r="J2978" t="str">
            <v>Scope 2ElectricityMayottekWh</v>
          </cell>
          <cell r="L2978">
            <v>0.51198871954868208</v>
          </cell>
        </row>
        <row r="2979">
          <cell r="J2979" t="str">
            <v>Scope 2ElectricityMexicokWh</v>
          </cell>
          <cell r="L2979">
            <v>0.3585044788030079</v>
          </cell>
        </row>
        <row r="2980">
          <cell r="J2980" t="str">
            <v>Scope 2ElectricityMicronesia (Federated States of)kWh</v>
          </cell>
          <cell r="L2980">
            <v>0.55663058873345128</v>
          </cell>
        </row>
        <row r="2981">
          <cell r="J2981" t="str">
            <v>Scope 2ElectricityRepublic of MoldovakWh</v>
          </cell>
          <cell r="L2981">
            <v>0.39925864856099397</v>
          </cell>
        </row>
        <row r="2982">
          <cell r="J2982" t="str">
            <v>Scope 2ElectricityMonacokWh</v>
          </cell>
          <cell r="L2982">
            <v>6.7622730217810498E-2</v>
          </cell>
        </row>
        <row r="2983">
          <cell r="J2983" t="str">
            <v>Scope 2ElectricityMongoliakWh</v>
          </cell>
          <cell r="L2983">
            <v>1.0019513225318539</v>
          </cell>
        </row>
        <row r="2984">
          <cell r="J2984" t="str">
            <v>Scope 2ElectricityMontenegrokWh</v>
          </cell>
          <cell r="L2984">
            <v>0.47104345150526139</v>
          </cell>
        </row>
        <row r="2985">
          <cell r="J2985" t="str">
            <v>Scope 2ElectricityMontserratkWh</v>
          </cell>
          <cell r="L2985">
            <v>0.51698656568336265</v>
          </cell>
        </row>
        <row r="2986">
          <cell r="J2986" t="str">
            <v>Scope 2ElectricityMoroccokWh</v>
          </cell>
          <cell r="L2986">
            <v>0.54682711469820466</v>
          </cell>
        </row>
        <row r="2987">
          <cell r="J2987" t="str">
            <v>Scope 2ElectricityMozambiquekWh</v>
          </cell>
          <cell r="L2987">
            <v>0.1107817145243435</v>
          </cell>
        </row>
        <row r="2988">
          <cell r="J2988" t="str">
            <v>Scope 2ElectricityMyanmarkWh</v>
          </cell>
          <cell r="L2988">
            <v>0.40681016900032624</v>
          </cell>
        </row>
        <row r="2989">
          <cell r="J2989" t="str">
            <v>Scope 2ElectricityNamibiakWh</v>
          </cell>
          <cell r="L2989">
            <v>0.13857700071594978</v>
          </cell>
        </row>
        <row r="2990">
          <cell r="J2990" t="str">
            <v>Scope 2ElectricityNaurukWh</v>
          </cell>
          <cell r="L2990">
            <v>0.52069892127579132</v>
          </cell>
        </row>
        <row r="2991">
          <cell r="J2991" t="str">
            <v>Scope 2ElectricityNepalkWh</v>
          </cell>
          <cell r="L2991">
            <v>6.6276843991052158E-6</v>
          </cell>
        </row>
        <row r="2992">
          <cell r="J2992" t="str">
            <v>Scope 2ElectricityNetherlandskWh</v>
          </cell>
          <cell r="L2992">
            <v>0.20290214501138071</v>
          </cell>
        </row>
        <row r="2993">
          <cell r="J2993" t="str">
            <v>Scope 2ElectricityNew CaledoniakWh</v>
          </cell>
          <cell r="L2993">
            <v>0.44534111591181663</v>
          </cell>
        </row>
        <row r="2994">
          <cell r="J2994" t="str">
            <v>Scope 2ElectricityNew ZealandkWh</v>
          </cell>
          <cell r="L2994">
            <v>0.10755764507409099</v>
          </cell>
        </row>
        <row r="2995">
          <cell r="J2995" t="str">
            <v>Scope 2ElectricityNicaraguakWh</v>
          </cell>
          <cell r="L2995">
            <v>0.37197235053851918</v>
          </cell>
        </row>
        <row r="2996">
          <cell r="J2996" t="str">
            <v>Scope 2ElectricityNigerkWh</v>
          </cell>
          <cell r="L2996">
            <v>0.71789801320725932</v>
          </cell>
        </row>
        <row r="2997">
          <cell r="J2997" t="str">
            <v>Scope 2ElectricityNigeriakWh</v>
          </cell>
          <cell r="L2997">
            <v>0.3575957660375868</v>
          </cell>
        </row>
        <row r="2998">
          <cell r="J2998" t="str">
            <v>Scope 2ElectricityNiuekWh</v>
          </cell>
          <cell r="L2998">
            <v>0.45884793344512081</v>
          </cell>
        </row>
        <row r="2999">
          <cell r="J2999" t="str">
            <v>Scope 2ElectricityNorth MacedoniakWh</v>
          </cell>
          <cell r="L2999">
            <v>0.56284600575398869</v>
          </cell>
        </row>
        <row r="3000">
          <cell r="J3000" t="str">
            <v>Scope 2ElectricityNorthern Mariana IslandskWh</v>
          </cell>
          <cell r="L3000">
            <v>0.4162459313245922</v>
          </cell>
        </row>
        <row r="3001">
          <cell r="J3001" t="str">
            <v>Scope 2ElectricityNorwaykWh</v>
          </cell>
          <cell r="L3001">
            <v>1.6926232606405134E-2</v>
          </cell>
        </row>
        <row r="3002">
          <cell r="J3002" t="str">
            <v>Scope 2ElectricityOmankWh</v>
          </cell>
          <cell r="L3002">
            <v>0.31962029301215278</v>
          </cell>
        </row>
        <row r="3003">
          <cell r="J3003" t="str">
            <v>Scope 2ElectricityPakistankWh</v>
          </cell>
          <cell r="L3003">
            <v>0.38558443628385586</v>
          </cell>
        </row>
        <row r="3004">
          <cell r="J3004" t="str">
            <v>Scope 2ElectricityPalaukWh</v>
          </cell>
          <cell r="L3004">
            <v>0.4971949420275612</v>
          </cell>
        </row>
        <row r="3005">
          <cell r="J3005" t="str">
            <v>Scope 2ElectricityState of PalestinekWh</v>
          </cell>
          <cell r="L3005">
            <v>0.51682063307465376</v>
          </cell>
        </row>
        <row r="3006">
          <cell r="J3006" t="str">
            <v>Scope 2ElectricityPanamakWh</v>
          </cell>
          <cell r="L3006">
            <v>0.23033956010958131</v>
          </cell>
        </row>
        <row r="3007">
          <cell r="J3007" t="str">
            <v>Scope 2ElectricityPapua New GuineakWh</v>
          </cell>
          <cell r="L3007">
            <v>0.31514070998677302</v>
          </cell>
        </row>
        <row r="3008">
          <cell r="J3008" t="str">
            <v>Scope 2ElectricityParaguaykWh</v>
          </cell>
          <cell r="L3008">
            <v>1.4536672318183018E-5</v>
          </cell>
        </row>
        <row r="3009">
          <cell r="J3009" t="str">
            <v>Scope 2ElectricityPerukWh</v>
          </cell>
          <cell r="L3009">
            <v>0.25231024108828437</v>
          </cell>
        </row>
        <row r="3010">
          <cell r="J3010" t="str">
            <v>Scope 2ElectricityPhilippineskWh</v>
          </cell>
          <cell r="L3010">
            <v>0.52498668142032645</v>
          </cell>
        </row>
        <row r="3011">
          <cell r="J3011" t="str">
            <v>Scope 2ElectricityPolandkWh</v>
          </cell>
          <cell r="L3011">
            <v>0.53206927838391549</v>
          </cell>
        </row>
        <row r="3012">
          <cell r="J3012" t="str">
            <v>Scope 2ElectricityPortugalkWh</v>
          </cell>
          <cell r="L3012">
            <v>0.2277425886338198</v>
          </cell>
        </row>
        <row r="3013">
          <cell r="J3013" t="str">
            <v>Scope 2ElectricityPuerto RicokWh</v>
          </cell>
          <cell r="L3013">
            <v>0.36161668730944324</v>
          </cell>
        </row>
        <row r="3014">
          <cell r="J3014" t="str">
            <v>Scope 2ElectricityQatarkWh</v>
          </cell>
          <cell r="L3014">
            <v>0.25811205740676596</v>
          </cell>
        </row>
        <row r="3015">
          <cell r="J3015" t="str">
            <v>Scope 2ElectricityRéunionkWh</v>
          </cell>
          <cell r="L3015">
            <v>0.42085798097804822</v>
          </cell>
        </row>
        <row r="3016">
          <cell r="J3016" t="str">
            <v>Scope 2ElectricityRomaniakWh</v>
          </cell>
          <cell r="L3016">
            <v>0.28947954702504602</v>
          </cell>
        </row>
        <row r="3017">
          <cell r="J3017" t="str">
            <v>Scope 2ElectricityRussian FederationkWh</v>
          </cell>
          <cell r="L3017">
            <v>0.36002424543556277</v>
          </cell>
        </row>
        <row r="3018">
          <cell r="J3018" t="str">
            <v>Scope 2ElectricityRwandakWh</v>
          </cell>
          <cell r="L3018">
            <v>0.41600923480616653</v>
          </cell>
        </row>
        <row r="3019">
          <cell r="J3019" t="str">
            <v>Scope 2ElectricitySaint HelenakWh</v>
          </cell>
          <cell r="L3019">
            <v>0.45612301120760934</v>
          </cell>
        </row>
        <row r="3020">
          <cell r="J3020" t="str">
            <v>Scope 2ElectricitySaint Kitts and NeviskWh</v>
          </cell>
          <cell r="L3020">
            <v>0.47708604640944624</v>
          </cell>
        </row>
        <row r="3021">
          <cell r="J3021" t="str">
            <v>Scope 2ElectricitySaint LuciakWh</v>
          </cell>
          <cell r="L3021">
            <v>0.52090705415317162</v>
          </cell>
        </row>
        <row r="3022">
          <cell r="J3022" t="str">
            <v>Scope 2ElectricitySaint Martin (French Part)kWh</v>
          </cell>
          <cell r="L3022">
            <v>0.4835549541152917</v>
          </cell>
        </row>
        <row r="3023">
          <cell r="J3023" t="str">
            <v>Scope 2ElectricitySaint Pierre and MiquelonkWh</v>
          </cell>
          <cell r="L3023">
            <v>0.41487524919417906</v>
          </cell>
        </row>
        <row r="3024">
          <cell r="J3024" t="str">
            <v>Scope 2ElectricitySaint Vincent and the GrenadineskWh</v>
          </cell>
          <cell r="L3024">
            <v>0.49924849787581932</v>
          </cell>
        </row>
        <row r="3025">
          <cell r="J3025" t="str">
            <v>Scope 2ElectricitySamoakWh</v>
          </cell>
          <cell r="L3025">
            <v>0.43429372549193523</v>
          </cell>
        </row>
        <row r="3026">
          <cell r="J3026" t="str">
            <v>Scope 2ElectricitySan MarinokWh</v>
          </cell>
          <cell r="L3026">
            <v>0.2237124367134288</v>
          </cell>
        </row>
        <row r="3027">
          <cell r="J3027" t="str">
            <v>Scope 2ElectricitySao Tome and PrincipekWh</v>
          </cell>
          <cell r="L3027">
            <v>0.56472331426351619</v>
          </cell>
        </row>
        <row r="3028">
          <cell r="J3028" t="str">
            <v>Scope 2ElectricitySaudi ArabiakWh</v>
          </cell>
          <cell r="L3028">
            <v>0.37368555697289541</v>
          </cell>
        </row>
        <row r="3029">
          <cell r="J3029" t="str">
            <v>Scope 2ElectricitySenegalkWh</v>
          </cell>
          <cell r="L3029">
            <v>0.65624454611174932</v>
          </cell>
        </row>
        <row r="3030">
          <cell r="J3030" t="str">
            <v>Scope 2ElectricitySerbiakWh</v>
          </cell>
          <cell r="L3030">
            <v>0.67772974782899087</v>
          </cell>
        </row>
        <row r="3031">
          <cell r="J3031" t="str">
            <v>Scope 2ElectricitySeychelleskWh</v>
          </cell>
          <cell r="L3031">
            <v>0.47878966080444829</v>
          </cell>
        </row>
        <row r="3032">
          <cell r="J3032" t="str">
            <v>Scope 2ElectricitySierra LeonekWh</v>
          </cell>
          <cell r="L3032">
            <v>0.24592899433095167</v>
          </cell>
        </row>
        <row r="3033">
          <cell r="J3033" t="str">
            <v>Scope 2ElectricitySingaporekWh</v>
          </cell>
          <cell r="L3033">
            <v>0.19964443170570417</v>
          </cell>
        </row>
        <row r="3034">
          <cell r="J3034" t="str">
            <v>Scope 2ElectricitySint Maarten (Dutch part)kWh</v>
          </cell>
          <cell r="L3034">
            <v>0.46304431251750444</v>
          </cell>
        </row>
        <row r="3035">
          <cell r="J3035" t="str">
            <v>Scope 2ElectricitySlovakiakWh</v>
          </cell>
          <cell r="L3035">
            <v>0.16372125716658412</v>
          </cell>
        </row>
        <row r="3036">
          <cell r="J3036" t="str">
            <v>Scope 2ElectricitySloveniakWh</v>
          </cell>
          <cell r="L3036">
            <v>0.2848539622834993</v>
          </cell>
        </row>
        <row r="3037">
          <cell r="J3037" t="str">
            <v>Scope 2ElectricitySolomon IslandskWh</v>
          </cell>
          <cell r="L3037">
            <v>0.56282293622532853</v>
          </cell>
        </row>
        <row r="3038">
          <cell r="J3038" t="str">
            <v>Scope 2ElectricitySomaliakWh</v>
          </cell>
          <cell r="L3038">
            <v>0.58229226405636536</v>
          </cell>
        </row>
        <row r="3039">
          <cell r="J3039" t="str">
            <v>Scope 2ElectricitySouth AfricakWh</v>
          </cell>
          <cell r="L3039">
            <v>0.78574745478401042</v>
          </cell>
        </row>
        <row r="3040">
          <cell r="J3040" t="str">
            <v>Scope 2ElectricitySouth SudankWh</v>
          </cell>
          <cell r="L3040">
            <v>0.70405083822326853</v>
          </cell>
        </row>
        <row r="3041">
          <cell r="J3041" t="str">
            <v>Scope 2ElectricitySpainkWh</v>
          </cell>
          <cell r="L3041">
            <v>0.20869804493845825</v>
          </cell>
        </row>
        <row r="3042">
          <cell r="J3042" t="str">
            <v>Scope 2ElectricitySri LankakWh</v>
          </cell>
          <cell r="L3042">
            <v>0.50585473495972744</v>
          </cell>
        </row>
        <row r="3043">
          <cell r="J3043" t="str">
            <v>Scope 2ElectricitySudankWh</v>
          </cell>
          <cell r="L3043">
            <v>0.39817196931350857</v>
          </cell>
        </row>
        <row r="3044">
          <cell r="J3044" t="str">
            <v>Scope 2ElectricitySurinamekWh</v>
          </cell>
          <cell r="L3044">
            <v>0.56488495903124569</v>
          </cell>
        </row>
        <row r="3045">
          <cell r="J3045" t="str">
            <v>Scope 2ElectricitySwedenkWh</v>
          </cell>
          <cell r="L3045">
            <v>2.5275304048983677E-2</v>
          </cell>
        </row>
        <row r="3046">
          <cell r="J3046" t="str">
            <v>Scope 2ElectricitySwitzerlandkWh</v>
          </cell>
          <cell r="L3046">
            <v>2.0173190933358426E-2</v>
          </cell>
        </row>
        <row r="3047">
          <cell r="J3047" t="str">
            <v>Scope 2ElectricitySyrian Arab RepublickWh</v>
          </cell>
          <cell r="L3047">
            <v>0.54647988627525934</v>
          </cell>
        </row>
        <row r="3048">
          <cell r="J3048" t="str">
            <v>Scope 2ElectricityTaiwan (Chinese Taipei)kWh</v>
          </cell>
          <cell r="L3048">
            <v>0.33115606772649231</v>
          </cell>
        </row>
        <row r="3049">
          <cell r="J3049" t="str">
            <v>Scope 2ElectricityTajikistankWh</v>
          </cell>
          <cell r="L3049">
            <v>0.10572642103426015</v>
          </cell>
        </row>
        <row r="3050">
          <cell r="J3050" t="str">
            <v>Scope 2ElectricityUnited Republic of TanzaniakWh</v>
          </cell>
          <cell r="L3050">
            <v>0.33604980441715132</v>
          </cell>
        </row>
        <row r="3051">
          <cell r="J3051" t="str">
            <v>Scope 2ElectricityThailandkWh</v>
          </cell>
          <cell r="L3051">
            <v>0.35071181490391207</v>
          </cell>
        </row>
        <row r="3052">
          <cell r="J3052" t="str">
            <v>Scope 2ElectricityTimor-LestekWh</v>
          </cell>
          <cell r="L3052">
            <v>0.58921329161003655</v>
          </cell>
        </row>
        <row r="3053">
          <cell r="J3053" t="str">
            <v>Scope 2ElectricityTogokWh</v>
          </cell>
          <cell r="L3053">
            <v>0.59676663590442014</v>
          </cell>
        </row>
        <row r="3054">
          <cell r="J3054" t="str">
            <v>Scope 2ElectricityTongakWh</v>
          </cell>
          <cell r="L3054">
            <v>0.53269841597072798</v>
          </cell>
        </row>
        <row r="3055">
          <cell r="J3055" t="str">
            <v>Scope 2ElectricityTrinidad and TobagokWh</v>
          </cell>
          <cell r="L3055">
            <v>0.36974755991694974</v>
          </cell>
        </row>
        <row r="3056">
          <cell r="J3056" t="str">
            <v>Scope 2ElectricityTunisiakWh</v>
          </cell>
          <cell r="L3056">
            <v>0.34780278400693937</v>
          </cell>
        </row>
        <row r="3057">
          <cell r="J3057" t="str">
            <v>Scope 2ElectricityTurkeykWh</v>
          </cell>
          <cell r="L3057">
            <v>0.30880892108595198</v>
          </cell>
        </row>
        <row r="3058">
          <cell r="J3058" t="str">
            <v>Scope 2ElectricityTurkmenistankWh</v>
          </cell>
          <cell r="L3058">
            <v>0.67562672425161518</v>
          </cell>
        </row>
        <row r="3059">
          <cell r="J3059" t="str">
            <v>Scope 2ElectricityTurks and Caicos IslandskWh</v>
          </cell>
          <cell r="L3059">
            <v>0.45059347279180745</v>
          </cell>
        </row>
        <row r="3060">
          <cell r="J3060" t="str">
            <v>Scope 2ElectricityTuvalukWh</v>
          </cell>
          <cell r="L3060">
            <v>0.49651779142534491</v>
          </cell>
        </row>
        <row r="3061">
          <cell r="J3061" t="str">
            <v>Scope 2ElectricityUgandakWh</v>
          </cell>
          <cell r="L3061">
            <v>0.11585259002861456</v>
          </cell>
        </row>
        <row r="3062">
          <cell r="J3062" t="str">
            <v>Scope 2ElectricityUkrainekWh</v>
          </cell>
          <cell r="L3062">
            <v>0.43467951906483526</v>
          </cell>
        </row>
        <row r="3063">
          <cell r="J3063" t="str">
            <v>Scope 2ElectricityUnited Arab EmirateskWh</v>
          </cell>
          <cell r="L3063">
            <v>0.3104005431343253</v>
          </cell>
        </row>
        <row r="3064">
          <cell r="J3064" t="str">
            <v>Scope 2ElectricityUnited Kingdom of Great Britain and Northern IrelandkWh</v>
          </cell>
          <cell r="L3064">
            <v>0.21856929902663236</v>
          </cell>
        </row>
        <row r="3065">
          <cell r="J3065" t="str">
            <v>Scope 2ElectricityUnited States of AmericakWh</v>
          </cell>
          <cell r="L3065">
            <v>0.24591061682998977</v>
          </cell>
        </row>
        <row r="3066">
          <cell r="J3066" t="str">
            <v>Scope 2ElectricityUruguaykWh</v>
          </cell>
          <cell r="L3066">
            <v>6.4828543846259704E-2</v>
          </cell>
        </row>
        <row r="3067">
          <cell r="J3067" t="str">
            <v>Scope 2ElectricityUzbekistankWh</v>
          </cell>
          <cell r="L3067">
            <v>0.46737279085958722</v>
          </cell>
        </row>
        <row r="3068">
          <cell r="J3068" t="str">
            <v>Scope 2ElectricityVanuatukWh</v>
          </cell>
          <cell r="L3068">
            <v>0.50418072672613845</v>
          </cell>
        </row>
        <row r="3069">
          <cell r="J3069" t="str">
            <v>Scope 2ElectricityVenezuela (Bolivarian Republic of)kWh</v>
          </cell>
          <cell r="L3069">
            <v>0.36775218932752191</v>
          </cell>
        </row>
        <row r="3070">
          <cell r="J3070" t="str">
            <v>Scope 2ElectricityViet NamkWh</v>
          </cell>
          <cell r="L3070">
            <v>0.38080799846500124</v>
          </cell>
        </row>
        <row r="3071">
          <cell r="J3071" t="str">
            <v>Scope 2ElectricityUnited States Virgin IslandskWh</v>
          </cell>
          <cell r="L3071">
            <v>0.3730149257810399</v>
          </cell>
        </row>
        <row r="3072">
          <cell r="J3072" t="str">
            <v>Scope 2ElectricityYemenkWh</v>
          </cell>
          <cell r="L3072">
            <v>0.61456213289092454</v>
          </cell>
        </row>
        <row r="3073">
          <cell r="J3073" t="str">
            <v>Scope 2ElectricityZambiakWh</v>
          </cell>
          <cell r="L3073">
            <v>0.19699130651213528</v>
          </cell>
        </row>
        <row r="3074">
          <cell r="J3074" t="str">
            <v>Scope 2ElectricityZimbabwekWh</v>
          </cell>
          <cell r="L3074">
            <v>0.88025359635548084</v>
          </cell>
        </row>
        <row r="3075">
          <cell r="J3075" t="str">
            <v>Scope 2ElectricityZambiakWh</v>
          </cell>
          <cell r="L3075">
            <v>0.19699130651213528</v>
          </cell>
        </row>
        <row r="3076">
          <cell r="J3076" t="str">
            <v>Scope 2ElectricityZimbabwekWh</v>
          </cell>
          <cell r="L3076">
            <v>0.88025359635548084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 notes_Temp"/>
      <sheetName val="QA_Index"/>
      <sheetName val="Version&amp;Issue_Log"/>
      <sheetName val="Update_Checklist"/>
      <sheetName val="DataSources"/>
      <sheetName val="QC_Checklist"/>
      <sheetName val="RAW1_NAEI GHG"/>
      <sheetName val="RAW2_DUKES Table 5.6"/>
      <sheetName val="RAW3_DUKES Table 5.1.2"/>
      <sheetName val="RAW4_DUKES Table 5A"/>
      <sheetName val="RAW5_GWP Factors"/>
      <sheetName val="RAW6_Benchmark Data"/>
      <sheetName val="RAW7_DUKES Autogen"/>
      <sheetName val="OtherAssumptions"/>
      <sheetName val="Calc1_UK_Elec"/>
      <sheetName val="Calc1a_OtherT_EF"/>
      <sheetName val="Calc2_UK_WTT_Elec"/>
      <sheetName val="MethodPaper"/>
      <sheetName val="LinkedInOutput"/>
      <sheetName val="Benchmark"/>
      <sheetName val="UK electricity"/>
      <sheetName val="Transmission and distribution"/>
      <sheetName val="WTT- UK &amp; overseas elec"/>
      <sheetName val="Conversions"/>
      <sheetName val="Verification-Validation"/>
      <sheetName val="Lookups"/>
      <sheetName val="GHG CF_UK Electricity_2018_M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418F-699B-4F52-A534-09C2DBE21F2D}">
  <sheetPr>
    <tabColor theme="0"/>
  </sheetPr>
  <dimension ref="A1:J87"/>
  <sheetViews>
    <sheetView tabSelected="1" topLeftCell="A4" workbookViewId="0">
      <selection activeCell="G6" sqref="G6"/>
    </sheetView>
  </sheetViews>
  <sheetFormatPr defaultColWidth="10.83203125" defaultRowHeight="14.5"/>
  <cols>
    <col min="1" max="2" width="1.58203125" style="1" customWidth="1"/>
    <col min="3" max="3" width="12.08203125" style="2" bestFit="1" customWidth="1"/>
    <col min="4" max="4" width="37.58203125" style="3" bestFit="1" customWidth="1"/>
    <col min="5" max="5" width="9.5" style="3" bestFit="1" customWidth="1"/>
    <col min="6" max="6" width="17.08203125" style="3" customWidth="1"/>
    <col min="7" max="7" width="17.83203125" style="3" customWidth="1"/>
    <col min="8" max="8" width="14.5" style="3" customWidth="1"/>
    <col min="9" max="9" width="14.58203125" style="28" customWidth="1"/>
    <col min="10" max="10" width="13.5" style="28" customWidth="1"/>
    <col min="11" max="16384" width="10.83203125" style="3"/>
  </cols>
  <sheetData>
    <row r="1" spans="1:10" ht="15.5">
      <c r="I1" s="4"/>
      <c r="J1" s="4"/>
    </row>
    <row r="2" spans="1:10" s="8" customFormat="1" ht="15.5">
      <c r="A2" s="5"/>
      <c r="B2" s="5"/>
      <c r="C2" s="6" t="s">
        <v>0</v>
      </c>
      <c r="D2" s="6"/>
      <c r="E2" s="6"/>
      <c r="F2" s="6"/>
      <c r="G2" s="6"/>
      <c r="H2" s="6"/>
      <c r="I2" s="6"/>
      <c r="J2" s="7"/>
    </row>
    <row r="3" spans="1:10" s="8" customFormat="1" ht="93" customHeight="1">
      <c r="A3" s="5"/>
      <c r="B3" s="5"/>
      <c r="C3" s="9" t="s">
        <v>1</v>
      </c>
      <c r="D3" s="9"/>
      <c r="E3" s="9"/>
      <c r="F3" s="9"/>
      <c r="G3" s="9"/>
      <c r="H3" s="9"/>
      <c r="I3" s="9"/>
      <c r="J3" s="9"/>
    </row>
    <row r="4" spans="1:10" s="8" customFormat="1" ht="31" customHeight="1">
      <c r="A4" s="5"/>
      <c r="B4" s="5"/>
      <c r="C4" s="10" t="s">
        <v>2</v>
      </c>
      <c r="D4" s="10"/>
      <c r="E4" s="10"/>
      <c r="F4" s="10"/>
      <c r="G4" s="10"/>
      <c r="H4" s="10"/>
      <c r="I4" s="11"/>
      <c r="J4" s="7"/>
    </row>
    <row r="5" spans="1:10" s="16" customFormat="1" ht="38.15" customHeight="1">
      <c r="A5" s="12"/>
      <c r="B5" s="12"/>
      <c r="C5" s="13" t="s">
        <v>3</v>
      </c>
      <c r="D5" s="13" t="s">
        <v>4</v>
      </c>
      <c r="E5" s="13" t="s">
        <v>5</v>
      </c>
      <c r="F5" s="13" t="s">
        <v>6</v>
      </c>
      <c r="G5" s="14" t="s">
        <v>7</v>
      </c>
      <c r="H5" s="14" t="s">
        <v>8</v>
      </c>
      <c r="I5" s="15"/>
    </row>
    <row r="6" spans="1:10" s="21" customFormat="1" ht="23.15" customHeight="1">
      <c r="A6" s="17" t="s">
        <v>9</v>
      </c>
      <c r="B6" s="17" t="s">
        <v>0</v>
      </c>
      <c r="C6" s="18" t="s">
        <v>10</v>
      </c>
      <c r="D6" s="18" t="s">
        <v>11</v>
      </c>
      <c r="E6" s="18" t="s">
        <v>12</v>
      </c>
      <c r="F6" s="18">
        <f>VLOOKUP(I6,[1]DB!J:L,3,FALSE)</f>
        <v>0.44423000000000001</v>
      </c>
      <c r="G6" s="19"/>
      <c r="H6" s="20">
        <f t="shared" ref="H6:H33" si="0">F6*G6</f>
        <v>0</v>
      </c>
      <c r="I6" s="17" t="str">
        <f>CONCATENATE(A6,B6,C6,D6,E6)</f>
        <v>Scope 1FuelsGaseous fuelsCNGlitres</v>
      </c>
    </row>
    <row r="7" spans="1:10" s="21" customFormat="1" ht="23.15" customHeight="1">
      <c r="A7" s="17" t="s">
        <v>9</v>
      </c>
      <c r="B7" s="17" t="s">
        <v>0</v>
      </c>
      <c r="C7" s="18" t="s">
        <v>10</v>
      </c>
      <c r="D7" s="18" t="s">
        <v>13</v>
      </c>
      <c r="E7" s="18" t="s">
        <v>12</v>
      </c>
      <c r="F7" s="18">
        <f>VLOOKUP(I7,[1]DB!J:L,3,FALSE)</f>
        <v>1.1562300000000001</v>
      </c>
      <c r="G7" s="19"/>
      <c r="H7" s="20">
        <f t="shared" si="0"/>
        <v>0</v>
      </c>
      <c r="I7" s="17" t="str">
        <f t="shared" ref="I7:I33" si="1">CONCATENATE(A7,B7,C7,D7,E7)</f>
        <v>Scope 1FuelsGaseous fuelsLNGlitres</v>
      </c>
    </row>
    <row r="8" spans="1:10" s="21" customFormat="1" ht="23.15" customHeight="1">
      <c r="A8" s="17" t="s">
        <v>9</v>
      </c>
      <c r="B8" s="17" t="s">
        <v>0</v>
      </c>
      <c r="C8" s="18" t="s">
        <v>10</v>
      </c>
      <c r="D8" s="18" t="s">
        <v>14</v>
      </c>
      <c r="E8" s="18" t="s">
        <v>12</v>
      </c>
      <c r="F8" s="18">
        <f>VLOOKUP(I8,[1]DB!J:L,3,FALSE)</f>
        <v>1.5570900000000001</v>
      </c>
      <c r="G8" s="19"/>
      <c r="H8" s="20">
        <f t="shared" si="0"/>
        <v>0</v>
      </c>
      <c r="I8" s="17" t="str">
        <f t="shared" si="1"/>
        <v>Scope 1FuelsGaseous fuelsLPGlitres</v>
      </c>
    </row>
    <row r="9" spans="1:10" s="21" customFormat="1" ht="23.15" customHeight="1">
      <c r="A9" s="17" t="s">
        <v>9</v>
      </c>
      <c r="B9" s="17" t="s">
        <v>0</v>
      </c>
      <c r="C9" s="18" t="s">
        <v>10</v>
      </c>
      <c r="D9" s="18" t="s">
        <v>15</v>
      </c>
      <c r="E9" s="18" t="s">
        <v>16</v>
      </c>
      <c r="F9" s="18">
        <f>VLOOKUP(I9,[1]DB!J:L,3,FALSE)</f>
        <v>2.02135</v>
      </c>
      <c r="G9" s="19"/>
      <c r="H9" s="20">
        <f t="shared" si="0"/>
        <v>0</v>
      </c>
      <c r="I9" s="17" t="str">
        <f t="shared" si="1"/>
        <v>Scope 1FuelsGaseous fuelsNatural gascubic metres</v>
      </c>
    </row>
    <row r="10" spans="1:10" s="21" customFormat="1" ht="23.15" customHeight="1">
      <c r="A10" s="17" t="s">
        <v>9</v>
      </c>
      <c r="B10" s="17" t="s">
        <v>0</v>
      </c>
      <c r="C10" s="18" t="s">
        <v>10</v>
      </c>
      <c r="D10" s="18" t="s">
        <v>17</v>
      </c>
      <c r="E10" s="18" t="s">
        <v>16</v>
      </c>
      <c r="F10" s="18">
        <f>VLOOKUP(I10,[1]DB!J:L,3,FALSE)</f>
        <v>2.0347300000000001</v>
      </c>
      <c r="G10" s="19"/>
      <c r="H10" s="20">
        <f t="shared" si="0"/>
        <v>0</v>
      </c>
      <c r="I10" s="17" t="str">
        <f t="shared" si="1"/>
        <v>Scope 1FuelsGaseous fuelsNatural gas (100% mineral blend)cubic metres</v>
      </c>
    </row>
    <row r="11" spans="1:10" s="21" customFormat="1" ht="23.15" customHeight="1">
      <c r="A11" s="17" t="s">
        <v>9</v>
      </c>
      <c r="B11" s="17" t="s">
        <v>0</v>
      </c>
      <c r="C11" s="18" t="s">
        <v>10</v>
      </c>
      <c r="D11" s="18" t="s">
        <v>18</v>
      </c>
      <c r="E11" s="18" t="s">
        <v>12</v>
      </c>
      <c r="F11" s="18">
        <f>VLOOKUP(I11,[1]DB!J:L,3,FALSE)</f>
        <v>0.94440999999999997</v>
      </c>
      <c r="G11" s="19"/>
      <c r="H11" s="20">
        <f t="shared" si="0"/>
        <v>0</v>
      </c>
      <c r="I11" s="17" t="str">
        <f t="shared" si="1"/>
        <v>Scope 1FuelsGaseous fuelsOther petroleum gaslitres</v>
      </c>
    </row>
    <row r="12" spans="1:10" s="21" customFormat="1" ht="23.15" customHeight="1">
      <c r="A12" s="17" t="s">
        <v>9</v>
      </c>
      <c r="B12" s="17" t="s">
        <v>0</v>
      </c>
      <c r="C12" s="18" t="s">
        <v>19</v>
      </c>
      <c r="D12" s="18" t="s">
        <v>20</v>
      </c>
      <c r="E12" s="18" t="s">
        <v>12</v>
      </c>
      <c r="F12" s="18">
        <f>VLOOKUP(I12,[1]DB!J:L,3,FALSE)</f>
        <v>2.3304800000000001</v>
      </c>
      <c r="G12" s="19"/>
      <c r="H12" s="20">
        <f t="shared" si="0"/>
        <v>0</v>
      </c>
      <c r="I12" s="17" t="str">
        <f t="shared" si="1"/>
        <v>Scope 1FuelsLiquid fuelsAviation spiritlitres</v>
      </c>
    </row>
    <row r="13" spans="1:10" s="21" customFormat="1" ht="23.15" customHeight="1">
      <c r="A13" s="17" t="s">
        <v>9</v>
      </c>
      <c r="B13" s="17" t="s">
        <v>0</v>
      </c>
      <c r="C13" s="18" t="s">
        <v>19</v>
      </c>
      <c r="D13" s="18" t="s">
        <v>21</v>
      </c>
      <c r="E13" s="18" t="s">
        <v>12</v>
      </c>
      <c r="F13" s="18">
        <f>VLOOKUP(I13,[1]DB!J:L,3,FALSE)</f>
        <v>2.54514</v>
      </c>
      <c r="G13" s="19"/>
      <c r="H13" s="20">
        <f t="shared" si="0"/>
        <v>0</v>
      </c>
      <c r="I13" s="17" t="str">
        <f t="shared" si="1"/>
        <v>Scope 1FuelsLiquid fuelsAviation turbine fuellitres</v>
      </c>
    </row>
    <row r="14" spans="1:10" s="21" customFormat="1" ht="23.15" customHeight="1">
      <c r="A14" s="17" t="s">
        <v>9</v>
      </c>
      <c r="B14" s="17" t="s">
        <v>0</v>
      </c>
      <c r="C14" s="18" t="s">
        <v>19</v>
      </c>
      <c r="D14" s="18" t="s">
        <v>22</v>
      </c>
      <c r="E14" s="18" t="s">
        <v>12</v>
      </c>
      <c r="F14" s="18">
        <f>VLOOKUP(I14,[1]DB!J:L,3,FALSE)</f>
        <v>2.5401400000000001</v>
      </c>
      <c r="G14" s="19"/>
      <c r="H14" s="20">
        <f t="shared" si="0"/>
        <v>0</v>
      </c>
      <c r="I14" s="17" t="str">
        <f t="shared" si="1"/>
        <v>Scope 1FuelsLiquid fuelsBurning oillitres</v>
      </c>
    </row>
    <row r="15" spans="1:10" s="21" customFormat="1" ht="23.15" customHeight="1">
      <c r="A15" s="17" t="s">
        <v>9</v>
      </c>
      <c r="B15" s="17" t="s">
        <v>0</v>
      </c>
      <c r="C15" s="18" t="s">
        <v>19</v>
      </c>
      <c r="D15" s="18" t="s">
        <v>23</v>
      </c>
      <c r="E15" s="18" t="s">
        <v>12</v>
      </c>
      <c r="F15" s="18">
        <f>VLOOKUP(I15,[1]DB!J:L,3,FALSE)</f>
        <v>2.51233</v>
      </c>
      <c r="G15" s="19"/>
      <c r="H15" s="20">
        <f t="shared" si="0"/>
        <v>0</v>
      </c>
      <c r="I15" s="17" t="str">
        <f t="shared" si="1"/>
        <v>Scope 1FuelsLiquid fuelsDiesel (average biofuel blend)litres</v>
      </c>
    </row>
    <row r="16" spans="1:10" s="21" customFormat="1" ht="23.15" customHeight="1">
      <c r="A16" s="17" t="s">
        <v>9</v>
      </c>
      <c r="B16" s="17" t="s">
        <v>0</v>
      </c>
      <c r="C16" s="18" t="s">
        <v>19</v>
      </c>
      <c r="D16" s="18" t="s">
        <v>24</v>
      </c>
      <c r="E16" s="18" t="s">
        <v>12</v>
      </c>
      <c r="F16" s="18">
        <f>VLOOKUP(I16,[1]DB!J:L,3,FALSE)</f>
        <v>2.70553</v>
      </c>
      <c r="G16" s="19"/>
      <c r="H16" s="20">
        <f t="shared" si="0"/>
        <v>0</v>
      </c>
      <c r="I16" s="17" t="str">
        <f t="shared" si="1"/>
        <v>Scope 1FuelsLiquid fuelsDiesel (100% mineral diesel)litres</v>
      </c>
    </row>
    <row r="17" spans="1:9" s="21" customFormat="1" ht="23.15" customHeight="1">
      <c r="A17" s="17" t="s">
        <v>9</v>
      </c>
      <c r="B17" s="17" t="s">
        <v>0</v>
      </c>
      <c r="C17" s="18" t="s">
        <v>19</v>
      </c>
      <c r="D17" s="18" t="s">
        <v>25</v>
      </c>
      <c r="E17" s="18" t="s">
        <v>12</v>
      </c>
      <c r="F17" s="18">
        <f>VLOOKUP(I17,[1]DB!J:L,3,FALSE)</f>
        <v>3.1752199999999999</v>
      </c>
      <c r="G17" s="19"/>
      <c r="H17" s="20">
        <f t="shared" si="0"/>
        <v>0</v>
      </c>
      <c r="I17" s="17" t="str">
        <f t="shared" si="1"/>
        <v>Scope 1FuelsLiquid fuelsFuel oillitres</v>
      </c>
    </row>
    <row r="18" spans="1:9" s="21" customFormat="1" ht="23.15" customHeight="1">
      <c r="A18" s="17" t="s">
        <v>9</v>
      </c>
      <c r="B18" s="17" t="s">
        <v>0</v>
      </c>
      <c r="C18" s="18" t="s">
        <v>19</v>
      </c>
      <c r="D18" s="18" t="s">
        <v>26</v>
      </c>
      <c r="E18" s="18" t="s">
        <v>12</v>
      </c>
      <c r="F18" s="18">
        <f>VLOOKUP(I18,[1]DB!J:L,3,FALSE)</f>
        <v>2.7585700000000002</v>
      </c>
      <c r="G18" s="19"/>
      <c r="H18" s="20">
        <f t="shared" si="0"/>
        <v>0</v>
      </c>
      <c r="I18" s="17" t="str">
        <f t="shared" si="1"/>
        <v>Scope 1FuelsLiquid fuelsGas oillitres</v>
      </c>
    </row>
    <row r="19" spans="1:9" s="21" customFormat="1" ht="23.15" customHeight="1">
      <c r="A19" s="17" t="s">
        <v>9</v>
      </c>
      <c r="B19" s="17" t="s">
        <v>0</v>
      </c>
      <c r="C19" s="18" t="s">
        <v>19</v>
      </c>
      <c r="D19" s="18" t="s">
        <v>27</v>
      </c>
      <c r="E19" s="18" t="s">
        <v>12</v>
      </c>
      <c r="F19" s="18">
        <f>VLOOKUP(I19,[1]DB!J:L,3,FALSE)</f>
        <v>2.7497199999999999</v>
      </c>
      <c r="G19" s="19"/>
      <c r="H19" s="20">
        <f t="shared" si="0"/>
        <v>0</v>
      </c>
      <c r="I19" s="17" t="str">
        <f t="shared" si="1"/>
        <v>Scope 1FuelsLiquid fuelsLubricantslitres</v>
      </c>
    </row>
    <row r="20" spans="1:9" s="21" customFormat="1" ht="23.15" customHeight="1">
      <c r="A20" s="17" t="s">
        <v>9</v>
      </c>
      <c r="B20" s="17" t="s">
        <v>0</v>
      </c>
      <c r="C20" s="18" t="s">
        <v>19</v>
      </c>
      <c r="D20" s="18" t="s">
        <v>28</v>
      </c>
      <c r="E20" s="18" t="s">
        <v>12</v>
      </c>
      <c r="F20" s="18">
        <f>VLOOKUP(I20,[1]DB!J:L,3,FALSE)</f>
        <v>2.1192600000000001</v>
      </c>
      <c r="G20" s="19"/>
      <c r="H20" s="20">
        <f t="shared" si="0"/>
        <v>0</v>
      </c>
      <c r="I20" s="17" t="str">
        <f t="shared" si="1"/>
        <v>Scope 1FuelsLiquid fuelsNaphthalitres</v>
      </c>
    </row>
    <row r="21" spans="1:9" s="21" customFormat="1" ht="23.15" customHeight="1">
      <c r="A21" s="17" t="s">
        <v>9</v>
      </c>
      <c r="B21" s="17" t="s">
        <v>0</v>
      </c>
      <c r="C21" s="18" t="s">
        <v>19</v>
      </c>
      <c r="D21" s="18" t="s">
        <v>29</v>
      </c>
      <c r="E21" s="18" t="s">
        <v>12</v>
      </c>
      <c r="F21" s="18">
        <f>VLOOKUP(I21,[1]DB!J:L,3,FALSE)</f>
        <v>2.1935199999999999</v>
      </c>
      <c r="G21" s="19"/>
      <c r="H21" s="20">
        <f t="shared" si="0"/>
        <v>0</v>
      </c>
      <c r="I21" s="17" t="str">
        <f t="shared" si="1"/>
        <v>Scope 1FuelsLiquid fuelsPetrol (average biofuel blend)litres</v>
      </c>
    </row>
    <row r="22" spans="1:9" s="21" customFormat="1" ht="23.15" customHeight="1">
      <c r="A22" s="17" t="s">
        <v>9</v>
      </c>
      <c r="B22" s="17" t="s">
        <v>0</v>
      </c>
      <c r="C22" s="18" t="s">
        <v>19</v>
      </c>
      <c r="D22" s="18" t="s">
        <v>30</v>
      </c>
      <c r="E22" s="18" t="s">
        <v>12</v>
      </c>
      <c r="F22" s="18">
        <f>VLOOKUP(I22,[1]DB!J:L,3,FALSE)</f>
        <v>2.33969</v>
      </c>
      <c r="G22" s="19"/>
      <c r="H22" s="20">
        <f t="shared" si="0"/>
        <v>0</v>
      </c>
      <c r="I22" s="17" t="str">
        <f t="shared" si="1"/>
        <v>Scope 1FuelsLiquid fuelsPetrol (100% mineral petrol)litres</v>
      </c>
    </row>
    <row r="23" spans="1:9" s="21" customFormat="1" ht="23.15" customHeight="1">
      <c r="A23" s="17" t="s">
        <v>9</v>
      </c>
      <c r="B23" s="17" t="s">
        <v>0</v>
      </c>
      <c r="C23" s="18" t="s">
        <v>19</v>
      </c>
      <c r="D23" s="18" t="s">
        <v>31</v>
      </c>
      <c r="E23" s="18" t="s">
        <v>12</v>
      </c>
      <c r="F23" s="18">
        <f>VLOOKUP(I23,[1]DB!J:L,3,FALSE)</f>
        <v>3.1752199999999999</v>
      </c>
      <c r="G23" s="19"/>
      <c r="H23" s="20">
        <f t="shared" si="0"/>
        <v>0</v>
      </c>
      <c r="I23" s="17" t="str">
        <f t="shared" si="1"/>
        <v>Scope 1FuelsLiquid fuelsProcessed fuel oils - residual oillitres</v>
      </c>
    </row>
    <row r="24" spans="1:9" s="21" customFormat="1" ht="23.15" customHeight="1">
      <c r="A24" s="17" t="s">
        <v>9</v>
      </c>
      <c r="B24" s="17" t="s">
        <v>0</v>
      </c>
      <c r="C24" s="18" t="s">
        <v>19</v>
      </c>
      <c r="D24" s="18" t="s">
        <v>32</v>
      </c>
      <c r="E24" s="18" t="s">
        <v>12</v>
      </c>
      <c r="F24" s="18">
        <f>VLOOKUP(I24,[1]DB!J:L,3,FALSE)</f>
        <v>2.7585700000000002</v>
      </c>
      <c r="G24" s="19"/>
      <c r="H24" s="20">
        <f t="shared" si="0"/>
        <v>0</v>
      </c>
      <c r="I24" s="17" t="str">
        <f t="shared" si="1"/>
        <v>Scope 1FuelsLiquid fuelsProcessed fuel oils - distillate oillitres</v>
      </c>
    </row>
    <row r="25" spans="1:9" s="21" customFormat="1" ht="23.15" customHeight="1">
      <c r="A25" s="17" t="s">
        <v>9</v>
      </c>
      <c r="B25" s="17" t="s">
        <v>0</v>
      </c>
      <c r="C25" s="18" t="s">
        <v>19</v>
      </c>
      <c r="D25" s="18" t="s">
        <v>33</v>
      </c>
      <c r="E25" s="18" t="s">
        <v>12</v>
      </c>
      <c r="F25" s="18">
        <f>VLOOKUP(I25,[1]DB!J:L,3,FALSE)</f>
        <v>2.7536800000000001</v>
      </c>
      <c r="G25" s="19"/>
      <c r="H25" s="20">
        <f t="shared" si="0"/>
        <v>0</v>
      </c>
      <c r="I25" s="17" t="str">
        <f t="shared" si="1"/>
        <v>Scope 1FuelsLiquid fuelsWaste oilslitres</v>
      </c>
    </row>
    <row r="26" spans="1:9" s="21" customFormat="1" ht="23.15" customHeight="1">
      <c r="A26" s="17" t="s">
        <v>9</v>
      </c>
      <c r="B26" s="17" t="s">
        <v>0</v>
      </c>
      <c r="C26" s="18" t="s">
        <v>19</v>
      </c>
      <c r="D26" s="18" t="s">
        <v>34</v>
      </c>
      <c r="E26" s="18" t="s">
        <v>12</v>
      </c>
      <c r="F26" s="18">
        <f>VLOOKUP(I26,[1]DB!J:L,3,FALSE)</f>
        <v>2.7753899999999998</v>
      </c>
      <c r="G26" s="19"/>
      <c r="H26" s="20">
        <f t="shared" si="0"/>
        <v>0</v>
      </c>
      <c r="I26" s="17" t="str">
        <f t="shared" si="1"/>
        <v>Scope 1FuelsLiquid fuelsMarine gas oillitres</v>
      </c>
    </row>
    <row r="27" spans="1:9" s="21" customFormat="1" ht="23.15" customHeight="1">
      <c r="A27" s="17" t="s">
        <v>9</v>
      </c>
      <c r="B27" s="17" t="s">
        <v>0</v>
      </c>
      <c r="C27" s="18" t="s">
        <v>19</v>
      </c>
      <c r="D27" s="18" t="s">
        <v>35</v>
      </c>
      <c r="E27" s="18" t="s">
        <v>12</v>
      </c>
      <c r="F27" s="18">
        <f>VLOOKUP(I27,[1]DB!J:L,3,FALSE)</f>
        <v>3.10669</v>
      </c>
      <c r="G27" s="19"/>
      <c r="H27" s="20">
        <f t="shared" si="0"/>
        <v>0</v>
      </c>
      <c r="I27" s="17" t="str">
        <f t="shared" si="1"/>
        <v>Scope 1FuelsLiquid fuelsMarine fuel oillitres</v>
      </c>
    </row>
    <row r="28" spans="1:9" s="21" customFormat="1" ht="23.15" customHeight="1">
      <c r="A28" s="17" t="s">
        <v>9</v>
      </c>
      <c r="B28" s="17" t="s">
        <v>0</v>
      </c>
      <c r="C28" s="18" t="s">
        <v>36</v>
      </c>
      <c r="D28" s="18" t="s">
        <v>37</v>
      </c>
      <c r="E28" s="18" t="s">
        <v>38</v>
      </c>
      <c r="F28" s="18">
        <f>VLOOKUP(I28,[1]DB!J:L,3,FALSE)</f>
        <v>2403.84</v>
      </c>
      <c r="G28" s="19"/>
      <c r="H28" s="20">
        <f t="shared" si="0"/>
        <v>0</v>
      </c>
      <c r="I28" s="17" t="str">
        <f t="shared" si="1"/>
        <v>Scope 1FuelsSolid fuelsCoal (industrial)tonnes</v>
      </c>
    </row>
    <row r="29" spans="1:9" s="21" customFormat="1" ht="23.15" customHeight="1">
      <c r="A29" s="17" t="s">
        <v>9</v>
      </c>
      <c r="B29" s="17" t="s">
        <v>0</v>
      </c>
      <c r="C29" s="18" t="s">
        <v>36</v>
      </c>
      <c r="D29" s="18" t="s">
        <v>39</v>
      </c>
      <c r="E29" s="18" t="s">
        <v>38</v>
      </c>
      <c r="F29" s="18">
        <f>VLOOKUP(I29,[1]DB!J:L,3,FALSE)</f>
        <v>2252.34</v>
      </c>
      <c r="G29" s="19"/>
      <c r="H29" s="20">
        <f t="shared" si="0"/>
        <v>0</v>
      </c>
      <c r="I29" s="17" t="str">
        <f t="shared" si="1"/>
        <v>Scope 1FuelsSolid fuelsCoal (electricity generation)tonnes</v>
      </c>
    </row>
    <row r="30" spans="1:9" s="21" customFormat="1" ht="23.15" customHeight="1">
      <c r="A30" s="17" t="s">
        <v>9</v>
      </c>
      <c r="B30" s="17" t="s">
        <v>0</v>
      </c>
      <c r="C30" s="18" t="s">
        <v>36</v>
      </c>
      <c r="D30" s="18" t="s">
        <v>40</v>
      </c>
      <c r="E30" s="18" t="s">
        <v>38</v>
      </c>
      <c r="F30" s="18">
        <f>VLOOKUP(I30,[1]DB!J:L,3,FALSE)</f>
        <v>2883.26</v>
      </c>
      <c r="G30" s="19"/>
      <c r="H30" s="20">
        <f t="shared" si="0"/>
        <v>0</v>
      </c>
      <c r="I30" s="17" t="str">
        <f t="shared" si="1"/>
        <v>Scope 1FuelsSolid fuelsCoal (domestic)tonnes</v>
      </c>
    </row>
    <row r="31" spans="1:9" s="21" customFormat="1" ht="23.15" customHeight="1">
      <c r="A31" s="17" t="s">
        <v>9</v>
      </c>
      <c r="B31" s="17" t="s">
        <v>0</v>
      </c>
      <c r="C31" s="18" t="s">
        <v>36</v>
      </c>
      <c r="D31" s="18" t="s">
        <v>41</v>
      </c>
      <c r="E31" s="18" t="s">
        <v>38</v>
      </c>
      <c r="F31" s="18">
        <f>VLOOKUP(I31,[1]DB!J:L,3,FALSE)</f>
        <v>3165.24</v>
      </c>
      <c r="G31" s="19"/>
      <c r="H31" s="20">
        <f t="shared" si="0"/>
        <v>0</v>
      </c>
      <c r="I31" s="17" t="str">
        <f t="shared" si="1"/>
        <v>Scope 1FuelsSolid fuelsCoking coaltonnes</v>
      </c>
    </row>
    <row r="32" spans="1:9" s="21" customFormat="1" ht="23.15" customHeight="1">
      <c r="A32" s="17" t="s">
        <v>9</v>
      </c>
      <c r="B32" s="17" t="s">
        <v>0</v>
      </c>
      <c r="C32" s="18" t="s">
        <v>36</v>
      </c>
      <c r="D32" s="18" t="s">
        <v>42</v>
      </c>
      <c r="E32" s="18" t="s">
        <v>38</v>
      </c>
      <c r="F32" s="18">
        <f>VLOOKUP(I32,[1]DB!J:L,3,FALSE)</f>
        <v>3386.86</v>
      </c>
      <c r="G32" s="19"/>
      <c r="H32" s="20">
        <f t="shared" si="0"/>
        <v>0</v>
      </c>
      <c r="I32" s="17" t="str">
        <f t="shared" si="1"/>
        <v>Scope 1FuelsSolid fuelsPetroleum coketonnes</v>
      </c>
    </row>
    <row r="33" spans="1:10" s="21" customFormat="1" ht="23.15" customHeight="1">
      <c r="A33" s="17" t="s">
        <v>9</v>
      </c>
      <c r="B33" s="17" t="s">
        <v>0</v>
      </c>
      <c r="C33" s="18" t="s">
        <v>36</v>
      </c>
      <c r="D33" s="18" t="s">
        <v>43</v>
      </c>
      <c r="E33" s="18" t="s">
        <v>38</v>
      </c>
      <c r="F33" s="18">
        <f>VLOOKUP(I33,[1]DB!J:L,3,FALSE)</f>
        <v>2248.8200000000002</v>
      </c>
      <c r="G33" s="19"/>
      <c r="H33" s="20">
        <f t="shared" si="0"/>
        <v>0</v>
      </c>
      <c r="I33" s="17" t="str">
        <f t="shared" si="1"/>
        <v>Scope 1FuelsSolid fuelsCoal (electricity generation - home produced coal only)tonnes</v>
      </c>
    </row>
    <row r="34" spans="1:10" s="21" customFormat="1" ht="19" customHeight="1">
      <c r="A34" s="17"/>
      <c r="B34" s="17"/>
      <c r="C34" s="22"/>
      <c r="I34" s="23"/>
      <c r="J34" s="17"/>
    </row>
    <row r="35" spans="1:10" s="21" customFormat="1" ht="19" customHeight="1">
      <c r="A35" s="17"/>
      <c r="B35" s="17"/>
      <c r="C35" s="22"/>
      <c r="I35" s="23"/>
      <c r="J35" s="17"/>
    </row>
    <row r="36" spans="1:10" s="21" customFormat="1" ht="19" customHeight="1">
      <c r="A36" s="17"/>
      <c r="B36" s="17"/>
      <c r="C36" s="22"/>
      <c r="I36" s="23"/>
      <c r="J36" s="17"/>
    </row>
    <row r="37" spans="1:10" s="21" customFormat="1" ht="19" customHeight="1">
      <c r="A37" s="17"/>
      <c r="B37" s="17"/>
      <c r="C37" s="22"/>
      <c r="I37" s="23"/>
      <c r="J37" s="17"/>
    </row>
    <row r="38" spans="1:10" s="21" customFormat="1" ht="19" customHeight="1">
      <c r="A38" s="17"/>
      <c r="B38" s="17"/>
      <c r="C38" s="22"/>
      <c r="I38" s="23"/>
      <c r="J38" s="17"/>
    </row>
    <row r="39" spans="1:10" s="21" customFormat="1" ht="19" customHeight="1">
      <c r="A39" s="17"/>
      <c r="B39" s="17"/>
      <c r="C39" s="22"/>
      <c r="I39" s="23"/>
      <c r="J39" s="17"/>
    </row>
    <row r="40" spans="1:10" s="21" customFormat="1" ht="19" customHeight="1">
      <c r="A40" s="17"/>
      <c r="B40" s="17"/>
      <c r="C40" s="22"/>
      <c r="I40" s="23"/>
      <c r="J40" s="17"/>
    </row>
    <row r="41" spans="1:10" s="21" customFormat="1" ht="19" customHeight="1">
      <c r="A41" s="17"/>
      <c r="B41" s="17"/>
      <c r="C41" s="22"/>
      <c r="I41" s="23"/>
      <c r="J41" s="17"/>
    </row>
    <row r="42" spans="1:10" s="21" customFormat="1" ht="19" customHeight="1">
      <c r="A42" s="17"/>
      <c r="B42" s="17"/>
      <c r="C42" s="22"/>
      <c r="I42" s="23"/>
      <c r="J42" s="17"/>
    </row>
    <row r="43" spans="1:10" s="21" customFormat="1" ht="19" customHeight="1">
      <c r="A43" s="17"/>
      <c r="B43" s="17"/>
      <c r="C43" s="22"/>
      <c r="I43" s="23"/>
      <c r="J43" s="17"/>
    </row>
    <row r="44" spans="1:10" s="21" customFormat="1" ht="19" customHeight="1">
      <c r="A44" s="17"/>
      <c r="B44" s="17"/>
      <c r="C44" s="22"/>
      <c r="I44" s="23"/>
      <c r="J44" s="17"/>
    </row>
    <row r="45" spans="1:10" s="21" customFormat="1" ht="19" customHeight="1">
      <c r="A45" s="17"/>
      <c r="B45" s="17"/>
      <c r="C45" s="22"/>
      <c r="I45" s="23"/>
      <c r="J45" s="17"/>
    </row>
    <row r="46" spans="1:10" s="21" customFormat="1" ht="19" customHeight="1">
      <c r="A46" s="17"/>
      <c r="B46" s="17"/>
      <c r="C46" s="22"/>
      <c r="I46" s="23"/>
      <c r="J46" s="17"/>
    </row>
    <row r="47" spans="1:10" s="21" customFormat="1" ht="19" customHeight="1">
      <c r="A47" s="17"/>
      <c r="B47" s="17"/>
      <c r="C47" s="22"/>
      <c r="I47" s="23"/>
      <c r="J47" s="17"/>
    </row>
    <row r="48" spans="1:10" s="21" customFormat="1" ht="19" customHeight="1">
      <c r="A48" s="17"/>
      <c r="B48" s="17"/>
      <c r="C48" s="22"/>
      <c r="I48" s="23"/>
      <c r="J48" s="17"/>
    </row>
    <row r="49" spans="1:10" s="21" customFormat="1" ht="19" customHeight="1">
      <c r="A49" s="17"/>
      <c r="B49" s="17"/>
      <c r="C49" s="22"/>
      <c r="I49" s="23"/>
      <c r="J49" s="17"/>
    </row>
    <row r="50" spans="1:10" s="21" customFormat="1" ht="19" customHeight="1">
      <c r="A50" s="17"/>
      <c r="B50" s="17"/>
      <c r="C50" s="22"/>
      <c r="I50" s="23"/>
      <c r="J50" s="17"/>
    </row>
    <row r="51" spans="1:10" s="21" customFormat="1" ht="19" customHeight="1">
      <c r="A51" s="17"/>
      <c r="B51" s="17"/>
      <c r="C51" s="22"/>
      <c r="I51" s="23"/>
      <c r="J51" s="17"/>
    </row>
    <row r="52" spans="1:10" s="21" customFormat="1" ht="19" customHeight="1">
      <c r="A52" s="17"/>
      <c r="B52" s="17"/>
      <c r="C52" s="22"/>
      <c r="I52" s="23"/>
      <c r="J52" s="17"/>
    </row>
    <row r="53" spans="1:10" s="21" customFormat="1" ht="19" customHeight="1">
      <c r="A53" s="17"/>
      <c r="B53" s="17"/>
      <c r="C53" s="22"/>
      <c r="I53" s="23"/>
      <c r="J53" s="17"/>
    </row>
    <row r="54" spans="1:10" s="21" customFormat="1" ht="19" customHeight="1">
      <c r="A54" s="17"/>
      <c r="B54" s="17"/>
      <c r="C54" s="22"/>
      <c r="I54" s="23"/>
      <c r="J54" s="17"/>
    </row>
    <row r="55" spans="1:10" s="21" customFormat="1" ht="19" customHeight="1">
      <c r="A55" s="17"/>
      <c r="B55" s="17"/>
      <c r="C55" s="22"/>
      <c r="I55" s="23"/>
      <c r="J55" s="17"/>
    </row>
    <row r="56" spans="1:10" s="21" customFormat="1" ht="19" customHeight="1">
      <c r="A56" s="17"/>
      <c r="B56" s="17"/>
      <c r="C56" s="22"/>
      <c r="I56" s="23"/>
      <c r="J56" s="17"/>
    </row>
    <row r="57" spans="1:10" s="21" customFormat="1" ht="19" customHeight="1">
      <c r="A57" s="17"/>
      <c r="B57" s="17"/>
      <c r="C57" s="22"/>
      <c r="I57" s="23"/>
      <c r="J57" s="17"/>
    </row>
    <row r="58" spans="1:10" s="21" customFormat="1" ht="19" customHeight="1">
      <c r="A58" s="17"/>
      <c r="B58" s="17"/>
      <c r="C58" s="22"/>
      <c r="I58" s="23"/>
      <c r="J58" s="17"/>
    </row>
    <row r="59" spans="1:10" s="21" customFormat="1" ht="19" customHeight="1">
      <c r="A59" s="17"/>
      <c r="B59" s="17"/>
      <c r="C59" s="22"/>
      <c r="I59" s="23"/>
      <c r="J59" s="17"/>
    </row>
    <row r="60" spans="1:10" s="21" customFormat="1" ht="19" customHeight="1">
      <c r="A60" s="17"/>
      <c r="B60" s="17"/>
      <c r="C60" s="22"/>
      <c r="I60" s="23"/>
      <c r="J60" s="17"/>
    </row>
    <row r="61" spans="1:10" s="21" customFormat="1" ht="19" customHeight="1">
      <c r="A61" s="17"/>
      <c r="B61" s="17"/>
      <c r="C61" s="22"/>
      <c r="I61" s="23"/>
      <c r="J61" s="17"/>
    </row>
    <row r="62" spans="1:10" s="21" customFormat="1" ht="19" customHeight="1">
      <c r="A62" s="17"/>
      <c r="B62" s="17"/>
      <c r="C62" s="22"/>
      <c r="I62" s="23"/>
      <c r="J62" s="17"/>
    </row>
    <row r="63" spans="1:10" s="21" customFormat="1" ht="19" customHeight="1">
      <c r="A63" s="17"/>
      <c r="B63" s="17"/>
      <c r="C63" s="22"/>
      <c r="I63" s="23"/>
      <c r="J63" s="17"/>
    </row>
    <row r="64" spans="1:10" s="21" customFormat="1" ht="19" customHeight="1">
      <c r="A64" s="17"/>
      <c r="B64" s="17"/>
      <c r="C64" s="22"/>
      <c r="I64" s="23"/>
      <c r="J64" s="17"/>
    </row>
    <row r="65" spans="1:10" s="21" customFormat="1" ht="19" customHeight="1">
      <c r="A65" s="17"/>
      <c r="B65" s="17"/>
      <c r="C65" s="22"/>
      <c r="I65" s="23"/>
      <c r="J65" s="17"/>
    </row>
    <row r="66" spans="1:10" s="21" customFormat="1" ht="19" customHeight="1">
      <c r="A66" s="17"/>
      <c r="B66" s="17"/>
      <c r="C66" s="22"/>
      <c r="I66" s="23"/>
      <c r="J66" s="17"/>
    </row>
    <row r="67" spans="1:10" s="21" customFormat="1" ht="19" customHeight="1">
      <c r="A67" s="17"/>
      <c r="B67" s="17"/>
      <c r="C67" s="22"/>
      <c r="I67" s="23"/>
      <c r="J67" s="17"/>
    </row>
    <row r="68" spans="1:10" s="21" customFormat="1" ht="19" customHeight="1">
      <c r="A68" s="17"/>
      <c r="B68" s="17"/>
      <c r="C68" s="22"/>
      <c r="I68" s="23"/>
      <c r="J68" s="17"/>
    </row>
    <row r="69" spans="1:10" s="21" customFormat="1" ht="19" customHeight="1">
      <c r="A69" s="17"/>
      <c r="B69" s="17"/>
      <c r="C69" s="22"/>
      <c r="I69" s="23"/>
      <c r="J69" s="17"/>
    </row>
    <row r="70" spans="1:10" s="21" customFormat="1" ht="19" customHeight="1">
      <c r="A70" s="17"/>
      <c r="B70" s="17"/>
      <c r="C70" s="22"/>
      <c r="I70" s="23"/>
      <c r="J70" s="17"/>
    </row>
    <row r="71" spans="1:10" s="21" customFormat="1" ht="19" customHeight="1">
      <c r="A71" s="17"/>
      <c r="B71" s="17"/>
      <c r="C71" s="22"/>
      <c r="I71" s="23"/>
      <c r="J71" s="17"/>
    </row>
    <row r="72" spans="1:10" s="21" customFormat="1" ht="19" customHeight="1">
      <c r="A72" s="17"/>
      <c r="B72" s="17"/>
      <c r="C72" s="22"/>
      <c r="I72" s="23"/>
      <c r="J72" s="17"/>
    </row>
    <row r="73" spans="1:10" s="21" customFormat="1" ht="19" customHeight="1">
      <c r="A73" s="17"/>
      <c r="B73" s="17"/>
      <c r="C73" s="22"/>
      <c r="I73" s="23"/>
      <c r="J73" s="17"/>
    </row>
    <row r="74" spans="1:10" s="21" customFormat="1" ht="19" customHeight="1">
      <c r="A74" s="17"/>
      <c r="B74" s="17"/>
      <c r="C74" s="22"/>
      <c r="I74" s="23"/>
      <c r="J74" s="17"/>
    </row>
    <row r="75" spans="1:10" s="21" customFormat="1" ht="19" customHeight="1">
      <c r="A75" s="17"/>
      <c r="B75" s="17"/>
      <c r="C75" s="22"/>
      <c r="I75" s="23"/>
      <c r="J75" s="17"/>
    </row>
    <row r="76" spans="1:10" s="21" customFormat="1" ht="19" customHeight="1">
      <c r="A76" s="17"/>
      <c r="B76" s="17"/>
      <c r="C76" s="22"/>
      <c r="I76" s="23"/>
      <c r="J76" s="17"/>
    </row>
    <row r="77" spans="1:10" s="21" customFormat="1" ht="19" customHeight="1">
      <c r="A77" s="17"/>
      <c r="B77" s="17"/>
      <c r="C77" s="22"/>
      <c r="I77" s="23"/>
      <c r="J77" s="17"/>
    </row>
    <row r="78" spans="1:10" s="21" customFormat="1" ht="19" customHeight="1">
      <c r="A78" s="17"/>
      <c r="B78" s="17"/>
      <c r="C78" s="22"/>
      <c r="I78" s="23"/>
      <c r="J78" s="17"/>
    </row>
    <row r="79" spans="1:10" s="21" customFormat="1" ht="19" customHeight="1">
      <c r="A79" s="17"/>
      <c r="B79" s="17"/>
      <c r="C79" s="22"/>
      <c r="I79" s="23"/>
      <c r="J79" s="17"/>
    </row>
    <row r="80" spans="1:10" s="21" customFormat="1" ht="19" customHeight="1">
      <c r="A80" s="17"/>
      <c r="B80" s="17"/>
      <c r="C80" s="22"/>
      <c r="I80" s="23"/>
      <c r="J80" s="17"/>
    </row>
    <row r="81" spans="1:10" s="21" customFormat="1" ht="19" customHeight="1">
      <c r="A81" s="17"/>
      <c r="B81" s="17"/>
      <c r="C81" s="22"/>
      <c r="I81" s="23"/>
      <c r="J81" s="17"/>
    </row>
    <row r="82" spans="1:10" s="21" customFormat="1" ht="19" customHeight="1">
      <c r="A82" s="17"/>
      <c r="B82" s="17"/>
      <c r="C82" s="22"/>
      <c r="I82" s="23"/>
      <c r="J82" s="23"/>
    </row>
    <row r="83" spans="1:10" s="21" customFormat="1" ht="19" customHeight="1">
      <c r="A83" s="17"/>
      <c r="B83" s="17"/>
      <c r="C83" s="22"/>
      <c r="I83" s="23"/>
      <c r="J83" s="23"/>
    </row>
    <row r="84" spans="1:10" s="21" customFormat="1" ht="19" customHeight="1">
      <c r="A84" s="17"/>
      <c r="B84" s="17"/>
      <c r="C84" s="22"/>
      <c r="I84" s="23"/>
      <c r="J84" s="23"/>
    </row>
    <row r="85" spans="1:10" s="21" customFormat="1" ht="19" customHeight="1">
      <c r="A85" s="17"/>
      <c r="B85" s="17"/>
      <c r="C85" s="22"/>
      <c r="I85" s="23"/>
      <c r="J85" s="23"/>
    </row>
    <row r="86" spans="1:10" s="26" customFormat="1" ht="19" customHeight="1">
      <c r="A86" s="24"/>
      <c r="B86" s="24"/>
      <c r="C86" s="25"/>
      <c r="I86" s="27"/>
      <c r="J86" s="27"/>
    </row>
    <row r="87" spans="1:10" s="26" customFormat="1" ht="19" customHeight="1">
      <c r="A87" s="24"/>
      <c r="B87" s="24"/>
      <c r="C87" s="25"/>
      <c r="I87" s="27"/>
      <c r="J87" s="27"/>
    </row>
  </sheetData>
  <sheetProtection algorithmName="SHA-512" hashValue="Y487bVzHkwyWz68brz3tSy7FqmE0tYOA0LTQQFAB6NwOFyf2T/+p8znk6KM1ySlhcG9hQLdWpsw6FWVUxstsbA==" saltValue="xBqfg5EUVI8ZnHiQMgRKBQ==" spinCount="100000" sheet="1" formatCells="0" selectLockedCells="1"/>
  <mergeCells count="3">
    <mergeCell ref="C2:I2"/>
    <mergeCell ref="C3:J3"/>
    <mergeCell ref="C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6014-3500-4C25-841E-84860853B866}">
  <sheetPr>
    <tabColor theme="0"/>
  </sheetPr>
  <dimension ref="A1:J69"/>
  <sheetViews>
    <sheetView workbookViewId="0">
      <selection activeCell="G6" sqref="G6"/>
    </sheetView>
  </sheetViews>
  <sheetFormatPr defaultColWidth="10.83203125" defaultRowHeight="14.5"/>
  <cols>
    <col min="1" max="2" width="1.58203125" style="1" customWidth="1"/>
    <col min="3" max="3" width="12.08203125" style="2" bestFit="1" customWidth="1"/>
    <col min="4" max="4" width="37.58203125" style="3" bestFit="1" customWidth="1"/>
    <col min="5" max="5" width="9.5" style="3" bestFit="1" customWidth="1"/>
    <col min="6" max="6" width="17.08203125" style="3" customWidth="1"/>
    <col min="7" max="7" width="17.83203125" style="3" customWidth="1"/>
    <col min="8" max="8" width="14.5" style="3" customWidth="1"/>
    <col min="9" max="9" width="14.58203125" style="28" customWidth="1"/>
    <col min="10" max="10" width="13.5" style="28" customWidth="1"/>
    <col min="11" max="16384" width="10.83203125" style="3"/>
  </cols>
  <sheetData>
    <row r="1" spans="1:10" ht="15.5">
      <c r="I1" s="4"/>
      <c r="J1" s="4"/>
    </row>
    <row r="2" spans="1:10" s="8" customFormat="1" ht="15.5">
      <c r="A2" s="5"/>
      <c r="B2" s="5"/>
      <c r="C2" s="6" t="s">
        <v>44</v>
      </c>
      <c r="D2" s="6"/>
      <c r="E2" s="6"/>
      <c r="F2" s="6"/>
      <c r="G2" s="6"/>
      <c r="H2" s="6"/>
      <c r="I2" s="6"/>
      <c r="J2" s="7"/>
    </row>
    <row r="3" spans="1:10" s="8" customFormat="1" ht="59.15" customHeight="1">
      <c r="A3" s="5"/>
      <c r="B3" s="5"/>
      <c r="C3" s="9" t="s">
        <v>45</v>
      </c>
      <c r="D3" s="9"/>
      <c r="E3" s="9"/>
      <c r="F3" s="9"/>
      <c r="G3" s="9"/>
      <c r="H3" s="9"/>
      <c r="I3" s="9"/>
      <c r="J3" s="9"/>
    </row>
    <row r="4" spans="1:10" s="8" customFormat="1" ht="31" customHeight="1">
      <c r="A4" s="5"/>
      <c r="B4" s="5"/>
      <c r="C4" s="10" t="s">
        <v>46</v>
      </c>
      <c r="D4" s="10"/>
      <c r="E4" s="10"/>
      <c r="F4" s="10"/>
      <c r="G4" s="10"/>
      <c r="H4" s="10"/>
      <c r="I4" s="11"/>
      <c r="J4" s="7"/>
    </row>
    <row r="5" spans="1:10" s="16" customFormat="1" ht="38.15" customHeight="1">
      <c r="A5" s="12"/>
      <c r="B5" s="12"/>
      <c r="C5" s="13" t="s">
        <v>3</v>
      </c>
      <c r="D5" s="13" t="s">
        <v>4</v>
      </c>
      <c r="E5" s="13" t="s">
        <v>5</v>
      </c>
      <c r="F5" s="13" t="s">
        <v>6</v>
      </c>
      <c r="G5" s="14" t="s">
        <v>7</v>
      </c>
      <c r="H5" s="14" t="s">
        <v>8</v>
      </c>
      <c r="I5" s="15"/>
    </row>
    <row r="6" spans="1:10" s="21" customFormat="1" ht="23.15" customHeight="1">
      <c r="A6" s="17" t="s">
        <v>9</v>
      </c>
      <c r="B6" s="17" t="s">
        <v>44</v>
      </c>
      <c r="C6" s="18" t="s">
        <v>47</v>
      </c>
      <c r="D6" s="18" t="s">
        <v>48</v>
      </c>
      <c r="E6" s="18" t="s">
        <v>12</v>
      </c>
      <c r="F6" s="18">
        <f>VLOOKUP(I6,[1]DB!J:L,3,FALSE)</f>
        <v>9.0100000000000006E-3</v>
      </c>
      <c r="G6" s="19"/>
      <c r="H6" s="20">
        <f t="shared" ref="H6:H15" si="0">F6*G6</f>
        <v>0</v>
      </c>
      <c r="I6" s="17" t="str">
        <f>CONCATENATE(A6,B6,C6,D6,E6)</f>
        <v>Scope 1BioenergyBiofuelBioethanollitres</v>
      </c>
    </row>
    <row r="7" spans="1:10" s="21" customFormat="1" ht="23.15" customHeight="1">
      <c r="A7" s="17" t="s">
        <v>9</v>
      </c>
      <c r="B7" s="17" t="s">
        <v>44</v>
      </c>
      <c r="C7" s="18" t="s">
        <v>47</v>
      </c>
      <c r="D7" s="18" t="s">
        <v>49</v>
      </c>
      <c r="E7" s="18" t="s">
        <v>12</v>
      </c>
      <c r="F7" s="18">
        <f>VLOOKUP(I7,[1]DB!J:L,3,FALSE)</f>
        <v>0.16750999999999999</v>
      </c>
      <c r="G7" s="19"/>
      <c r="H7" s="20">
        <f t="shared" si="0"/>
        <v>0</v>
      </c>
      <c r="I7" s="17" t="str">
        <f t="shared" ref="I7:I15" si="1">CONCATENATE(A7,B7,C7,D7,E7)</f>
        <v>Scope 1BioenergyBiofuelBiodiesel MElitres</v>
      </c>
    </row>
    <row r="8" spans="1:10" s="21" customFormat="1" ht="23.15" customHeight="1">
      <c r="A8" s="17" t="s">
        <v>9</v>
      </c>
      <c r="B8" s="17" t="s">
        <v>44</v>
      </c>
      <c r="C8" s="18" t="s">
        <v>47</v>
      </c>
      <c r="D8" s="18" t="s">
        <v>50</v>
      </c>
      <c r="E8" s="18" t="s">
        <v>12</v>
      </c>
      <c r="F8" s="18">
        <f>VLOOKUP(I8,[1]DB!J:L,3,FALSE)</f>
        <v>0.16750999999999999</v>
      </c>
      <c r="G8" s="19"/>
      <c r="H8" s="20">
        <f t="shared" si="0"/>
        <v>0</v>
      </c>
      <c r="I8" s="17" t="str">
        <f t="shared" si="1"/>
        <v>Scope 1BioenergyBiofuelBiodiesel ME (from used cooking oil)litres</v>
      </c>
    </row>
    <row r="9" spans="1:10" s="21" customFormat="1" ht="23.15" customHeight="1">
      <c r="A9" s="17" t="s">
        <v>9</v>
      </c>
      <c r="B9" s="17" t="s">
        <v>44</v>
      </c>
      <c r="C9" s="18" t="s">
        <v>47</v>
      </c>
      <c r="D9" s="18" t="s">
        <v>51</v>
      </c>
      <c r="E9" s="18" t="s">
        <v>12</v>
      </c>
      <c r="F9" s="18">
        <f>VLOOKUP(I9,[1]DB!J:L,3,FALSE)</f>
        <v>0.16750999999999999</v>
      </c>
      <c r="G9" s="19"/>
      <c r="H9" s="20">
        <f t="shared" si="0"/>
        <v>0</v>
      </c>
      <c r="I9" s="17" t="str">
        <f t="shared" si="1"/>
        <v>Scope 1BioenergyBiofuelBiodiesel ME (from tallow)litres</v>
      </c>
    </row>
    <row r="10" spans="1:10" s="21" customFormat="1" ht="23.15" customHeight="1">
      <c r="A10" s="17" t="s">
        <v>9</v>
      </c>
      <c r="B10" s="17" t="s">
        <v>44</v>
      </c>
      <c r="C10" s="18" t="s">
        <v>52</v>
      </c>
      <c r="D10" s="18" t="s">
        <v>53</v>
      </c>
      <c r="E10" s="18" t="s">
        <v>38</v>
      </c>
      <c r="F10" s="18">
        <f>VLOOKUP(I10,[1]DB!J:L,3,FALSE)</f>
        <v>61.817360000000001</v>
      </c>
      <c r="G10" s="19"/>
      <c r="H10" s="20">
        <f t="shared" si="0"/>
        <v>0</v>
      </c>
      <c r="I10" s="17" t="str">
        <f t="shared" si="1"/>
        <v>Scope 1BioenergyBiomassWood logstonnes</v>
      </c>
    </row>
    <row r="11" spans="1:10" s="21" customFormat="1" ht="23.15" customHeight="1">
      <c r="A11" s="17" t="s">
        <v>9</v>
      </c>
      <c r="B11" s="17" t="s">
        <v>44</v>
      </c>
      <c r="C11" s="18" t="s">
        <v>52</v>
      </c>
      <c r="D11" s="18" t="s">
        <v>54</v>
      </c>
      <c r="E11" s="18" t="s">
        <v>38</v>
      </c>
      <c r="F11" s="18">
        <f>VLOOKUP(I11,[1]DB!J:L,3,FALSE)</f>
        <v>57.15269</v>
      </c>
      <c r="G11" s="19"/>
      <c r="H11" s="20">
        <f t="shared" si="0"/>
        <v>0</v>
      </c>
      <c r="I11" s="17" t="str">
        <f t="shared" si="1"/>
        <v>Scope 1BioenergyBiomassWood chipstonnes</v>
      </c>
    </row>
    <row r="12" spans="1:10" s="21" customFormat="1" ht="23.15" customHeight="1">
      <c r="A12" s="17" t="s">
        <v>9</v>
      </c>
      <c r="B12" s="17" t="s">
        <v>44</v>
      </c>
      <c r="C12" s="18" t="s">
        <v>52</v>
      </c>
      <c r="D12" s="18" t="s">
        <v>55</v>
      </c>
      <c r="E12" s="18" t="s">
        <v>38</v>
      </c>
      <c r="F12" s="18">
        <f>VLOOKUP(I12,[1]DB!J:L,3,FALSE)</f>
        <v>72.617540000000005</v>
      </c>
      <c r="G12" s="19"/>
      <c r="H12" s="20">
        <f t="shared" si="0"/>
        <v>0</v>
      </c>
      <c r="I12" s="17" t="str">
        <f t="shared" si="1"/>
        <v>Scope 1BioenergyBiomassWood pelletstonnes</v>
      </c>
    </row>
    <row r="13" spans="1:10" s="21" customFormat="1" ht="23.15" customHeight="1">
      <c r="A13" s="17" t="s">
        <v>9</v>
      </c>
      <c r="B13" s="17" t="s">
        <v>44</v>
      </c>
      <c r="C13" s="18" t="s">
        <v>52</v>
      </c>
      <c r="D13" s="18" t="s">
        <v>56</v>
      </c>
      <c r="E13" s="18" t="s">
        <v>38</v>
      </c>
      <c r="F13" s="18">
        <f>VLOOKUP(I13,[1]DB!J:L,3,FALSE)</f>
        <v>49.236559999999997</v>
      </c>
      <c r="G13" s="19"/>
      <c r="H13" s="20">
        <f t="shared" si="0"/>
        <v>0</v>
      </c>
      <c r="I13" s="17" t="str">
        <f t="shared" si="1"/>
        <v>Scope 1BioenergyBiomassGrass/strawtonnes</v>
      </c>
    </row>
    <row r="14" spans="1:10" s="21" customFormat="1" ht="23.15" customHeight="1">
      <c r="A14" s="17" t="s">
        <v>9</v>
      </c>
      <c r="B14" s="17" t="s">
        <v>44</v>
      </c>
      <c r="C14" s="18" t="s">
        <v>57</v>
      </c>
      <c r="D14" s="18" t="s">
        <v>57</v>
      </c>
      <c r="E14" s="18" t="s">
        <v>38</v>
      </c>
      <c r="F14" s="18">
        <f>VLOOKUP(I14,[1]DB!J:L,3,FALSE)</f>
        <v>1.2151799999999999</v>
      </c>
      <c r="G14" s="19"/>
      <c r="H14" s="20">
        <f t="shared" si="0"/>
        <v>0</v>
      </c>
      <c r="I14" s="17" t="str">
        <f t="shared" si="1"/>
        <v>Scope 1BioenergyBiogasBiogastonnes</v>
      </c>
    </row>
    <row r="15" spans="1:10" s="21" customFormat="1" ht="23.15" customHeight="1">
      <c r="A15" s="17" t="s">
        <v>9</v>
      </c>
      <c r="B15" s="17" t="s">
        <v>44</v>
      </c>
      <c r="C15" s="18" t="s">
        <v>57</v>
      </c>
      <c r="D15" s="18" t="s">
        <v>58</v>
      </c>
      <c r="E15" s="18" t="s">
        <v>38</v>
      </c>
      <c r="F15" s="18">
        <f>VLOOKUP(I15,[1]DB!J:L,3,FALSE)</f>
        <v>0.68793000000000004</v>
      </c>
      <c r="G15" s="19"/>
      <c r="H15" s="20">
        <f t="shared" si="0"/>
        <v>0</v>
      </c>
      <c r="I15" s="17" t="str">
        <f t="shared" si="1"/>
        <v>Scope 1BioenergyBiogasLandfill gastonnes</v>
      </c>
    </row>
    <row r="16" spans="1:10" s="21" customFormat="1" ht="19" customHeight="1">
      <c r="A16" s="17"/>
      <c r="B16" s="17"/>
      <c r="C16" s="22"/>
      <c r="I16" s="23"/>
      <c r="J16" s="17"/>
    </row>
    <row r="17" spans="1:10" s="21" customFormat="1" ht="19" customHeight="1">
      <c r="A17" s="17"/>
      <c r="B17" s="17"/>
      <c r="C17" s="22"/>
      <c r="I17" s="23"/>
      <c r="J17" s="17"/>
    </row>
    <row r="18" spans="1:10" s="21" customFormat="1" ht="19" customHeight="1">
      <c r="A18" s="17"/>
      <c r="B18" s="17"/>
      <c r="C18" s="22"/>
      <c r="I18" s="23"/>
      <c r="J18" s="17"/>
    </row>
    <row r="19" spans="1:10" s="21" customFormat="1" ht="19" customHeight="1">
      <c r="A19" s="17"/>
      <c r="B19" s="17"/>
      <c r="C19" s="22"/>
      <c r="I19" s="23"/>
      <c r="J19" s="17"/>
    </row>
    <row r="20" spans="1:10" s="21" customFormat="1" ht="19" customHeight="1">
      <c r="A20" s="17"/>
      <c r="B20" s="17"/>
      <c r="C20" s="22"/>
      <c r="I20" s="23"/>
      <c r="J20" s="17"/>
    </row>
    <row r="21" spans="1:10" s="21" customFormat="1" ht="19" customHeight="1">
      <c r="A21" s="17"/>
      <c r="B21" s="17"/>
      <c r="C21" s="22"/>
      <c r="I21" s="23"/>
      <c r="J21" s="17"/>
    </row>
    <row r="22" spans="1:10" s="21" customFormat="1" ht="19" customHeight="1">
      <c r="A22" s="17"/>
      <c r="B22" s="17"/>
      <c r="C22" s="22"/>
      <c r="I22" s="23"/>
      <c r="J22" s="17"/>
    </row>
    <row r="23" spans="1:10" s="21" customFormat="1" ht="19" customHeight="1">
      <c r="A23" s="17"/>
      <c r="B23" s="17"/>
      <c r="C23" s="22"/>
      <c r="I23" s="23"/>
      <c r="J23" s="17"/>
    </row>
    <row r="24" spans="1:10" s="21" customFormat="1" ht="19" customHeight="1">
      <c r="A24" s="17"/>
      <c r="B24" s="17"/>
      <c r="C24" s="22"/>
      <c r="I24" s="23"/>
      <c r="J24" s="17"/>
    </row>
    <row r="25" spans="1:10" s="21" customFormat="1" ht="19" customHeight="1">
      <c r="A25" s="17"/>
      <c r="B25" s="17"/>
      <c r="C25" s="22"/>
      <c r="I25" s="23"/>
      <c r="J25" s="17"/>
    </row>
    <row r="26" spans="1:10" s="21" customFormat="1" ht="19" customHeight="1">
      <c r="A26" s="17"/>
      <c r="B26" s="17"/>
      <c r="C26" s="22"/>
      <c r="I26" s="23"/>
      <c r="J26" s="17"/>
    </row>
    <row r="27" spans="1:10" s="21" customFormat="1" ht="19" customHeight="1">
      <c r="A27" s="17"/>
      <c r="B27" s="17"/>
      <c r="C27" s="22"/>
      <c r="I27" s="23"/>
      <c r="J27" s="17"/>
    </row>
    <row r="28" spans="1:10" s="21" customFormat="1" ht="19" customHeight="1">
      <c r="A28" s="17"/>
      <c r="B28" s="17"/>
      <c r="C28" s="22"/>
      <c r="I28" s="23"/>
      <c r="J28" s="17"/>
    </row>
    <row r="29" spans="1:10" s="21" customFormat="1" ht="19" customHeight="1">
      <c r="A29" s="17"/>
      <c r="B29" s="17"/>
      <c r="C29" s="22"/>
      <c r="I29" s="23"/>
      <c r="J29" s="17"/>
    </row>
    <row r="30" spans="1:10" s="21" customFormat="1" ht="19" customHeight="1">
      <c r="A30" s="17"/>
      <c r="B30" s="17"/>
      <c r="C30" s="22"/>
      <c r="I30" s="23"/>
      <c r="J30" s="17"/>
    </row>
    <row r="31" spans="1:10" s="21" customFormat="1" ht="19" customHeight="1">
      <c r="A31" s="17"/>
      <c r="B31" s="17"/>
      <c r="C31" s="22"/>
      <c r="I31" s="23"/>
      <c r="J31" s="17"/>
    </row>
    <row r="32" spans="1:10" s="21" customFormat="1" ht="19" customHeight="1">
      <c r="A32" s="17"/>
      <c r="B32" s="17"/>
      <c r="C32" s="22"/>
      <c r="I32" s="23"/>
      <c r="J32" s="17"/>
    </row>
    <row r="33" spans="1:10" s="21" customFormat="1" ht="19" customHeight="1">
      <c r="A33" s="17"/>
      <c r="B33" s="17"/>
      <c r="C33" s="22"/>
      <c r="I33" s="23"/>
      <c r="J33" s="17"/>
    </row>
    <row r="34" spans="1:10" s="21" customFormat="1" ht="19" customHeight="1">
      <c r="A34" s="17"/>
      <c r="B34" s="17"/>
      <c r="C34" s="22"/>
      <c r="I34" s="23"/>
      <c r="J34" s="17"/>
    </row>
    <row r="35" spans="1:10" s="21" customFormat="1" ht="19" customHeight="1">
      <c r="A35" s="17"/>
      <c r="B35" s="17"/>
      <c r="C35" s="22"/>
      <c r="I35" s="23"/>
      <c r="J35" s="17"/>
    </row>
    <row r="36" spans="1:10" s="21" customFormat="1" ht="19" customHeight="1">
      <c r="A36" s="17"/>
      <c r="B36" s="17"/>
      <c r="C36" s="22"/>
      <c r="I36" s="23"/>
      <c r="J36" s="17"/>
    </row>
    <row r="37" spans="1:10" s="21" customFormat="1" ht="19" customHeight="1">
      <c r="A37" s="17"/>
      <c r="B37" s="17"/>
      <c r="C37" s="22"/>
      <c r="I37" s="23"/>
      <c r="J37" s="17"/>
    </row>
    <row r="38" spans="1:10" s="21" customFormat="1" ht="19" customHeight="1">
      <c r="A38" s="17"/>
      <c r="B38" s="17"/>
      <c r="C38" s="22"/>
      <c r="I38" s="23"/>
      <c r="J38" s="17"/>
    </row>
    <row r="39" spans="1:10" s="21" customFormat="1" ht="19" customHeight="1">
      <c r="A39" s="17"/>
      <c r="B39" s="17"/>
      <c r="C39" s="22"/>
      <c r="I39" s="23"/>
      <c r="J39" s="17"/>
    </row>
    <row r="40" spans="1:10" s="21" customFormat="1" ht="19" customHeight="1">
      <c r="A40" s="17"/>
      <c r="B40" s="17"/>
      <c r="C40" s="22"/>
      <c r="I40" s="23"/>
      <c r="J40" s="17"/>
    </row>
    <row r="41" spans="1:10" s="21" customFormat="1" ht="19" customHeight="1">
      <c r="A41" s="17"/>
      <c r="B41" s="17"/>
      <c r="C41" s="22"/>
      <c r="I41" s="23"/>
      <c r="J41" s="17"/>
    </row>
    <row r="42" spans="1:10" s="21" customFormat="1" ht="19" customHeight="1">
      <c r="A42" s="17"/>
      <c r="B42" s="17"/>
      <c r="C42" s="22"/>
      <c r="I42" s="23"/>
      <c r="J42" s="17"/>
    </row>
    <row r="43" spans="1:10" s="21" customFormat="1" ht="19" customHeight="1">
      <c r="A43" s="17"/>
      <c r="B43" s="17"/>
      <c r="C43" s="22"/>
      <c r="I43" s="23"/>
      <c r="J43" s="17"/>
    </row>
    <row r="44" spans="1:10" s="21" customFormat="1" ht="19" customHeight="1">
      <c r="A44" s="17"/>
      <c r="B44" s="17"/>
      <c r="C44" s="22"/>
      <c r="I44" s="23"/>
      <c r="J44" s="17"/>
    </row>
    <row r="45" spans="1:10" s="21" customFormat="1" ht="19" customHeight="1">
      <c r="A45" s="17"/>
      <c r="B45" s="17"/>
      <c r="C45" s="22"/>
      <c r="I45" s="23"/>
      <c r="J45" s="17"/>
    </row>
    <row r="46" spans="1:10" s="21" customFormat="1" ht="19" customHeight="1">
      <c r="A46" s="17"/>
      <c r="B46" s="17"/>
      <c r="C46" s="22"/>
      <c r="I46" s="23"/>
      <c r="J46" s="17"/>
    </row>
    <row r="47" spans="1:10" s="21" customFormat="1" ht="19" customHeight="1">
      <c r="A47" s="17"/>
      <c r="B47" s="17"/>
      <c r="C47" s="22"/>
      <c r="I47" s="23"/>
      <c r="J47" s="17"/>
    </row>
    <row r="48" spans="1:10" s="21" customFormat="1" ht="19" customHeight="1">
      <c r="A48" s="17"/>
      <c r="B48" s="17"/>
      <c r="C48" s="22"/>
      <c r="I48" s="23"/>
      <c r="J48" s="17"/>
    </row>
    <row r="49" spans="1:10" s="21" customFormat="1" ht="19" customHeight="1">
      <c r="A49" s="17"/>
      <c r="B49" s="17"/>
      <c r="C49" s="22"/>
      <c r="I49" s="23"/>
      <c r="J49" s="17"/>
    </row>
    <row r="50" spans="1:10" s="21" customFormat="1" ht="19" customHeight="1">
      <c r="A50" s="17"/>
      <c r="B50" s="17"/>
      <c r="C50" s="22"/>
      <c r="I50" s="23"/>
      <c r="J50" s="17"/>
    </row>
    <row r="51" spans="1:10" s="21" customFormat="1" ht="19" customHeight="1">
      <c r="A51" s="17"/>
      <c r="B51" s="17"/>
      <c r="C51" s="22"/>
      <c r="I51" s="23"/>
      <c r="J51" s="17"/>
    </row>
    <row r="52" spans="1:10" s="21" customFormat="1" ht="19" customHeight="1">
      <c r="A52" s="17"/>
      <c r="B52" s="17"/>
      <c r="C52" s="22"/>
      <c r="I52" s="23"/>
      <c r="J52" s="17"/>
    </row>
    <row r="53" spans="1:10" s="21" customFormat="1" ht="19" customHeight="1">
      <c r="A53" s="17"/>
      <c r="B53" s="17"/>
      <c r="C53" s="22"/>
      <c r="I53" s="23"/>
      <c r="J53" s="17"/>
    </row>
    <row r="54" spans="1:10" s="21" customFormat="1" ht="19" customHeight="1">
      <c r="A54" s="17"/>
      <c r="B54" s="17"/>
      <c r="C54" s="22"/>
      <c r="I54" s="23"/>
      <c r="J54" s="17"/>
    </row>
    <row r="55" spans="1:10" s="21" customFormat="1" ht="19" customHeight="1">
      <c r="A55" s="17"/>
      <c r="B55" s="17"/>
      <c r="C55" s="22"/>
      <c r="I55" s="23"/>
      <c r="J55" s="17"/>
    </row>
    <row r="56" spans="1:10" s="21" customFormat="1" ht="19" customHeight="1">
      <c r="A56" s="17"/>
      <c r="B56" s="17"/>
      <c r="C56" s="22"/>
      <c r="I56" s="23"/>
      <c r="J56" s="17"/>
    </row>
    <row r="57" spans="1:10" s="21" customFormat="1" ht="19" customHeight="1">
      <c r="A57" s="17"/>
      <c r="B57" s="17"/>
      <c r="C57" s="22"/>
      <c r="I57" s="23"/>
      <c r="J57" s="17"/>
    </row>
    <row r="58" spans="1:10" s="21" customFormat="1" ht="19" customHeight="1">
      <c r="A58" s="17"/>
      <c r="B58" s="17"/>
      <c r="C58" s="22"/>
      <c r="I58" s="23"/>
      <c r="J58" s="17"/>
    </row>
    <row r="59" spans="1:10" s="21" customFormat="1" ht="19" customHeight="1">
      <c r="A59" s="17"/>
      <c r="B59" s="17"/>
      <c r="C59" s="22"/>
      <c r="I59" s="23"/>
      <c r="J59" s="17"/>
    </row>
    <row r="60" spans="1:10" s="21" customFormat="1" ht="19" customHeight="1">
      <c r="A60" s="17"/>
      <c r="B60" s="17"/>
      <c r="C60" s="22"/>
      <c r="I60" s="23"/>
      <c r="J60" s="17"/>
    </row>
    <row r="61" spans="1:10" s="21" customFormat="1" ht="19" customHeight="1">
      <c r="A61" s="17"/>
      <c r="B61" s="17"/>
      <c r="C61" s="22"/>
      <c r="I61" s="23"/>
      <c r="J61" s="17"/>
    </row>
    <row r="62" spans="1:10" s="21" customFormat="1" ht="19" customHeight="1">
      <c r="A62" s="17"/>
      <c r="B62" s="17"/>
      <c r="C62" s="22"/>
      <c r="I62" s="23"/>
      <c r="J62" s="17"/>
    </row>
    <row r="63" spans="1:10" s="21" customFormat="1" ht="19" customHeight="1">
      <c r="A63" s="17"/>
      <c r="B63" s="17"/>
      <c r="C63" s="22"/>
      <c r="I63" s="23"/>
      <c r="J63" s="17"/>
    </row>
    <row r="64" spans="1:10" s="21" customFormat="1" ht="19" customHeight="1">
      <c r="A64" s="17"/>
      <c r="B64" s="17"/>
      <c r="C64" s="22"/>
      <c r="I64" s="23"/>
      <c r="J64" s="23"/>
    </row>
    <row r="65" spans="1:10" s="21" customFormat="1" ht="19" customHeight="1">
      <c r="A65" s="17"/>
      <c r="B65" s="17"/>
      <c r="C65" s="22"/>
      <c r="I65" s="23"/>
      <c r="J65" s="23"/>
    </row>
    <row r="66" spans="1:10" s="21" customFormat="1" ht="19" customHeight="1">
      <c r="A66" s="17"/>
      <c r="B66" s="17"/>
      <c r="C66" s="22"/>
      <c r="I66" s="23"/>
      <c r="J66" s="23"/>
    </row>
    <row r="67" spans="1:10" s="21" customFormat="1" ht="19" customHeight="1">
      <c r="A67" s="17"/>
      <c r="B67" s="17"/>
      <c r="C67" s="22"/>
      <c r="I67" s="23"/>
      <c r="J67" s="23"/>
    </row>
    <row r="68" spans="1:10" s="26" customFormat="1" ht="19" customHeight="1">
      <c r="A68" s="24"/>
      <c r="B68" s="24"/>
      <c r="C68" s="25"/>
      <c r="I68" s="27"/>
      <c r="J68" s="27"/>
    </row>
    <row r="69" spans="1:10" s="26" customFormat="1" ht="19" customHeight="1">
      <c r="A69" s="24"/>
      <c r="B69" s="24"/>
      <c r="C69" s="25"/>
      <c r="I69" s="27"/>
      <c r="J69" s="27"/>
    </row>
  </sheetData>
  <sheetProtection algorithmName="SHA-512" hashValue="Y487bVzHkwyWz68brz3tSy7FqmE0tYOA0LTQQFAB6NwOFyf2T/+p8znk6KM1ySlhcG9hQLdWpsw6FWVUxstsbA==" saltValue="xBqfg5EUVI8ZnHiQMgRKBQ==" spinCount="100000" sheet="1" formatCells="0" selectLockedCells="1"/>
  <mergeCells count="3">
    <mergeCell ref="C2:I2"/>
    <mergeCell ref="C3:J3"/>
    <mergeCell ref="C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D819-BE79-4D0D-8626-030A10BF0887}">
  <sheetPr>
    <tabColor theme="0"/>
  </sheetPr>
  <dimension ref="A1:I94"/>
  <sheetViews>
    <sheetView zoomScale="110" zoomScaleNormal="110" workbookViewId="0">
      <selection activeCell="G6" sqref="G6"/>
    </sheetView>
  </sheetViews>
  <sheetFormatPr defaultColWidth="10.83203125" defaultRowHeight="14.5"/>
  <cols>
    <col min="1" max="3" width="1.83203125" style="1" customWidth="1"/>
    <col min="4" max="4" width="32" style="2" customWidth="1"/>
    <col min="5" max="5" width="11" style="3" customWidth="1"/>
    <col min="6" max="6" width="16.08203125" style="3" customWidth="1"/>
    <col min="7" max="7" width="14.08203125" style="3" customWidth="1"/>
    <col min="8" max="8" width="15.58203125" style="40" customWidth="1"/>
    <col min="9" max="9" width="14.83203125" style="41" customWidth="1"/>
    <col min="10" max="16384" width="10.83203125" style="3"/>
  </cols>
  <sheetData>
    <row r="1" spans="1:9" ht="15.5">
      <c r="H1" s="29"/>
      <c r="I1" s="30"/>
    </row>
    <row r="2" spans="1:9" s="8" customFormat="1" ht="15.5">
      <c r="A2" s="5"/>
      <c r="B2" s="5"/>
      <c r="C2" s="5"/>
      <c r="D2" s="6" t="s">
        <v>59</v>
      </c>
      <c r="E2" s="6"/>
      <c r="F2" s="6"/>
      <c r="G2" s="6"/>
      <c r="H2" s="6"/>
      <c r="I2" s="30"/>
    </row>
    <row r="3" spans="1:9" s="8" customFormat="1" ht="30" customHeight="1">
      <c r="A3" s="5"/>
      <c r="B3" s="5"/>
      <c r="C3" s="5"/>
      <c r="D3" s="31" t="s">
        <v>60</v>
      </c>
      <c r="E3" s="31"/>
      <c r="F3" s="31"/>
      <c r="G3" s="31"/>
      <c r="H3" s="31"/>
      <c r="I3" s="31"/>
    </row>
    <row r="4" spans="1:9" s="8" customFormat="1" ht="31" customHeight="1">
      <c r="A4" s="5"/>
      <c r="B4" s="5"/>
      <c r="C4" s="5"/>
      <c r="D4" s="10" t="s">
        <v>61</v>
      </c>
      <c r="E4" s="10"/>
      <c r="F4" s="10"/>
      <c r="G4" s="10"/>
      <c r="H4" s="10"/>
      <c r="I4" s="32"/>
    </row>
    <row r="5" spans="1:9" s="16" customFormat="1" ht="38.15" customHeight="1">
      <c r="A5" s="12"/>
      <c r="B5" s="12"/>
      <c r="C5" s="12"/>
      <c r="D5" s="14" t="s">
        <v>62</v>
      </c>
      <c r="E5" s="14" t="s">
        <v>5</v>
      </c>
      <c r="F5" s="14" t="s">
        <v>63</v>
      </c>
      <c r="G5" s="14" t="s">
        <v>64</v>
      </c>
      <c r="H5" s="14" t="s">
        <v>8</v>
      </c>
      <c r="I5" s="33"/>
    </row>
    <row r="6" spans="1:9" s="21" customFormat="1" ht="19" customHeight="1">
      <c r="A6" s="17" t="s">
        <v>9</v>
      </c>
      <c r="B6" s="17" t="s">
        <v>65</v>
      </c>
      <c r="C6" s="17" t="s">
        <v>66</v>
      </c>
      <c r="D6" s="18" t="s">
        <v>67</v>
      </c>
      <c r="E6" s="18" t="s">
        <v>68</v>
      </c>
      <c r="F6" s="34">
        <f>VLOOKUP(I6,[1]DB!J:L,3,FALSE)</f>
        <v>1</v>
      </c>
      <c r="G6" s="35"/>
      <c r="H6" s="20">
        <f t="shared" ref="H6:H69" si="0">F6*G6</f>
        <v>0</v>
      </c>
      <c r="I6" s="36" t="str">
        <f>CONCATENATE(A6,B6,C6,D6,E6)</f>
        <v>Scope 1Refrigerant &amp; otherKyoto protocol - standardCarbon dioxidekg</v>
      </c>
    </row>
    <row r="7" spans="1:9" s="21" customFormat="1" ht="19" customHeight="1">
      <c r="A7" s="17" t="s">
        <v>9</v>
      </c>
      <c r="B7" s="17" t="s">
        <v>65</v>
      </c>
      <c r="C7" s="17" t="s">
        <v>66</v>
      </c>
      <c r="D7" s="18" t="s">
        <v>69</v>
      </c>
      <c r="E7" s="18" t="s">
        <v>68</v>
      </c>
      <c r="F7" s="34">
        <f>VLOOKUP(I7,[1]DB!J:L,3,FALSE)</f>
        <v>25</v>
      </c>
      <c r="G7" s="35"/>
      <c r="H7" s="20">
        <f t="shared" si="0"/>
        <v>0</v>
      </c>
      <c r="I7" s="36" t="str">
        <f t="shared" ref="I7:I70" si="1">CONCATENATE(A7,B7,C7,D7,E7)</f>
        <v>Scope 1Refrigerant &amp; otherKyoto protocol - standardMethanekg</v>
      </c>
    </row>
    <row r="8" spans="1:9" s="21" customFormat="1" ht="19" customHeight="1">
      <c r="A8" s="17" t="s">
        <v>9</v>
      </c>
      <c r="B8" s="17" t="s">
        <v>65</v>
      </c>
      <c r="C8" s="17" t="s">
        <v>66</v>
      </c>
      <c r="D8" s="18" t="s">
        <v>70</v>
      </c>
      <c r="E8" s="18" t="s">
        <v>68</v>
      </c>
      <c r="F8" s="34">
        <f>VLOOKUP(I8,[1]DB!J:L,3,FALSE)</f>
        <v>298</v>
      </c>
      <c r="G8" s="35"/>
      <c r="H8" s="20">
        <f t="shared" si="0"/>
        <v>0</v>
      </c>
      <c r="I8" s="36" t="str">
        <f t="shared" si="1"/>
        <v>Scope 1Refrigerant &amp; otherKyoto protocol - standardNitrous oxidekg</v>
      </c>
    </row>
    <row r="9" spans="1:9" s="21" customFormat="1" ht="19" customHeight="1">
      <c r="A9" s="17" t="s">
        <v>9</v>
      </c>
      <c r="B9" s="17" t="s">
        <v>65</v>
      </c>
      <c r="C9" s="17" t="s">
        <v>66</v>
      </c>
      <c r="D9" s="18" t="s">
        <v>71</v>
      </c>
      <c r="E9" s="18" t="s">
        <v>68</v>
      </c>
      <c r="F9" s="34">
        <f>VLOOKUP(I9,[1]DB!J:L,3,FALSE)</f>
        <v>14800</v>
      </c>
      <c r="G9" s="35"/>
      <c r="H9" s="20">
        <f t="shared" si="0"/>
        <v>0</v>
      </c>
      <c r="I9" s="36" t="str">
        <f t="shared" si="1"/>
        <v>Scope 1Refrigerant &amp; otherKyoto protocol - standardHFC-23kg</v>
      </c>
    </row>
    <row r="10" spans="1:9" s="21" customFormat="1" ht="19" customHeight="1">
      <c r="A10" s="17" t="s">
        <v>9</v>
      </c>
      <c r="B10" s="17" t="s">
        <v>65</v>
      </c>
      <c r="C10" s="17" t="s">
        <v>66</v>
      </c>
      <c r="D10" s="18" t="s">
        <v>72</v>
      </c>
      <c r="E10" s="18" t="s">
        <v>68</v>
      </c>
      <c r="F10" s="34">
        <f>VLOOKUP(I10,[1]DB!J:L,3,FALSE)</f>
        <v>675</v>
      </c>
      <c r="G10" s="35"/>
      <c r="H10" s="20">
        <f t="shared" si="0"/>
        <v>0</v>
      </c>
      <c r="I10" s="36" t="str">
        <f t="shared" si="1"/>
        <v>Scope 1Refrigerant &amp; otherKyoto protocol - standardHFC-32kg</v>
      </c>
    </row>
    <row r="11" spans="1:9" s="21" customFormat="1" ht="19" customHeight="1">
      <c r="A11" s="17" t="s">
        <v>9</v>
      </c>
      <c r="B11" s="17" t="s">
        <v>65</v>
      </c>
      <c r="C11" s="17" t="s">
        <v>66</v>
      </c>
      <c r="D11" s="18" t="s">
        <v>73</v>
      </c>
      <c r="E11" s="18" t="s">
        <v>68</v>
      </c>
      <c r="F11" s="34">
        <f>VLOOKUP(I11,[1]DB!J:L,3,FALSE)</f>
        <v>92</v>
      </c>
      <c r="G11" s="35"/>
      <c r="H11" s="20">
        <f t="shared" si="0"/>
        <v>0</v>
      </c>
      <c r="I11" s="36" t="str">
        <f t="shared" si="1"/>
        <v>Scope 1Refrigerant &amp; otherKyoto protocol - standardHFC-41kg</v>
      </c>
    </row>
    <row r="12" spans="1:9" s="21" customFormat="1" ht="19" customHeight="1">
      <c r="A12" s="17" t="s">
        <v>9</v>
      </c>
      <c r="B12" s="17" t="s">
        <v>65</v>
      </c>
      <c r="C12" s="17" t="s">
        <v>66</v>
      </c>
      <c r="D12" s="18" t="s">
        <v>74</v>
      </c>
      <c r="E12" s="18" t="s">
        <v>68</v>
      </c>
      <c r="F12" s="34">
        <f>VLOOKUP(I12,[1]DB!J:L,3,FALSE)</f>
        <v>3500</v>
      </c>
      <c r="G12" s="35"/>
      <c r="H12" s="20">
        <f t="shared" si="0"/>
        <v>0</v>
      </c>
      <c r="I12" s="36" t="str">
        <f t="shared" si="1"/>
        <v>Scope 1Refrigerant &amp; otherKyoto protocol - standardHFC-125kg</v>
      </c>
    </row>
    <row r="13" spans="1:9" s="21" customFormat="1" ht="19" customHeight="1">
      <c r="A13" s="17" t="s">
        <v>9</v>
      </c>
      <c r="B13" s="17" t="s">
        <v>65</v>
      </c>
      <c r="C13" s="17" t="s">
        <v>66</v>
      </c>
      <c r="D13" s="18" t="s">
        <v>75</v>
      </c>
      <c r="E13" s="18" t="s">
        <v>68</v>
      </c>
      <c r="F13" s="34">
        <f>VLOOKUP(I13,[1]DB!J:L,3,FALSE)</f>
        <v>1100</v>
      </c>
      <c r="G13" s="35"/>
      <c r="H13" s="20">
        <f t="shared" si="0"/>
        <v>0</v>
      </c>
      <c r="I13" s="36" t="str">
        <f t="shared" si="1"/>
        <v>Scope 1Refrigerant &amp; otherKyoto protocol - standardHFC-134kg</v>
      </c>
    </row>
    <row r="14" spans="1:9" s="21" customFormat="1" ht="19" customHeight="1">
      <c r="A14" s="17" t="s">
        <v>9</v>
      </c>
      <c r="B14" s="17" t="s">
        <v>65</v>
      </c>
      <c r="C14" s="17" t="s">
        <v>66</v>
      </c>
      <c r="D14" s="18" t="s">
        <v>76</v>
      </c>
      <c r="E14" s="18" t="s">
        <v>68</v>
      </c>
      <c r="F14" s="34">
        <f>VLOOKUP(I14,[1]DB!J:L,3,FALSE)</f>
        <v>1430</v>
      </c>
      <c r="G14" s="35"/>
      <c r="H14" s="20">
        <f t="shared" si="0"/>
        <v>0</v>
      </c>
      <c r="I14" s="36" t="str">
        <f t="shared" si="1"/>
        <v>Scope 1Refrigerant &amp; otherKyoto protocol - standardHFC-134akg</v>
      </c>
    </row>
    <row r="15" spans="1:9" s="21" customFormat="1" ht="19" customHeight="1">
      <c r="A15" s="17" t="s">
        <v>9</v>
      </c>
      <c r="B15" s="17" t="s">
        <v>65</v>
      </c>
      <c r="C15" s="17" t="s">
        <v>66</v>
      </c>
      <c r="D15" s="18" t="s">
        <v>77</v>
      </c>
      <c r="E15" s="18" t="s">
        <v>68</v>
      </c>
      <c r="F15" s="34">
        <f>VLOOKUP(I15,[1]DB!J:L,3,FALSE)</f>
        <v>353</v>
      </c>
      <c r="G15" s="35"/>
      <c r="H15" s="20">
        <f t="shared" si="0"/>
        <v>0</v>
      </c>
      <c r="I15" s="36" t="str">
        <f t="shared" si="1"/>
        <v>Scope 1Refrigerant &amp; otherKyoto protocol - standardHFC-143kg</v>
      </c>
    </row>
    <row r="16" spans="1:9" s="21" customFormat="1" ht="19" customHeight="1">
      <c r="A16" s="17" t="s">
        <v>9</v>
      </c>
      <c r="B16" s="17" t="s">
        <v>65</v>
      </c>
      <c r="C16" s="17" t="s">
        <v>66</v>
      </c>
      <c r="D16" s="18" t="s">
        <v>78</v>
      </c>
      <c r="E16" s="18" t="s">
        <v>68</v>
      </c>
      <c r="F16" s="34">
        <f>VLOOKUP(I16,[1]DB!J:L,3,FALSE)</f>
        <v>4470</v>
      </c>
      <c r="G16" s="35"/>
      <c r="H16" s="20">
        <f t="shared" si="0"/>
        <v>0</v>
      </c>
      <c r="I16" s="36" t="str">
        <f t="shared" si="1"/>
        <v>Scope 1Refrigerant &amp; otherKyoto protocol - standardHFC-143akg</v>
      </c>
    </row>
    <row r="17" spans="1:9" s="21" customFormat="1" ht="19" customHeight="1">
      <c r="A17" s="17" t="s">
        <v>9</v>
      </c>
      <c r="B17" s="17" t="s">
        <v>65</v>
      </c>
      <c r="C17" s="17" t="s">
        <v>66</v>
      </c>
      <c r="D17" s="18" t="s">
        <v>79</v>
      </c>
      <c r="E17" s="18" t="s">
        <v>68</v>
      </c>
      <c r="F17" s="34">
        <f>VLOOKUP(I17,[1]DB!J:L,3,FALSE)</f>
        <v>124</v>
      </c>
      <c r="G17" s="35"/>
      <c r="H17" s="20">
        <f t="shared" si="0"/>
        <v>0</v>
      </c>
      <c r="I17" s="36" t="str">
        <f t="shared" si="1"/>
        <v>Scope 1Refrigerant &amp; otherKyoto protocol - standardHFC-152akg</v>
      </c>
    </row>
    <row r="18" spans="1:9" s="21" customFormat="1" ht="19" customHeight="1">
      <c r="A18" s="17" t="s">
        <v>9</v>
      </c>
      <c r="B18" s="17" t="s">
        <v>65</v>
      </c>
      <c r="C18" s="17" t="s">
        <v>66</v>
      </c>
      <c r="D18" s="18" t="s">
        <v>80</v>
      </c>
      <c r="E18" s="18" t="s">
        <v>68</v>
      </c>
      <c r="F18" s="34">
        <f>VLOOKUP(I18,[1]DB!J:L,3,FALSE)</f>
        <v>3220</v>
      </c>
      <c r="G18" s="35"/>
      <c r="H18" s="20">
        <f t="shared" si="0"/>
        <v>0</v>
      </c>
      <c r="I18" s="36" t="str">
        <f t="shared" si="1"/>
        <v>Scope 1Refrigerant &amp; otherKyoto protocol - standardHFC-227eakg</v>
      </c>
    </row>
    <row r="19" spans="1:9" s="21" customFormat="1" ht="19" customHeight="1">
      <c r="A19" s="17" t="s">
        <v>9</v>
      </c>
      <c r="B19" s="17" t="s">
        <v>65</v>
      </c>
      <c r="C19" s="17" t="s">
        <v>66</v>
      </c>
      <c r="D19" s="18" t="s">
        <v>81</v>
      </c>
      <c r="E19" s="18" t="s">
        <v>68</v>
      </c>
      <c r="F19" s="34">
        <f>VLOOKUP(I19,[1]DB!J:L,3,FALSE)</f>
        <v>9810</v>
      </c>
      <c r="G19" s="35"/>
      <c r="H19" s="20">
        <f t="shared" si="0"/>
        <v>0</v>
      </c>
      <c r="I19" s="36" t="str">
        <f t="shared" si="1"/>
        <v>Scope 1Refrigerant &amp; otherKyoto protocol - standardHFC-236fakg</v>
      </c>
    </row>
    <row r="20" spans="1:9" s="21" customFormat="1" ht="19" customHeight="1">
      <c r="A20" s="17" t="s">
        <v>9</v>
      </c>
      <c r="B20" s="17" t="s">
        <v>65</v>
      </c>
      <c r="C20" s="17" t="s">
        <v>66</v>
      </c>
      <c r="D20" s="18" t="s">
        <v>82</v>
      </c>
      <c r="E20" s="18" t="s">
        <v>68</v>
      </c>
      <c r="F20" s="34">
        <f>VLOOKUP(I20,[1]DB!J:L,3,FALSE)</f>
        <v>1030</v>
      </c>
      <c r="G20" s="35"/>
      <c r="H20" s="20">
        <f t="shared" si="0"/>
        <v>0</v>
      </c>
      <c r="I20" s="36" t="str">
        <f t="shared" si="1"/>
        <v>Scope 1Refrigerant &amp; otherKyoto protocol - standardHFC-245fakg</v>
      </c>
    </row>
    <row r="21" spans="1:9" s="21" customFormat="1" ht="19" customHeight="1">
      <c r="A21" s="17" t="s">
        <v>9</v>
      </c>
      <c r="B21" s="17" t="s">
        <v>65</v>
      </c>
      <c r="C21" s="17" t="s">
        <v>66</v>
      </c>
      <c r="D21" s="18" t="s">
        <v>83</v>
      </c>
      <c r="E21" s="18" t="s">
        <v>68</v>
      </c>
      <c r="F21" s="34">
        <f>VLOOKUP(I21,[1]DB!J:L,3,FALSE)</f>
        <v>1640</v>
      </c>
      <c r="G21" s="35"/>
      <c r="H21" s="20">
        <f t="shared" si="0"/>
        <v>0</v>
      </c>
      <c r="I21" s="36" t="str">
        <f t="shared" si="1"/>
        <v>Scope 1Refrigerant &amp; otherKyoto protocol - standardHFC-43-I0meekg</v>
      </c>
    </row>
    <row r="22" spans="1:9" s="21" customFormat="1" ht="19" customHeight="1">
      <c r="A22" s="17" t="s">
        <v>9</v>
      </c>
      <c r="B22" s="17" t="s">
        <v>65</v>
      </c>
      <c r="C22" s="17" t="s">
        <v>66</v>
      </c>
      <c r="D22" s="18" t="s">
        <v>84</v>
      </c>
      <c r="E22" s="18" t="s">
        <v>68</v>
      </c>
      <c r="F22" s="34">
        <f>VLOOKUP(I22,[1]DB!J:L,3,FALSE)</f>
        <v>7390</v>
      </c>
      <c r="G22" s="35"/>
      <c r="H22" s="20">
        <f t="shared" si="0"/>
        <v>0</v>
      </c>
      <c r="I22" s="36" t="str">
        <f t="shared" si="1"/>
        <v>Scope 1Refrigerant &amp; otherKyoto protocol - standardPerfluoromethane (PFC-14)kg</v>
      </c>
    </row>
    <row r="23" spans="1:9" s="21" customFormat="1" ht="19" customHeight="1">
      <c r="A23" s="17" t="s">
        <v>9</v>
      </c>
      <c r="B23" s="17" t="s">
        <v>65</v>
      </c>
      <c r="C23" s="17" t="s">
        <v>66</v>
      </c>
      <c r="D23" s="18" t="s">
        <v>85</v>
      </c>
      <c r="E23" s="18" t="s">
        <v>68</v>
      </c>
      <c r="F23" s="34">
        <f>VLOOKUP(I23,[1]DB!J:L,3,FALSE)</f>
        <v>12200</v>
      </c>
      <c r="G23" s="35"/>
      <c r="H23" s="20">
        <f t="shared" si="0"/>
        <v>0</v>
      </c>
      <c r="I23" s="36" t="str">
        <f t="shared" si="1"/>
        <v>Scope 1Refrigerant &amp; otherKyoto protocol - standardPerfluoroethane (PFC-116)kg</v>
      </c>
    </row>
    <row r="24" spans="1:9" s="21" customFormat="1" ht="19" customHeight="1">
      <c r="A24" s="17" t="s">
        <v>9</v>
      </c>
      <c r="B24" s="17" t="s">
        <v>65</v>
      </c>
      <c r="C24" s="17" t="s">
        <v>66</v>
      </c>
      <c r="D24" s="18" t="s">
        <v>86</v>
      </c>
      <c r="E24" s="18" t="s">
        <v>68</v>
      </c>
      <c r="F24" s="34">
        <f>VLOOKUP(I24,[1]DB!J:L,3,FALSE)</f>
        <v>8830</v>
      </c>
      <c r="G24" s="35"/>
      <c r="H24" s="20">
        <f t="shared" si="0"/>
        <v>0</v>
      </c>
      <c r="I24" s="36" t="str">
        <f t="shared" si="1"/>
        <v>Scope 1Refrigerant &amp; otherKyoto protocol - standardPerfluoropropane (PFC-218)kg</v>
      </c>
    </row>
    <row r="25" spans="1:9" s="21" customFormat="1" ht="19" customHeight="1">
      <c r="A25" s="17" t="s">
        <v>9</v>
      </c>
      <c r="B25" s="17" t="s">
        <v>65</v>
      </c>
      <c r="C25" s="17" t="s">
        <v>66</v>
      </c>
      <c r="D25" s="18" t="s">
        <v>87</v>
      </c>
      <c r="E25" s="18" t="s">
        <v>68</v>
      </c>
      <c r="F25" s="34">
        <f>VLOOKUP(I25,[1]DB!J:L,3,FALSE)</f>
        <v>10300</v>
      </c>
      <c r="G25" s="35"/>
      <c r="H25" s="20">
        <f t="shared" si="0"/>
        <v>0</v>
      </c>
      <c r="I25" s="36" t="str">
        <f t="shared" si="1"/>
        <v>Scope 1Refrigerant &amp; otherKyoto protocol - standardPerfluorocyclobutane (PFC-318)kg</v>
      </c>
    </row>
    <row r="26" spans="1:9" s="21" customFormat="1" ht="19" customHeight="1">
      <c r="A26" s="17" t="s">
        <v>9</v>
      </c>
      <c r="B26" s="17" t="s">
        <v>65</v>
      </c>
      <c r="C26" s="17" t="s">
        <v>66</v>
      </c>
      <c r="D26" s="18" t="s">
        <v>88</v>
      </c>
      <c r="E26" s="18" t="s">
        <v>68</v>
      </c>
      <c r="F26" s="34">
        <f>VLOOKUP(I26,[1]DB!J:L,3,FALSE)</f>
        <v>8860</v>
      </c>
      <c r="G26" s="35"/>
      <c r="H26" s="20">
        <f t="shared" si="0"/>
        <v>0</v>
      </c>
      <c r="I26" s="36" t="str">
        <f t="shared" si="1"/>
        <v>Scope 1Refrigerant &amp; otherKyoto protocol - standardPerfluorobutane (PFC-3-1-10)kg</v>
      </c>
    </row>
    <row r="27" spans="1:9" s="21" customFormat="1" ht="19" customHeight="1">
      <c r="A27" s="17" t="s">
        <v>9</v>
      </c>
      <c r="B27" s="17" t="s">
        <v>65</v>
      </c>
      <c r="C27" s="17" t="s">
        <v>66</v>
      </c>
      <c r="D27" s="18" t="s">
        <v>89</v>
      </c>
      <c r="E27" s="18" t="s">
        <v>68</v>
      </c>
      <c r="F27" s="34">
        <f>VLOOKUP(I27,[1]DB!J:L,3,FALSE)</f>
        <v>9160</v>
      </c>
      <c r="G27" s="35"/>
      <c r="H27" s="20">
        <f t="shared" si="0"/>
        <v>0</v>
      </c>
      <c r="I27" s="36" t="str">
        <f t="shared" si="1"/>
        <v>Scope 1Refrigerant &amp; otherKyoto protocol - standardPerfluoropentane (PFC-4-1-12)kg</v>
      </c>
    </row>
    <row r="28" spans="1:9" s="21" customFormat="1" ht="19" customHeight="1">
      <c r="A28" s="17" t="s">
        <v>9</v>
      </c>
      <c r="B28" s="17" t="s">
        <v>65</v>
      </c>
      <c r="C28" s="17" t="s">
        <v>66</v>
      </c>
      <c r="D28" s="18" t="s">
        <v>90</v>
      </c>
      <c r="E28" s="18" t="s">
        <v>68</v>
      </c>
      <c r="F28" s="34">
        <f>VLOOKUP(I28,[1]DB!J:L,3,FALSE)</f>
        <v>9300</v>
      </c>
      <c r="G28" s="35"/>
      <c r="H28" s="20">
        <f t="shared" si="0"/>
        <v>0</v>
      </c>
      <c r="I28" s="36" t="str">
        <f t="shared" si="1"/>
        <v>Scope 1Refrigerant &amp; otherKyoto protocol - standardPerfluorohexane (PFC-5-1-14)kg</v>
      </c>
    </row>
    <row r="29" spans="1:9" s="21" customFormat="1" ht="19" customHeight="1">
      <c r="A29" s="17" t="s">
        <v>9</v>
      </c>
      <c r="B29" s="17" t="s">
        <v>65</v>
      </c>
      <c r="C29" s="17" t="s">
        <v>66</v>
      </c>
      <c r="D29" s="18" t="s">
        <v>91</v>
      </c>
      <c r="E29" s="18" t="s">
        <v>68</v>
      </c>
      <c r="F29" s="34">
        <f>VLOOKUP(I29,[1]DB!J:L,3,FALSE)</f>
        <v>22800</v>
      </c>
      <c r="G29" s="35"/>
      <c r="H29" s="20">
        <f t="shared" si="0"/>
        <v>0</v>
      </c>
      <c r="I29" s="36" t="str">
        <f t="shared" si="1"/>
        <v>Scope 1Refrigerant &amp; otherKyoto protocol - standardSulphur hexafluoride (SF6)kg</v>
      </c>
    </row>
    <row r="30" spans="1:9" s="21" customFormat="1" ht="19" customHeight="1">
      <c r="A30" s="17" t="s">
        <v>9</v>
      </c>
      <c r="B30" s="17" t="s">
        <v>65</v>
      </c>
      <c r="C30" s="17" t="s">
        <v>66</v>
      </c>
      <c r="D30" s="18" t="s">
        <v>92</v>
      </c>
      <c r="E30" s="18" t="s">
        <v>68</v>
      </c>
      <c r="F30" s="34">
        <f>VLOOKUP(I30,[1]DB!J:L,3,FALSE)</f>
        <v>53</v>
      </c>
      <c r="G30" s="35"/>
      <c r="H30" s="20">
        <f t="shared" si="0"/>
        <v>0</v>
      </c>
      <c r="I30" s="36" t="str">
        <f t="shared" si="1"/>
        <v>Scope 1Refrigerant &amp; otherKyoto protocol - standardHFC-152kg</v>
      </c>
    </row>
    <row r="31" spans="1:9" s="21" customFormat="1" ht="19" customHeight="1">
      <c r="A31" s="17" t="s">
        <v>9</v>
      </c>
      <c r="B31" s="17" t="s">
        <v>65</v>
      </c>
      <c r="C31" s="17" t="s">
        <v>66</v>
      </c>
      <c r="D31" s="18" t="s">
        <v>93</v>
      </c>
      <c r="E31" s="18" t="s">
        <v>68</v>
      </c>
      <c r="F31" s="34">
        <f>VLOOKUP(I31,[1]DB!J:L,3,FALSE)</f>
        <v>12</v>
      </c>
      <c r="G31" s="35"/>
      <c r="H31" s="20">
        <f t="shared" si="0"/>
        <v>0</v>
      </c>
      <c r="I31" s="36" t="str">
        <f t="shared" si="1"/>
        <v>Scope 1Refrigerant &amp; otherKyoto protocol - standardHFC-161kg</v>
      </c>
    </row>
    <row r="32" spans="1:9" s="21" customFormat="1" ht="19" customHeight="1">
      <c r="A32" s="17" t="s">
        <v>9</v>
      </c>
      <c r="B32" s="17" t="s">
        <v>65</v>
      </c>
      <c r="C32" s="17" t="s">
        <v>66</v>
      </c>
      <c r="D32" s="18" t="s">
        <v>94</v>
      </c>
      <c r="E32" s="18" t="s">
        <v>68</v>
      </c>
      <c r="F32" s="34">
        <f>VLOOKUP(I32,[1]DB!J:L,3,FALSE)</f>
        <v>1340</v>
      </c>
      <c r="G32" s="35"/>
      <c r="H32" s="20">
        <f t="shared" si="0"/>
        <v>0</v>
      </c>
      <c r="I32" s="36" t="str">
        <f t="shared" si="1"/>
        <v>Scope 1Refrigerant &amp; otherKyoto protocol - standardHFC-236cbkg</v>
      </c>
    </row>
    <row r="33" spans="1:9" s="21" customFormat="1" ht="19" customHeight="1">
      <c r="A33" s="17" t="s">
        <v>9</v>
      </c>
      <c r="B33" s="17" t="s">
        <v>65</v>
      </c>
      <c r="C33" s="17" t="s">
        <v>66</v>
      </c>
      <c r="D33" s="18" t="s">
        <v>95</v>
      </c>
      <c r="E33" s="18" t="s">
        <v>68</v>
      </c>
      <c r="F33" s="34">
        <f>VLOOKUP(I33,[1]DB!J:L,3,FALSE)</f>
        <v>1370</v>
      </c>
      <c r="G33" s="35"/>
      <c r="H33" s="20">
        <f t="shared" si="0"/>
        <v>0</v>
      </c>
      <c r="I33" s="36" t="str">
        <f t="shared" si="1"/>
        <v>Scope 1Refrigerant &amp; otherKyoto protocol - standardHFC-236eakg</v>
      </c>
    </row>
    <row r="34" spans="1:9" s="21" customFormat="1" ht="19" customHeight="1">
      <c r="A34" s="17" t="s">
        <v>9</v>
      </c>
      <c r="B34" s="17" t="s">
        <v>65</v>
      </c>
      <c r="C34" s="17" t="s">
        <v>66</v>
      </c>
      <c r="D34" s="18" t="s">
        <v>96</v>
      </c>
      <c r="E34" s="18" t="s">
        <v>68</v>
      </c>
      <c r="F34" s="34">
        <f>VLOOKUP(I34,[1]DB!J:L,3,FALSE)</f>
        <v>693</v>
      </c>
      <c r="G34" s="35"/>
      <c r="H34" s="20">
        <f t="shared" si="0"/>
        <v>0</v>
      </c>
      <c r="I34" s="36" t="str">
        <f t="shared" si="1"/>
        <v>Scope 1Refrigerant &amp; otherKyoto protocol - standardHFC-245cakg</v>
      </c>
    </row>
    <row r="35" spans="1:9" s="21" customFormat="1" ht="19" customHeight="1">
      <c r="A35" s="17" t="s">
        <v>9</v>
      </c>
      <c r="B35" s="17" t="s">
        <v>65</v>
      </c>
      <c r="C35" s="17" t="s">
        <v>66</v>
      </c>
      <c r="D35" s="18" t="s">
        <v>97</v>
      </c>
      <c r="E35" s="18" t="s">
        <v>68</v>
      </c>
      <c r="F35" s="34">
        <f>VLOOKUP(I35,[1]DB!J:L,3,FALSE)</f>
        <v>794</v>
      </c>
      <c r="G35" s="35"/>
      <c r="H35" s="20">
        <f t="shared" si="0"/>
        <v>0</v>
      </c>
      <c r="I35" s="36" t="str">
        <f t="shared" si="1"/>
        <v>Scope 1Refrigerant &amp; otherKyoto protocol - standardHFC-365mfckg</v>
      </c>
    </row>
    <row r="36" spans="1:9" s="21" customFormat="1" ht="19" customHeight="1">
      <c r="A36" s="17" t="s">
        <v>9</v>
      </c>
      <c r="B36" s="17" t="s">
        <v>65</v>
      </c>
      <c r="C36" s="17" t="s">
        <v>98</v>
      </c>
      <c r="D36" s="18" t="s">
        <v>99</v>
      </c>
      <c r="E36" s="18" t="s">
        <v>68</v>
      </c>
      <c r="F36" s="34">
        <f>VLOOKUP(I36,[1]DB!J:L,3,FALSE)</f>
        <v>3922</v>
      </c>
      <c r="G36" s="35"/>
      <c r="H36" s="20">
        <f t="shared" si="0"/>
        <v>0</v>
      </c>
      <c r="I36" s="36" t="str">
        <f t="shared" si="1"/>
        <v>Scope 1Refrigerant &amp; otherKyoto protocol- blendsR404Akg</v>
      </c>
    </row>
    <row r="37" spans="1:9" s="21" customFormat="1" ht="19" customHeight="1">
      <c r="A37" s="17" t="s">
        <v>9</v>
      </c>
      <c r="B37" s="17" t="s">
        <v>65</v>
      </c>
      <c r="C37" s="17" t="s">
        <v>98</v>
      </c>
      <c r="D37" s="18" t="s">
        <v>100</v>
      </c>
      <c r="E37" s="18" t="s">
        <v>68</v>
      </c>
      <c r="F37" s="34">
        <f>VLOOKUP(I37,[1]DB!J:L,3,FALSE)</f>
        <v>2107</v>
      </c>
      <c r="G37" s="35"/>
      <c r="H37" s="20">
        <f t="shared" si="0"/>
        <v>0</v>
      </c>
      <c r="I37" s="36" t="str">
        <f t="shared" si="1"/>
        <v>Scope 1Refrigerant &amp; otherKyoto protocol- blendsR407Akg</v>
      </c>
    </row>
    <row r="38" spans="1:9" s="21" customFormat="1" ht="19" customHeight="1">
      <c r="A38" s="17" t="s">
        <v>9</v>
      </c>
      <c r="B38" s="17" t="s">
        <v>65</v>
      </c>
      <c r="C38" s="17" t="s">
        <v>98</v>
      </c>
      <c r="D38" s="18" t="s">
        <v>101</v>
      </c>
      <c r="E38" s="18" t="s">
        <v>68</v>
      </c>
      <c r="F38" s="34">
        <f>VLOOKUP(I38,[1]DB!J:L,3,FALSE)</f>
        <v>1774</v>
      </c>
      <c r="G38" s="35"/>
      <c r="H38" s="20">
        <f t="shared" si="0"/>
        <v>0</v>
      </c>
      <c r="I38" s="36" t="str">
        <f t="shared" si="1"/>
        <v>Scope 1Refrigerant &amp; otherKyoto protocol- blendsR407Ckg</v>
      </c>
    </row>
    <row r="39" spans="1:9" s="21" customFormat="1" ht="19" customHeight="1">
      <c r="A39" s="17" t="s">
        <v>9</v>
      </c>
      <c r="B39" s="17" t="s">
        <v>65</v>
      </c>
      <c r="C39" s="17" t="s">
        <v>98</v>
      </c>
      <c r="D39" s="18" t="s">
        <v>102</v>
      </c>
      <c r="E39" s="18" t="s">
        <v>68</v>
      </c>
      <c r="F39" s="34">
        <f>VLOOKUP(I39,[1]DB!J:L,3,FALSE)</f>
        <v>1825</v>
      </c>
      <c r="G39" s="35"/>
      <c r="H39" s="20">
        <f t="shared" si="0"/>
        <v>0</v>
      </c>
      <c r="I39" s="36" t="str">
        <f t="shared" si="1"/>
        <v>Scope 1Refrigerant &amp; otherKyoto protocol- blendsR407Fkg</v>
      </c>
    </row>
    <row r="40" spans="1:9" s="21" customFormat="1" ht="19" customHeight="1">
      <c r="A40" s="17" t="s">
        <v>9</v>
      </c>
      <c r="B40" s="17" t="s">
        <v>65</v>
      </c>
      <c r="C40" s="17" t="s">
        <v>98</v>
      </c>
      <c r="D40" s="18" t="s">
        <v>103</v>
      </c>
      <c r="E40" s="18" t="s">
        <v>68</v>
      </c>
      <c r="F40" s="34">
        <f>VLOOKUP(I40,[1]DB!J:L,3,FALSE)</f>
        <v>3152</v>
      </c>
      <c r="G40" s="35"/>
      <c r="H40" s="20">
        <f t="shared" si="0"/>
        <v>0</v>
      </c>
      <c r="I40" s="36" t="str">
        <f t="shared" si="1"/>
        <v>Scope 1Refrigerant &amp; otherKyoto protocol- blendsR408Akg</v>
      </c>
    </row>
    <row r="41" spans="1:9" s="21" customFormat="1" ht="19" customHeight="1">
      <c r="A41" s="17" t="s">
        <v>9</v>
      </c>
      <c r="B41" s="17" t="s">
        <v>65</v>
      </c>
      <c r="C41" s="17" t="s">
        <v>98</v>
      </c>
      <c r="D41" s="18" t="s">
        <v>104</v>
      </c>
      <c r="E41" s="18" t="s">
        <v>68</v>
      </c>
      <c r="F41" s="34">
        <f>VLOOKUP(I41,[1]DB!J:L,3,FALSE)</f>
        <v>2088</v>
      </c>
      <c r="G41" s="35"/>
      <c r="H41" s="20">
        <f t="shared" si="0"/>
        <v>0</v>
      </c>
      <c r="I41" s="36" t="str">
        <f t="shared" si="1"/>
        <v>Scope 1Refrigerant &amp; otherKyoto protocol- blendsR410Akg</v>
      </c>
    </row>
    <row r="42" spans="1:9" s="21" customFormat="1" ht="19" customHeight="1">
      <c r="A42" s="17" t="s">
        <v>9</v>
      </c>
      <c r="B42" s="17" t="s">
        <v>65</v>
      </c>
      <c r="C42" s="17" t="s">
        <v>98</v>
      </c>
      <c r="D42" s="18" t="s">
        <v>105</v>
      </c>
      <c r="E42" s="18" t="s">
        <v>68</v>
      </c>
      <c r="F42" s="34">
        <f>VLOOKUP(I42,[1]DB!J:L,3,FALSE)</f>
        <v>3985</v>
      </c>
      <c r="G42" s="35"/>
      <c r="H42" s="20">
        <f t="shared" si="0"/>
        <v>0</v>
      </c>
      <c r="I42" s="36" t="str">
        <f t="shared" si="1"/>
        <v>Scope 1Refrigerant &amp; otherKyoto protocol- blendsR507Akg</v>
      </c>
    </row>
    <row r="43" spans="1:9" s="21" customFormat="1" ht="19" customHeight="1">
      <c r="A43" s="17" t="s">
        <v>9</v>
      </c>
      <c r="B43" s="17" t="s">
        <v>65</v>
      </c>
      <c r="C43" s="17" t="s">
        <v>98</v>
      </c>
      <c r="D43" s="18" t="s">
        <v>106</v>
      </c>
      <c r="E43" s="18" t="s">
        <v>68</v>
      </c>
      <c r="F43" s="34">
        <f>VLOOKUP(I43,[1]DB!J:L,3,FALSE)</f>
        <v>13396</v>
      </c>
      <c r="G43" s="35"/>
      <c r="H43" s="20">
        <f t="shared" si="0"/>
        <v>0</v>
      </c>
      <c r="I43" s="36" t="str">
        <f t="shared" si="1"/>
        <v>Scope 1Refrigerant &amp; otherKyoto protocol- blendsR508Bkg</v>
      </c>
    </row>
    <row r="44" spans="1:9" s="21" customFormat="1" ht="19" customHeight="1">
      <c r="A44" s="17" t="s">
        <v>9</v>
      </c>
      <c r="B44" s="17" t="s">
        <v>65</v>
      </c>
      <c r="C44" s="17" t="s">
        <v>98</v>
      </c>
      <c r="D44" s="18" t="s">
        <v>107</v>
      </c>
      <c r="E44" s="18" t="s">
        <v>68</v>
      </c>
      <c r="F44" s="34">
        <f>VLOOKUP(I44,[1]DB!J:L,3,FALSE)</f>
        <v>3124</v>
      </c>
      <c r="G44" s="35"/>
      <c r="H44" s="20">
        <f t="shared" si="0"/>
        <v>0</v>
      </c>
      <c r="I44" s="36" t="str">
        <f t="shared" si="1"/>
        <v>Scope 1Refrigerant &amp; otherKyoto protocol- blendsR403Akg</v>
      </c>
    </row>
    <row r="45" spans="1:9" s="21" customFormat="1" ht="19" customHeight="1">
      <c r="A45" s="17" t="s">
        <v>9</v>
      </c>
      <c r="B45" s="17" t="s">
        <v>65</v>
      </c>
      <c r="C45" s="17" t="s">
        <v>108</v>
      </c>
      <c r="D45" s="18" t="s">
        <v>109</v>
      </c>
      <c r="E45" s="18" t="s">
        <v>68</v>
      </c>
      <c r="F45" s="34">
        <f>VLOOKUP(I45,[1]DB!J:L,3,FALSE)</f>
        <v>4750</v>
      </c>
      <c r="G45" s="35"/>
      <c r="H45" s="20">
        <f t="shared" si="0"/>
        <v>0</v>
      </c>
      <c r="I45" s="36" t="str">
        <f t="shared" si="1"/>
        <v>Scope 1Refrigerant &amp; otherMontreal protocol - standardCFC-11/R11 = trichlorofluoromethanekg</v>
      </c>
    </row>
    <row r="46" spans="1:9" s="21" customFormat="1" ht="19" customHeight="1">
      <c r="A46" s="17" t="s">
        <v>9</v>
      </c>
      <c r="B46" s="17" t="s">
        <v>65</v>
      </c>
      <c r="C46" s="17" t="s">
        <v>108</v>
      </c>
      <c r="D46" s="18" t="s">
        <v>110</v>
      </c>
      <c r="E46" s="18" t="s">
        <v>68</v>
      </c>
      <c r="F46" s="34">
        <f>VLOOKUP(I46,[1]DB!J:L,3,FALSE)</f>
        <v>10900</v>
      </c>
      <c r="G46" s="35"/>
      <c r="H46" s="20">
        <f t="shared" si="0"/>
        <v>0</v>
      </c>
      <c r="I46" s="36" t="str">
        <f t="shared" si="1"/>
        <v>Scope 1Refrigerant &amp; otherMontreal protocol - standardCFC-12/R12 = dichlorodifluoromethanekg</v>
      </c>
    </row>
    <row r="47" spans="1:9" s="21" customFormat="1" ht="19" customHeight="1">
      <c r="A47" s="17" t="s">
        <v>9</v>
      </c>
      <c r="B47" s="17" t="s">
        <v>65</v>
      </c>
      <c r="C47" s="17" t="s">
        <v>108</v>
      </c>
      <c r="D47" s="18" t="s">
        <v>111</v>
      </c>
      <c r="E47" s="18" t="s">
        <v>68</v>
      </c>
      <c r="F47" s="34">
        <f>VLOOKUP(I47,[1]DB!J:L,3,FALSE)</f>
        <v>14400</v>
      </c>
      <c r="G47" s="35"/>
      <c r="H47" s="20">
        <f t="shared" si="0"/>
        <v>0</v>
      </c>
      <c r="I47" s="36" t="str">
        <f t="shared" si="1"/>
        <v>Scope 1Refrigerant &amp; otherMontreal protocol - standardCFC-13kg</v>
      </c>
    </row>
    <row r="48" spans="1:9" s="21" customFormat="1" ht="19" customHeight="1">
      <c r="A48" s="17" t="s">
        <v>9</v>
      </c>
      <c r="B48" s="17" t="s">
        <v>65</v>
      </c>
      <c r="C48" s="17" t="s">
        <v>108</v>
      </c>
      <c r="D48" s="18" t="s">
        <v>112</v>
      </c>
      <c r="E48" s="18" t="s">
        <v>68</v>
      </c>
      <c r="F48" s="34">
        <f>VLOOKUP(I48,[1]DB!J:L,3,FALSE)</f>
        <v>6130</v>
      </c>
      <c r="G48" s="35"/>
      <c r="H48" s="20">
        <f t="shared" si="0"/>
        <v>0</v>
      </c>
      <c r="I48" s="36" t="str">
        <f t="shared" si="1"/>
        <v>Scope 1Refrigerant &amp; otherMontreal protocol - standardCFC-113kg</v>
      </c>
    </row>
    <row r="49" spans="1:9" s="21" customFormat="1" ht="19" customHeight="1">
      <c r="A49" s="17" t="s">
        <v>9</v>
      </c>
      <c r="B49" s="17" t="s">
        <v>65</v>
      </c>
      <c r="C49" s="17" t="s">
        <v>108</v>
      </c>
      <c r="D49" s="18" t="s">
        <v>113</v>
      </c>
      <c r="E49" s="18" t="s">
        <v>68</v>
      </c>
      <c r="F49" s="34">
        <f>VLOOKUP(I49,[1]DB!J:L,3,FALSE)</f>
        <v>10000</v>
      </c>
      <c r="G49" s="35"/>
      <c r="H49" s="20">
        <f t="shared" si="0"/>
        <v>0</v>
      </c>
      <c r="I49" s="36" t="str">
        <f t="shared" si="1"/>
        <v>Scope 1Refrigerant &amp; otherMontreal protocol - standardCFC-114kg</v>
      </c>
    </row>
    <row r="50" spans="1:9" s="21" customFormat="1" ht="19" customHeight="1">
      <c r="A50" s="17" t="s">
        <v>9</v>
      </c>
      <c r="B50" s="17" t="s">
        <v>65</v>
      </c>
      <c r="C50" s="17" t="s">
        <v>108</v>
      </c>
      <c r="D50" s="18" t="s">
        <v>114</v>
      </c>
      <c r="E50" s="18" t="s">
        <v>68</v>
      </c>
      <c r="F50" s="34">
        <f>VLOOKUP(I50,[1]DB!J:L,3,FALSE)</f>
        <v>7370</v>
      </c>
      <c r="G50" s="35"/>
      <c r="H50" s="20">
        <f t="shared" si="0"/>
        <v>0</v>
      </c>
      <c r="I50" s="36" t="str">
        <f t="shared" si="1"/>
        <v>Scope 1Refrigerant &amp; otherMontreal protocol - standardCFC-115kg</v>
      </c>
    </row>
    <row r="51" spans="1:9" s="21" customFormat="1" ht="19" customHeight="1">
      <c r="A51" s="17" t="s">
        <v>9</v>
      </c>
      <c r="B51" s="17" t="s">
        <v>65</v>
      </c>
      <c r="C51" s="17" t="s">
        <v>108</v>
      </c>
      <c r="D51" s="18" t="s">
        <v>115</v>
      </c>
      <c r="E51" s="18" t="s">
        <v>68</v>
      </c>
      <c r="F51" s="34">
        <f>VLOOKUP(I51,[1]DB!J:L,3,FALSE)</f>
        <v>1890</v>
      </c>
      <c r="G51" s="35"/>
      <c r="H51" s="20">
        <f t="shared" si="0"/>
        <v>0</v>
      </c>
      <c r="I51" s="36" t="str">
        <f t="shared" si="1"/>
        <v>Scope 1Refrigerant &amp; otherMontreal protocol - standardHalon-1211kg</v>
      </c>
    </row>
    <row r="52" spans="1:9" s="21" customFormat="1" ht="19" customHeight="1">
      <c r="A52" s="17" t="s">
        <v>9</v>
      </c>
      <c r="B52" s="17" t="s">
        <v>65</v>
      </c>
      <c r="C52" s="17" t="s">
        <v>108</v>
      </c>
      <c r="D52" s="18" t="s">
        <v>116</v>
      </c>
      <c r="E52" s="18" t="s">
        <v>68</v>
      </c>
      <c r="F52" s="34">
        <f>VLOOKUP(I52,[1]DB!J:L,3,FALSE)</f>
        <v>7140</v>
      </c>
      <c r="G52" s="35"/>
      <c r="H52" s="20">
        <f t="shared" si="0"/>
        <v>0</v>
      </c>
      <c r="I52" s="36" t="str">
        <f t="shared" si="1"/>
        <v>Scope 1Refrigerant &amp; otherMontreal protocol - standardHalon-1301kg</v>
      </c>
    </row>
    <row r="53" spans="1:9" s="21" customFormat="1" ht="19" customHeight="1">
      <c r="A53" s="17" t="s">
        <v>9</v>
      </c>
      <c r="B53" s="17" t="s">
        <v>65</v>
      </c>
      <c r="C53" s="17" t="s">
        <v>108</v>
      </c>
      <c r="D53" s="18" t="s">
        <v>117</v>
      </c>
      <c r="E53" s="18" t="s">
        <v>68</v>
      </c>
      <c r="F53" s="34">
        <f>VLOOKUP(I53,[1]DB!J:L,3,FALSE)</f>
        <v>1640</v>
      </c>
      <c r="G53" s="35"/>
      <c r="H53" s="20">
        <f t="shared" si="0"/>
        <v>0</v>
      </c>
      <c r="I53" s="36" t="str">
        <f t="shared" si="1"/>
        <v>Scope 1Refrigerant &amp; otherMontreal protocol - standardHalon-2402kg</v>
      </c>
    </row>
    <row r="54" spans="1:9" s="21" customFormat="1" ht="19" customHeight="1">
      <c r="A54" s="17" t="s">
        <v>9</v>
      </c>
      <c r="B54" s="17" t="s">
        <v>65</v>
      </c>
      <c r="C54" s="17" t="s">
        <v>108</v>
      </c>
      <c r="D54" s="18" t="s">
        <v>118</v>
      </c>
      <c r="E54" s="18" t="s">
        <v>68</v>
      </c>
      <c r="F54" s="34">
        <f>VLOOKUP(I54,[1]DB!J:L,3,FALSE)</f>
        <v>1400</v>
      </c>
      <c r="G54" s="35"/>
      <c r="H54" s="20">
        <f t="shared" si="0"/>
        <v>0</v>
      </c>
      <c r="I54" s="36" t="str">
        <f t="shared" si="1"/>
        <v>Scope 1Refrigerant &amp; otherMontreal protocol - standardCarbon tetrachloridekg</v>
      </c>
    </row>
    <row r="55" spans="1:9" s="21" customFormat="1" ht="19" customHeight="1">
      <c r="A55" s="17" t="s">
        <v>9</v>
      </c>
      <c r="B55" s="17" t="s">
        <v>65</v>
      </c>
      <c r="C55" s="17" t="s">
        <v>108</v>
      </c>
      <c r="D55" s="18" t="s">
        <v>119</v>
      </c>
      <c r="E55" s="18" t="s">
        <v>68</v>
      </c>
      <c r="F55" s="34">
        <f>VLOOKUP(I55,[1]DB!J:L,3,FALSE)</f>
        <v>5</v>
      </c>
      <c r="G55" s="35"/>
      <c r="H55" s="20">
        <f t="shared" si="0"/>
        <v>0</v>
      </c>
      <c r="I55" s="36" t="str">
        <f t="shared" si="1"/>
        <v>Scope 1Refrigerant &amp; otherMontreal protocol - standardMethyl bromidekg</v>
      </c>
    </row>
    <row r="56" spans="1:9" s="21" customFormat="1" ht="19" customHeight="1">
      <c r="A56" s="17" t="s">
        <v>9</v>
      </c>
      <c r="B56" s="17" t="s">
        <v>65</v>
      </c>
      <c r="C56" s="17" t="s">
        <v>108</v>
      </c>
      <c r="D56" s="18" t="s">
        <v>120</v>
      </c>
      <c r="E56" s="18" t="s">
        <v>68</v>
      </c>
      <c r="F56" s="34">
        <f>VLOOKUP(I56,[1]DB!J:L,3,FALSE)</f>
        <v>146</v>
      </c>
      <c r="G56" s="35"/>
      <c r="H56" s="20">
        <f t="shared" si="0"/>
        <v>0</v>
      </c>
      <c r="I56" s="36" t="str">
        <f t="shared" si="1"/>
        <v>Scope 1Refrigerant &amp; otherMontreal protocol - standardMethyl chloroformkg</v>
      </c>
    </row>
    <row r="57" spans="1:9" s="21" customFormat="1" ht="19" customHeight="1">
      <c r="A57" s="17" t="s">
        <v>9</v>
      </c>
      <c r="B57" s="17" t="s">
        <v>65</v>
      </c>
      <c r="C57" s="17" t="s">
        <v>108</v>
      </c>
      <c r="D57" s="18" t="s">
        <v>121</v>
      </c>
      <c r="E57" s="18" t="s">
        <v>68</v>
      </c>
      <c r="F57" s="34">
        <f>VLOOKUP(I57,[1]DB!J:L,3,FALSE)</f>
        <v>1810</v>
      </c>
      <c r="G57" s="35"/>
      <c r="H57" s="20">
        <f t="shared" si="0"/>
        <v>0</v>
      </c>
      <c r="I57" s="36" t="str">
        <f t="shared" si="1"/>
        <v>Scope 1Refrigerant &amp; otherMontreal protocol - standardHCFC-22/R22 = chlorodifluoromethanekg</v>
      </c>
    </row>
    <row r="58" spans="1:9" s="21" customFormat="1" ht="19" customHeight="1">
      <c r="A58" s="17" t="s">
        <v>9</v>
      </c>
      <c r="B58" s="17" t="s">
        <v>65</v>
      </c>
      <c r="C58" s="17" t="s">
        <v>108</v>
      </c>
      <c r="D58" s="18" t="s">
        <v>122</v>
      </c>
      <c r="E58" s="18" t="s">
        <v>68</v>
      </c>
      <c r="F58" s="34">
        <f>VLOOKUP(I58,[1]DB!J:L,3,FALSE)</f>
        <v>77</v>
      </c>
      <c r="G58" s="35"/>
      <c r="H58" s="20">
        <f t="shared" si="0"/>
        <v>0</v>
      </c>
      <c r="I58" s="36" t="str">
        <f t="shared" si="1"/>
        <v>Scope 1Refrigerant &amp; otherMontreal protocol - standardHCFC-123kg</v>
      </c>
    </row>
    <row r="59" spans="1:9" s="21" customFormat="1" ht="19" customHeight="1">
      <c r="A59" s="17" t="s">
        <v>9</v>
      </c>
      <c r="B59" s="17" t="s">
        <v>65</v>
      </c>
      <c r="C59" s="17" t="s">
        <v>108</v>
      </c>
      <c r="D59" s="18" t="s">
        <v>123</v>
      </c>
      <c r="E59" s="18" t="s">
        <v>68</v>
      </c>
      <c r="F59" s="34">
        <f>VLOOKUP(I59,[1]DB!J:L,3,FALSE)</f>
        <v>609</v>
      </c>
      <c r="G59" s="35"/>
      <c r="H59" s="20">
        <f t="shared" si="0"/>
        <v>0</v>
      </c>
      <c r="I59" s="36" t="str">
        <f t="shared" si="1"/>
        <v>Scope 1Refrigerant &amp; otherMontreal protocol - standardHCFC-124kg</v>
      </c>
    </row>
    <row r="60" spans="1:9" s="21" customFormat="1" ht="19" customHeight="1">
      <c r="A60" s="17" t="s">
        <v>9</v>
      </c>
      <c r="B60" s="17" t="s">
        <v>65</v>
      </c>
      <c r="C60" s="17" t="s">
        <v>108</v>
      </c>
      <c r="D60" s="18" t="s">
        <v>124</v>
      </c>
      <c r="E60" s="18" t="s">
        <v>68</v>
      </c>
      <c r="F60" s="34">
        <f>VLOOKUP(I60,[1]DB!J:L,3,FALSE)</f>
        <v>725</v>
      </c>
      <c r="G60" s="35"/>
      <c r="H60" s="20">
        <f t="shared" si="0"/>
        <v>0</v>
      </c>
      <c r="I60" s="36" t="str">
        <f t="shared" si="1"/>
        <v>Scope 1Refrigerant &amp; otherMontreal protocol - standardHCFC-141bkg</v>
      </c>
    </row>
    <row r="61" spans="1:9" s="21" customFormat="1" ht="19" customHeight="1">
      <c r="A61" s="17" t="s">
        <v>9</v>
      </c>
      <c r="B61" s="17" t="s">
        <v>65</v>
      </c>
      <c r="C61" s="17" t="s">
        <v>108</v>
      </c>
      <c r="D61" s="18" t="s">
        <v>125</v>
      </c>
      <c r="E61" s="18" t="s">
        <v>68</v>
      </c>
      <c r="F61" s="34">
        <f>VLOOKUP(I61,[1]DB!J:L,3,FALSE)</f>
        <v>2310</v>
      </c>
      <c r="G61" s="35"/>
      <c r="H61" s="20">
        <f t="shared" si="0"/>
        <v>0</v>
      </c>
      <c r="I61" s="36" t="str">
        <f t="shared" si="1"/>
        <v>Scope 1Refrigerant &amp; otherMontreal protocol - standardHCFC-142bkg</v>
      </c>
    </row>
    <row r="62" spans="1:9" s="21" customFormat="1" ht="19" customHeight="1">
      <c r="A62" s="17" t="s">
        <v>9</v>
      </c>
      <c r="B62" s="17" t="s">
        <v>65</v>
      </c>
      <c r="C62" s="17" t="s">
        <v>108</v>
      </c>
      <c r="D62" s="18" t="s">
        <v>126</v>
      </c>
      <c r="E62" s="18" t="s">
        <v>68</v>
      </c>
      <c r="F62" s="34">
        <f>VLOOKUP(I62,[1]DB!J:L,3,FALSE)</f>
        <v>122</v>
      </c>
      <c r="G62" s="35"/>
      <c r="H62" s="20">
        <f t="shared" si="0"/>
        <v>0</v>
      </c>
      <c r="I62" s="36" t="str">
        <f t="shared" si="1"/>
        <v>Scope 1Refrigerant &amp; otherMontreal protocol - standardHCFC-225cakg</v>
      </c>
    </row>
    <row r="63" spans="1:9" s="21" customFormat="1" ht="19" customHeight="1">
      <c r="A63" s="17" t="s">
        <v>9</v>
      </c>
      <c r="B63" s="17" t="s">
        <v>65</v>
      </c>
      <c r="C63" s="17" t="s">
        <v>108</v>
      </c>
      <c r="D63" s="18" t="s">
        <v>127</v>
      </c>
      <c r="E63" s="18" t="s">
        <v>68</v>
      </c>
      <c r="F63" s="34">
        <f>VLOOKUP(I63,[1]DB!J:L,3,FALSE)</f>
        <v>595</v>
      </c>
      <c r="G63" s="35"/>
      <c r="H63" s="20">
        <f t="shared" si="0"/>
        <v>0</v>
      </c>
      <c r="I63" s="36" t="str">
        <f t="shared" si="1"/>
        <v>Scope 1Refrigerant &amp; otherMontreal protocol - standardHCFC-225cbkg</v>
      </c>
    </row>
    <row r="64" spans="1:9" s="21" customFormat="1" ht="19" customHeight="1">
      <c r="A64" s="17" t="s">
        <v>9</v>
      </c>
      <c r="B64" s="17" t="s">
        <v>65</v>
      </c>
      <c r="C64" s="17" t="s">
        <v>108</v>
      </c>
      <c r="D64" s="18" t="s">
        <v>128</v>
      </c>
      <c r="E64" s="18" t="s">
        <v>68</v>
      </c>
      <c r="F64" s="34">
        <f>VLOOKUP(I64,[1]DB!J:L,3,FALSE)</f>
        <v>151</v>
      </c>
      <c r="G64" s="35"/>
      <c r="H64" s="20">
        <f t="shared" si="0"/>
        <v>0</v>
      </c>
      <c r="I64" s="36" t="str">
        <f t="shared" si="1"/>
        <v>Scope 1Refrigerant &amp; otherMontreal protocol - standardHCFC-21kg</v>
      </c>
    </row>
    <row r="65" spans="1:9" s="21" customFormat="1" ht="19" customHeight="1">
      <c r="A65" s="17" t="s">
        <v>9</v>
      </c>
      <c r="B65" s="17" t="s">
        <v>65</v>
      </c>
      <c r="C65" s="17" t="s">
        <v>129</v>
      </c>
      <c r="D65" s="18" t="s">
        <v>130</v>
      </c>
      <c r="E65" s="18" t="s">
        <v>68</v>
      </c>
      <c r="F65" s="34">
        <f>VLOOKUP(I65,[1]DB!J:L,3,FALSE)</f>
        <v>17200</v>
      </c>
      <c r="G65" s="35"/>
      <c r="H65" s="20">
        <f t="shared" si="0"/>
        <v>0</v>
      </c>
      <c r="I65" s="36" t="str">
        <f t="shared" si="1"/>
        <v>Scope 1Refrigerant &amp; otherOther perfluorinated gasesNitrogen trifluoridekg</v>
      </c>
    </row>
    <row r="66" spans="1:9" s="21" customFormat="1" ht="19" customHeight="1">
      <c r="A66" s="17" t="s">
        <v>9</v>
      </c>
      <c r="B66" s="17" t="s">
        <v>65</v>
      </c>
      <c r="C66" s="17" t="s">
        <v>129</v>
      </c>
      <c r="D66" s="18" t="s">
        <v>131</v>
      </c>
      <c r="E66" s="18" t="s">
        <v>68</v>
      </c>
      <c r="F66" s="34">
        <f>VLOOKUP(I66,[1]DB!J:L,3,FALSE)</f>
        <v>7500</v>
      </c>
      <c r="G66" s="35"/>
      <c r="H66" s="20">
        <f t="shared" si="0"/>
        <v>0</v>
      </c>
      <c r="I66" s="36" t="str">
        <f t="shared" si="1"/>
        <v>Scope 1Refrigerant &amp; otherOther perfluorinated gasesPFC-9-1-18kg</v>
      </c>
    </row>
    <row r="67" spans="1:9" s="21" customFormat="1" ht="19" customHeight="1">
      <c r="A67" s="17" t="s">
        <v>9</v>
      </c>
      <c r="B67" s="17" t="s">
        <v>65</v>
      </c>
      <c r="C67" s="17" t="s">
        <v>129</v>
      </c>
      <c r="D67" s="18" t="s">
        <v>132</v>
      </c>
      <c r="E67" s="18" t="s">
        <v>68</v>
      </c>
      <c r="F67" s="34">
        <f>VLOOKUP(I67,[1]DB!J:L,3,FALSE)</f>
        <v>17700</v>
      </c>
      <c r="G67" s="35"/>
      <c r="H67" s="20">
        <f t="shared" si="0"/>
        <v>0</v>
      </c>
      <c r="I67" s="36" t="str">
        <f t="shared" si="1"/>
        <v>Scope 1Refrigerant &amp; otherOther perfluorinated gasesTrifluoromethyl sulphur pentafluoridekg</v>
      </c>
    </row>
    <row r="68" spans="1:9" s="21" customFormat="1" ht="19" customHeight="1">
      <c r="A68" s="17" t="s">
        <v>9</v>
      </c>
      <c r="B68" s="17" t="s">
        <v>65</v>
      </c>
      <c r="C68" s="17" t="s">
        <v>129</v>
      </c>
      <c r="D68" s="18" t="s">
        <v>133</v>
      </c>
      <c r="E68" s="18" t="s">
        <v>68</v>
      </c>
      <c r="F68" s="34">
        <f>VLOOKUP(I68,[1]DB!J:L,3,FALSE)</f>
        <v>17340</v>
      </c>
      <c r="G68" s="35"/>
      <c r="H68" s="20">
        <f t="shared" si="0"/>
        <v>0</v>
      </c>
      <c r="I68" s="36" t="str">
        <f t="shared" si="1"/>
        <v>Scope 1Refrigerant &amp; otherOther perfluorinated gasesPerfluorocyclopropanekg</v>
      </c>
    </row>
    <row r="69" spans="1:9" s="21" customFormat="1" ht="19" customHeight="1">
      <c r="A69" s="17" t="s">
        <v>9</v>
      </c>
      <c r="B69" s="17" t="s">
        <v>65</v>
      </c>
      <c r="C69" s="17" t="s">
        <v>134</v>
      </c>
      <c r="D69" s="18" t="s">
        <v>135</v>
      </c>
      <c r="E69" s="18" t="s">
        <v>68</v>
      </c>
      <c r="F69" s="34">
        <f>VLOOKUP(I69,[1]DB!J:L,3,FALSE)</f>
        <v>14900</v>
      </c>
      <c r="G69" s="35"/>
      <c r="H69" s="20">
        <f t="shared" si="0"/>
        <v>0</v>
      </c>
      <c r="I69" s="36" t="str">
        <f t="shared" si="1"/>
        <v>Scope 1Refrigerant &amp; otherFluorinated ethersHFE-125kg</v>
      </c>
    </row>
    <row r="70" spans="1:9" s="21" customFormat="1" ht="19" customHeight="1">
      <c r="A70" s="17" t="s">
        <v>9</v>
      </c>
      <c r="B70" s="17" t="s">
        <v>65</v>
      </c>
      <c r="C70" s="17" t="s">
        <v>134</v>
      </c>
      <c r="D70" s="18" t="s">
        <v>136</v>
      </c>
      <c r="E70" s="18" t="s">
        <v>68</v>
      </c>
      <c r="F70" s="34">
        <f>VLOOKUP(I70,[1]DB!J:L,3,FALSE)</f>
        <v>6320</v>
      </c>
      <c r="G70" s="35"/>
      <c r="H70" s="20">
        <f t="shared" ref="H70:H92" si="2">F70*G70</f>
        <v>0</v>
      </c>
      <c r="I70" s="36" t="str">
        <f t="shared" si="1"/>
        <v>Scope 1Refrigerant &amp; otherFluorinated ethersHFE-134kg</v>
      </c>
    </row>
    <row r="71" spans="1:9" s="21" customFormat="1" ht="19" customHeight="1">
      <c r="A71" s="17" t="s">
        <v>9</v>
      </c>
      <c r="B71" s="17" t="s">
        <v>65</v>
      </c>
      <c r="C71" s="17" t="s">
        <v>134</v>
      </c>
      <c r="D71" s="18" t="s">
        <v>137</v>
      </c>
      <c r="E71" s="18" t="s">
        <v>68</v>
      </c>
      <c r="F71" s="34">
        <f>VLOOKUP(I71,[1]DB!J:L,3,FALSE)</f>
        <v>756</v>
      </c>
      <c r="G71" s="35"/>
      <c r="H71" s="20">
        <f t="shared" si="2"/>
        <v>0</v>
      </c>
      <c r="I71" s="36" t="str">
        <f t="shared" ref="I71:I92" si="3">CONCATENATE(A71,B71,C71,D71,E71)</f>
        <v>Scope 1Refrigerant &amp; otherFluorinated ethersHFE-143akg</v>
      </c>
    </row>
    <row r="72" spans="1:9" s="21" customFormat="1" ht="19" customHeight="1">
      <c r="A72" s="17" t="s">
        <v>9</v>
      </c>
      <c r="B72" s="17" t="s">
        <v>65</v>
      </c>
      <c r="C72" s="17" t="s">
        <v>134</v>
      </c>
      <c r="D72" s="18" t="s">
        <v>138</v>
      </c>
      <c r="E72" s="18" t="s">
        <v>68</v>
      </c>
      <c r="F72" s="34">
        <f>VLOOKUP(I72,[1]DB!J:L,3,FALSE)</f>
        <v>350</v>
      </c>
      <c r="G72" s="35"/>
      <c r="H72" s="20">
        <f t="shared" si="2"/>
        <v>0</v>
      </c>
      <c r="I72" s="36" t="str">
        <f t="shared" si="3"/>
        <v>Scope 1Refrigerant &amp; otherFluorinated ethersHCFE-235da2kg</v>
      </c>
    </row>
    <row r="73" spans="1:9" s="21" customFormat="1" ht="19" customHeight="1">
      <c r="A73" s="17" t="s">
        <v>9</v>
      </c>
      <c r="B73" s="17" t="s">
        <v>65</v>
      </c>
      <c r="C73" s="17" t="s">
        <v>134</v>
      </c>
      <c r="D73" s="18" t="s">
        <v>139</v>
      </c>
      <c r="E73" s="18" t="s">
        <v>68</v>
      </c>
      <c r="F73" s="34">
        <f>VLOOKUP(I73,[1]DB!J:L,3,FALSE)</f>
        <v>708</v>
      </c>
      <c r="G73" s="35"/>
      <c r="H73" s="20">
        <f t="shared" si="2"/>
        <v>0</v>
      </c>
      <c r="I73" s="36" t="str">
        <f t="shared" si="3"/>
        <v>Scope 1Refrigerant &amp; otherFluorinated ethersHFE-245cb2kg</v>
      </c>
    </row>
    <row r="74" spans="1:9" s="21" customFormat="1" ht="19" customHeight="1">
      <c r="A74" s="17" t="s">
        <v>9</v>
      </c>
      <c r="B74" s="17" t="s">
        <v>65</v>
      </c>
      <c r="C74" s="17" t="s">
        <v>134</v>
      </c>
      <c r="D74" s="18" t="s">
        <v>140</v>
      </c>
      <c r="E74" s="18" t="s">
        <v>68</v>
      </c>
      <c r="F74" s="34">
        <f>VLOOKUP(I74,[1]DB!J:L,3,FALSE)</f>
        <v>659</v>
      </c>
      <c r="G74" s="35"/>
      <c r="H74" s="20">
        <f t="shared" si="2"/>
        <v>0</v>
      </c>
      <c r="I74" s="36" t="str">
        <f t="shared" si="3"/>
        <v>Scope 1Refrigerant &amp; otherFluorinated ethersHFE-245fa2kg</v>
      </c>
    </row>
    <row r="75" spans="1:9" s="21" customFormat="1" ht="19" customHeight="1">
      <c r="A75" s="17" t="s">
        <v>9</v>
      </c>
      <c r="B75" s="17" t="s">
        <v>65</v>
      </c>
      <c r="C75" s="17" t="s">
        <v>134</v>
      </c>
      <c r="D75" s="18" t="s">
        <v>141</v>
      </c>
      <c r="E75" s="18" t="s">
        <v>68</v>
      </c>
      <c r="F75" s="34">
        <f>VLOOKUP(I75,[1]DB!J:L,3,FALSE)</f>
        <v>359</v>
      </c>
      <c r="G75" s="35"/>
      <c r="H75" s="20">
        <f t="shared" si="2"/>
        <v>0</v>
      </c>
      <c r="I75" s="36" t="str">
        <f t="shared" si="3"/>
        <v>Scope 1Refrigerant &amp; otherFluorinated ethersHFE-254cb2kg</v>
      </c>
    </row>
    <row r="76" spans="1:9" s="21" customFormat="1" ht="19" customHeight="1">
      <c r="A76" s="17" t="s">
        <v>9</v>
      </c>
      <c r="B76" s="17" t="s">
        <v>65</v>
      </c>
      <c r="C76" s="17" t="s">
        <v>134</v>
      </c>
      <c r="D76" s="18" t="s">
        <v>142</v>
      </c>
      <c r="E76" s="18" t="s">
        <v>68</v>
      </c>
      <c r="F76" s="34">
        <f>VLOOKUP(I76,[1]DB!J:L,3,FALSE)</f>
        <v>575</v>
      </c>
      <c r="G76" s="35"/>
      <c r="H76" s="20">
        <f t="shared" si="2"/>
        <v>0</v>
      </c>
      <c r="I76" s="36" t="str">
        <f t="shared" si="3"/>
        <v>Scope 1Refrigerant &amp; otherFluorinated ethersHFE-347mcc3kg</v>
      </c>
    </row>
    <row r="77" spans="1:9" s="21" customFormat="1" ht="19" customHeight="1">
      <c r="A77" s="17" t="s">
        <v>9</v>
      </c>
      <c r="B77" s="17" t="s">
        <v>65</v>
      </c>
      <c r="C77" s="17" t="s">
        <v>134</v>
      </c>
      <c r="D77" s="18" t="s">
        <v>143</v>
      </c>
      <c r="E77" s="18" t="s">
        <v>68</v>
      </c>
      <c r="F77" s="34">
        <f>VLOOKUP(I77,[1]DB!J:L,3,FALSE)</f>
        <v>580</v>
      </c>
      <c r="G77" s="35"/>
      <c r="H77" s="20">
        <f t="shared" si="2"/>
        <v>0</v>
      </c>
      <c r="I77" s="36" t="str">
        <f t="shared" si="3"/>
        <v>Scope 1Refrigerant &amp; otherFluorinated ethersHFE-347pcf2kg</v>
      </c>
    </row>
    <row r="78" spans="1:9" s="21" customFormat="1" ht="19" customHeight="1">
      <c r="A78" s="17" t="s">
        <v>9</v>
      </c>
      <c r="B78" s="17" t="s">
        <v>65</v>
      </c>
      <c r="C78" s="17" t="s">
        <v>134</v>
      </c>
      <c r="D78" s="18" t="s">
        <v>144</v>
      </c>
      <c r="E78" s="18" t="s">
        <v>68</v>
      </c>
      <c r="F78" s="34">
        <f>VLOOKUP(I78,[1]DB!J:L,3,FALSE)</f>
        <v>110</v>
      </c>
      <c r="G78" s="35"/>
      <c r="H78" s="20">
        <f t="shared" si="2"/>
        <v>0</v>
      </c>
      <c r="I78" s="36" t="str">
        <f t="shared" si="3"/>
        <v>Scope 1Refrigerant &amp; otherFluorinated ethersHFE-356pcc3kg</v>
      </c>
    </row>
    <row r="79" spans="1:9" s="21" customFormat="1" ht="19" customHeight="1">
      <c r="A79" s="17" t="s">
        <v>9</v>
      </c>
      <c r="B79" s="17" t="s">
        <v>65</v>
      </c>
      <c r="C79" s="17" t="s">
        <v>134</v>
      </c>
      <c r="D79" s="18" t="s">
        <v>145</v>
      </c>
      <c r="E79" s="18" t="s">
        <v>68</v>
      </c>
      <c r="F79" s="34">
        <f>VLOOKUP(I79,[1]DB!J:L,3,FALSE)</f>
        <v>297</v>
      </c>
      <c r="G79" s="35"/>
      <c r="H79" s="20">
        <f t="shared" si="2"/>
        <v>0</v>
      </c>
      <c r="I79" s="36" t="str">
        <f t="shared" si="3"/>
        <v>Scope 1Refrigerant &amp; otherFluorinated ethersHFE-449sl (HFE-7100)kg</v>
      </c>
    </row>
    <row r="80" spans="1:9" s="21" customFormat="1" ht="19" customHeight="1">
      <c r="A80" s="17" t="s">
        <v>9</v>
      </c>
      <c r="B80" s="17" t="s">
        <v>65</v>
      </c>
      <c r="C80" s="17" t="s">
        <v>134</v>
      </c>
      <c r="D80" s="18" t="s">
        <v>146</v>
      </c>
      <c r="E80" s="18" t="s">
        <v>68</v>
      </c>
      <c r="F80" s="34">
        <f>VLOOKUP(I80,[1]DB!J:L,3,FALSE)</f>
        <v>59</v>
      </c>
      <c r="G80" s="35"/>
      <c r="H80" s="20">
        <f t="shared" si="2"/>
        <v>0</v>
      </c>
      <c r="I80" s="36" t="str">
        <f t="shared" si="3"/>
        <v>Scope 1Refrigerant &amp; otherFluorinated ethersHFE-569sf2 (HFE-7200)kg</v>
      </c>
    </row>
    <row r="81" spans="1:9" s="21" customFormat="1" ht="19" customHeight="1">
      <c r="A81" s="17" t="s">
        <v>9</v>
      </c>
      <c r="B81" s="17" t="s">
        <v>65</v>
      </c>
      <c r="C81" s="17" t="s">
        <v>134</v>
      </c>
      <c r="D81" s="18" t="s">
        <v>147</v>
      </c>
      <c r="E81" s="18" t="s">
        <v>68</v>
      </c>
      <c r="F81" s="34">
        <f>VLOOKUP(I81,[1]DB!J:L,3,FALSE)</f>
        <v>1870</v>
      </c>
      <c r="G81" s="35"/>
      <c r="H81" s="20">
        <f t="shared" si="2"/>
        <v>0</v>
      </c>
      <c r="I81" s="36" t="str">
        <f t="shared" si="3"/>
        <v>Scope 1Refrigerant &amp; otherFluorinated ethersHFE-43-10pccc124 (H-Galden1040x)kg</v>
      </c>
    </row>
    <row r="82" spans="1:9" s="21" customFormat="1" ht="19" customHeight="1">
      <c r="A82" s="17" t="s">
        <v>9</v>
      </c>
      <c r="B82" s="17" t="s">
        <v>65</v>
      </c>
      <c r="C82" s="17" t="s">
        <v>134</v>
      </c>
      <c r="D82" s="18" t="s">
        <v>148</v>
      </c>
      <c r="E82" s="18" t="s">
        <v>68</v>
      </c>
      <c r="F82" s="34">
        <f>VLOOKUP(I82,[1]DB!J:L,3,FALSE)</f>
        <v>2800</v>
      </c>
      <c r="G82" s="35"/>
      <c r="H82" s="20">
        <f t="shared" si="2"/>
        <v>0</v>
      </c>
      <c r="I82" s="36" t="str">
        <f t="shared" si="3"/>
        <v>Scope 1Refrigerant &amp; otherFluorinated ethersHFE-236ca12 (HG-10)kg</v>
      </c>
    </row>
    <row r="83" spans="1:9" s="21" customFormat="1" ht="19" customHeight="1">
      <c r="A83" s="17" t="s">
        <v>9</v>
      </c>
      <c r="B83" s="17" t="s">
        <v>65</v>
      </c>
      <c r="C83" s="17" t="s">
        <v>134</v>
      </c>
      <c r="D83" s="18" t="s">
        <v>149</v>
      </c>
      <c r="E83" s="18" t="s">
        <v>68</v>
      </c>
      <c r="F83" s="34">
        <f>VLOOKUP(I83,[1]DB!J:L,3,FALSE)</f>
        <v>1500</v>
      </c>
      <c r="G83" s="35"/>
      <c r="H83" s="20">
        <f t="shared" si="2"/>
        <v>0</v>
      </c>
      <c r="I83" s="36" t="str">
        <f t="shared" si="3"/>
        <v>Scope 1Refrigerant &amp; otherFluorinated ethersHFE-338pcc13 (HG-01)kg</v>
      </c>
    </row>
    <row r="84" spans="1:9" s="21" customFormat="1" ht="19" customHeight="1">
      <c r="A84" s="17" t="s">
        <v>9</v>
      </c>
      <c r="B84" s="17" t="s">
        <v>65</v>
      </c>
      <c r="C84" s="17" t="s">
        <v>150</v>
      </c>
      <c r="D84" s="18" t="s">
        <v>151</v>
      </c>
      <c r="E84" s="18" t="s">
        <v>68</v>
      </c>
      <c r="F84" s="34">
        <f>VLOOKUP(I84,[1]DB!J:L,3,FALSE)</f>
        <v>10300</v>
      </c>
      <c r="G84" s="35"/>
      <c r="H84" s="20">
        <f t="shared" si="2"/>
        <v>0</v>
      </c>
      <c r="I84" s="36" t="str">
        <f t="shared" si="3"/>
        <v>Scope 1Refrigerant &amp; otherOther refrigerantsPFPMIEkg</v>
      </c>
    </row>
    <row r="85" spans="1:9" s="21" customFormat="1" ht="19" customHeight="1">
      <c r="A85" s="17" t="s">
        <v>9</v>
      </c>
      <c r="B85" s="17" t="s">
        <v>65</v>
      </c>
      <c r="C85" s="17" t="s">
        <v>150</v>
      </c>
      <c r="D85" s="18" t="s">
        <v>152</v>
      </c>
      <c r="E85" s="18" t="s">
        <v>68</v>
      </c>
      <c r="F85" s="34">
        <f>VLOOKUP(I85,[1]DB!J:L,3,FALSE)</f>
        <v>1</v>
      </c>
      <c r="G85" s="35"/>
      <c r="H85" s="20">
        <f t="shared" si="2"/>
        <v>0</v>
      </c>
      <c r="I85" s="36" t="str">
        <f t="shared" si="3"/>
        <v>Scope 1Refrigerant &amp; otherOther refrigerantsDimethyletherkg</v>
      </c>
    </row>
    <row r="86" spans="1:9" s="21" customFormat="1" ht="19" customHeight="1">
      <c r="A86" s="17" t="s">
        <v>9</v>
      </c>
      <c r="B86" s="17" t="s">
        <v>65</v>
      </c>
      <c r="C86" s="17" t="s">
        <v>150</v>
      </c>
      <c r="D86" s="18" t="s">
        <v>153</v>
      </c>
      <c r="E86" s="18" t="s">
        <v>68</v>
      </c>
      <c r="F86" s="34">
        <f>VLOOKUP(I86,[1]DB!J:L,3,FALSE)</f>
        <v>8.6999999999999993</v>
      </c>
      <c r="G86" s="35"/>
      <c r="H86" s="20">
        <f t="shared" si="2"/>
        <v>0</v>
      </c>
      <c r="I86" s="36" t="str">
        <f t="shared" si="3"/>
        <v>Scope 1Refrigerant &amp; otherOther refrigerantsMethylene chloridekg</v>
      </c>
    </row>
    <row r="87" spans="1:9" s="21" customFormat="1" ht="19" customHeight="1">
      <c r="A87" s="17" t="s">
        <v>9</v>
      </c>
      <c r="B87" s="17" t="s">
        <v>65</v>
      </c>
      <c r="C87" s="17" t="s">
        <v>150</v>
      </c>
      <c r="D87" s="18" t="s">
        <v>154</v>
      </c>
      <c r="E87" s="18" t="s">
        <v>68</v>
      </c>
      <c r="F87" s="34">
        <f>VLOOKUP(I87,[1]DB!J:L,3,FALSE)</f>
        <v>13</v>
      </c>
      <c r="G87" s="35"/>
      <c r="H87" s="20">
        <f t="shared" si="2"/>
        <v>0</v>
      </c>
      <c r="I87" s="36" t="str">
        <f t="shared" si="3"/>
        <v>Scope 1Refrigerant &amp; otherOther refrigerantsMethyl chloridekg</v>
      </c>
    </row>
    <row r="88" spans="1:9" s="21" customFormat="1" ht="19" customHeight="1">
      <c r="A88" s="17" t="s">
        <v>9</v>
      </c>
      <c r="B88" s="17" t="s">
        <v>65</v>
      </c>
      <c r="C88" s="17" t="s">
        <v>150</v>
      </c>
      <c r="D88" s="18" t="s">
        <v>155</v>
      </c>
      <c r="E88" s="18" t="s">
        <v>68</v>
      </c>
      <c r="F88" s="34">
        <f>VLOOKUP(I88,[1]DB!J:L,3,FALSE)</f>
        <v>3.3</v>
      </c>
      <c r="G88" s="35"/>
      <c r="H88" s="20">
        <f t="shared" si="2"/>
        <v>0</v>
      </c>
      <c r="I88" s="36" t="str">
        <f t="shared" si="3"/>
        <v>Scope 1Refrigerant &amp; otherOther refrigerantsR290 = propanekg</v>
      </c>
    </row>
    <row r="89" spans="1:9" s="21" customFormat="1" ht="19" customHeight="1">
      <c r="A89" s="17" t="s">
        <v>9</v>
      </c>
      <c r="B89" s="17" t="s">
        <v>65</v>
      </c>
      <c r="C89" s="17" t="s">
        <v>150</v>
      </c>
      <c r="D89" s="18" t="s">
        <v>156</v>
      </c>
      <c r="E89" s="18" t="s">
        <v>68</v>
      </c>
      <c r="F89" s="34">
        <f>VLOOKUP(I89,[1]DB!J:L,3,FALSE)</f>
        <v>3</v>
      </c>
      <c r="G89" s="35"/>
      <c r="H89" s="20">
        <f t="shared" si="2"/>
        <v>0</v>
      </c>
      <c r="I89" s="36" t="str">
        <f t="shared" si="3"/>
        <v>Scope 1Refrigerant &amp; otherOther refrigerantsR600A = isobutanekg</v>
      </c>
    </row>
    <row r="90" spans="1:9" s="21" customFormat="1" ht="19" customHeight="1">
      <c r="A90" s="17" t="s">
        <v>9</v>
      </c>
      <c r="B90" s="17" t="s">
        <v>65</v>
      </c>
      <c r="C90" s="17" t="s">
        <v>157</v>
      </c>
      <c r="D90" s="18" t="s">
        <v>158</v>
      </c>
      <c r="E90" s="18" t="s">
        <v>68</v>
      </c>
      <c r="F90" s="34">
        <f>VLOOKUP(I90,[1]DB!J:L,3,FALSE)</f>
        <v>1943</v>
      </c>
      <c r="G90" s="35"/>
      <c r="H90" s="20">
        <f t="shared" si="2"/>
        <v>0</v>
      </c>
      <c r="I90" s="36" t="str">
        <f t="shared" si="3"/>
        <v>Scope 1Refrigerant &amp; otherMontreal protocol - blendsR406Akg</v>
      </c>
    </row>
    <row r="91" spans="1:9" s="21" customFormat="1" ht="19" customHeight="1">
      <c r="A91" s="17" t="s">
        <v>9</v>
      </c>
      <c r="B91" s="17" t="s">
        <v>65</v>
      </c>
      <c r="C91" s="17" t="s">
        <v>157</v>
      </c>
      <c r="D91" s="18" t="s">
        <v>159</v>
      </c>
      <c r="E91" s="18" t="s">
        <v>68</v>
      </c>
      <c r="F91" s="34">
        <f>VLOOKUP(I91,[1]DB!J:L,3,FALSE)</f>
        <v>1585</v>
      </c>
      <c r="G91" s="35"/>
      <c r="H91" s="20">
        <f t="shared" si="2"/>
        <v>0</v>
      </c>
      <c r="I91" s="36" t="str">
        <f t="shared" si="3"/>
        <v>Scope 1Refrigerant &amp; otherMontreal protocol - blendsR409Akg</v>
      </c>
    </row>
    <row r="92" spans="1:9" s="21" customFormat="1" ht="19" customHeight="1">
      <c r="A92" s="17" t="s">
        <v>9</v>
      </c>
      <c r="B92" s="17" t="s">
        <v>65</v>
      </c>
      <c r="C92" s="17" t="s">
        <v>157</v>
      </c>
      <c r="D92" s="18" t="s">
        <v>160</v>
      </c>
      <c r="E92" s="18" t="s">
        <v>68</v>
      </c>
      <c r="F92" s="34">
        <f>VLOOKUP(I92,[1]DB!J:L,3,FALSE)</f>
        <v>4657</v>
      </c>
      <c r="G92" s="35"/>
      <c r="H92" s="20">
        <f t="shared" si="2"/>
        <v>0</v>
      </c>
      <c r="I92" s="36" t="str">
        <f t="shared" si="3"/>
        <v>Scope 1Refrigerant &amp; otherMontreal protocol - blendsR502kg</v>
      </c>
    </row>
    <row r="93" spans="1:9" s="26" customFormat="1" ht="19" customHeight="1">
      <c r="A93" s="24"/>
      <c r="B93" s="24"/>
      <c r="C93" s="24"/>
      <c r="D93" s="25"/>
      <c r="H93" s="37"/>
      <c r="I93" s="38"/>
    </row>
    <row r="94" spans="1:9" s="26" customFormat="1" ht="19" customHeight="1">
      <c r="A94" s="24"/>
      <c r="B94" s="24"/>
      <c r="C94" s="24"/>
      <c r="D94" s="25"/>
      <c r="H94" s="37"/>
      <c r="I94" s="39"/>
    </row>
  </sheetData>
  <sheetProtection algorithmName="SHA-512" hashValue="iBPU6oikrQStj+DYMnzdGsi0HLnHY+nyBWdV/9gqIZ0qCh6eNzqH4KX1wz+Q6LBghYcYl+xHC5AFHY4pkTb4sw==" saltValue="aX2fBL0orGzJxhs1ohhL6w==" spinCount="100000" sheet="1" formatCells="0" selectLockedCells="1"/>
  <mergeCells count="3">
    <mergeCell ref="D2:H2"/>
    <mergeCell ref="D3:I3"/>
    <mergeCell ref="D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Fuels</vt:lpstr>
      <vt:lpstr>Bioenergy</vt:lpstr>
      <vt:lpstr>Refrigerants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Punamiya</dc:creator>
  <cp:lastModifiedBy>Hemant Punamiya</cp:lastModifiedBy>
  <dcterms:created xsi:type="dcterms:W3CDTF">2026-03-08T04:36:49Z</dcterms:created>
  <dcterms:modified xsi:type="dcterms:W3CDTF">2026-03-08T04:37:17Z</dcterms:modified>
</cp:coreProperties>
</file>