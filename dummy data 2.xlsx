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celentpartners-my.sharepoint.com/personal/hemant_punamiya_accelentpartners_com/Documents/Desktop/ESG vault/"/>
    </mc:Choice>
  </mc:AlternateContent>
  <xr:revisionPtr revIDLastSave="11" documentId="8_{E9D0B777-721A-4ABE-87A6-60C73F0439BC}" xr6:coauthVersionLast="47" xr6:coauthVersionMax="47" xr10:uidLastSave="{28FF1B2A-D26B-4F3C-A629-6A608FA122D7}"/>
  <bookViews>
    <workbookView xWindow="-120" yWindow="-120" windowWidth="29040" windowHeight="15720" firstSheet="1" activeTab="4" xr2:uid="{570F7CE3-9E69-480B-9A11-D535B4F44DDE}"/>
  </bookViews>
  <sheets>
    <sheet name="Scope 1 Consolidated" sheetId="6" r:id="rId1"/>
    <sheet name="Scope 1 Stationary Combustion" sheetId="2" r:id="rId2"/>
    <sheet name="Scope 1 Mobile Combustion" sheetId="3" r:id="rId3"/>
    <sheet name="Scope 1 Fugitive Emissions" sheetId="4" r:id="rId4"/>
    <sheet name="Electricity" sheetId="5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s">#REF!</definedName>
    <definedName name="___DAT6">#REF!</definedName>
    <definedName name="__123Graph_A" hidden="1">[1]Rates!#REF!</definedName>
    <definedName name="__123Graph_ACURRENT" hidden="1">[1]Rates!#REF!</definedName>
    <definedName name="__123Graph_B" hidden="1">'[2]Format 1'!#REF!</definedName>
    <definedName name="__123Graph_D" hidden="1">'[2]Format 1'!#REF!</definedName>
    <definedName name="__123Graph_E" hidden="1">[1]Rates!#REF!</definedName>
    <definedName name="__123Graph_ECURRENT" hidden="1">[1]Rates!#REF!</definedName>
    <definedName name="__123Graph_F" hidden="1">[1]Rates!#REF!</definedName>
    <definedName name="__123Graph_FCURRENT" hidden="1">[1]Rates!#REF!</definedName>
    <definedName name="__123Graph_X" hidden="1">'[2]Format 1'!#REF!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7">#REF!</definedName>
    <definedName name="__DAT8">#REF!</definedName>
    <definedName name="__DAT9">#REF!</definedName>
    <definedName name="_06_07_2021">#REF!</definedName>
    <definedName name="_06_July_2021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4">#REF!</definedName>
    <definedName name="_DAT45">#REF!</definedName>
    <definedName name="_DAT46">#REF!</definedName>
    <definedName name="_DAT47">#REF!</definedName>
    <definedName name="_DAT48">#REF!</definedName>
    <definedName name="_DAT49">#REF!</definedName>
    <definedName name="_DAT5">#REF!</definedName>
    <definedName name="_DAT50">#REF!</definedName>
    <definedName name="_DAT51">#REF!</definedName>
    <definedName name="_DAT52">#REF!</definedName>
    <definedName name="_DAT53">#REF!</definedName>
    <definedName name="_DAT54">#REF!</definedName>
    <definedName name="_DAT55">#REF!</definedName>
    <definedName name="_DAT56">#REF!</definedName>
    <definedName name="_DAT57">#REF!</definedName>
    <definedName name="_DAT58">#REF!</definedName>
    <definedName name="_DAT59">#REF!</definedName>
    <definedName name="_DAT6">#REF!</definedName>
    <definedName name="_DAT60">#REF!</definedName>
    <definedName name="_DAT7">#REF!</definedName>
    <definedName name="_DAT8">#REF!</definedName>
    <definedName name="_DAT9">#REF!</definedName>
    <definedName name="_DBS">#REF!</definedName>
    <definedName name="_Fill" hidden="1">#REF!</definedName>
    <definedName name="_Key1" hidden="1">#REF!</definedName>
    <definedName name="_Order1" hidden="1">255</definedName>
    <definedName name="_Prod" hidden="1">[1]Rates!#REF!</definedName>
    <definedName name="_Sort" hidden="1">#REF!</definedName>
    <definedName name="_Volume">#REF!</definedName>
    <definedName name="a">#REF!</definedName>
    <definedName name="aa">[3]原価計算表!#REF!</definedName>
    <definedName name="aaa">#REF!</definedName>
    <definedName name="AAAAA">#REF!</definedName>
    <definedName name="aaaaaa">#REF!</definedName>
    <definedName name="aaaaaaaaaa">#REF!</definedName>
    <definedName name="aaaaaaaaaaa">#REF!</definedName>
    <definedName name="aaaaaaaaaaaaa">#REF!</definedName>
    <definedName name="aaaaaaaaaaaaaaaaaaaaaaaaaaaaaaaaaaaa">#REF!</definedName>
    <definedName name="aas">#REF!</definedName>
    <definedName name="AB">#REF!</definedName>
    <definedName name="abc">#REF!</definedName>
    <definedName name="ACOTIAMIDE" hidden="1">#REF!</definedName>
    <definedName name="Alpha">'[4]Dimensions and Hierarchy'!$AD$1</definedName>
    <definedName name="alpha1">'[5]Forecast Working'!$C$1</definedName>
    <definedName name="alpha2">#REF!</definedName>
    <definedName name="Alpha3">'[4]Dimensions and Hierarchy'!$AJ$1</definedName>
    <definedName name="as">#REF!</definedName>
    <definedName name="asdfg" hidden="1">#REF!</definedName>
    <definedName name="at">#REF!</definedName>
    <definedName name="b">[3]原価計算表!#REF!</definedName>
    <definedName name="bb">#REF!</definedName>
    <definedName name="bbbb">#REF!</definedName>
    <definedName name="beta1">'[5]Forecast Working'!$C$2</definedName>
    <definedName name="c_c">[3]原価計算表!#REF!</definedName>
    <definedName name="cc">[3]原価計算表!#REF!</definedName>
    <definedName name="cccc" hidden="1">#REF!</definedName>
    <definedName name="Consideration16.17." hidden="1">[1]Rates!#REF!</definedName>
    <definedName name="d">[3]原価計算表!#REF!</definedName>
    <definedName name="dafadf">[3]原価計算表!#REF!</definedName>
    <definedName name="DATA1">'[6]Prod P&amp;L'!#REF!</definedName>
    <definedName name="DATA10">'[6]Prod P&amp;L'!#REF!</definedName>
    <definedName name="DATA100">'[6]Prod P&amp;L'!#REF!</definedName>
    <definedName name="DATA101">'[6]Prod P&amp;L'!#REF!</definedName>
    <definedName name="DATA102">'[6]Prod P&amp;L'!#REF!</definedName>
    <definedName name="DATA103">'[6]Prod P&amp;L'!#REF!</definedName>
    <definedName name="DATA104">'[6]Prod P&amp;L'!#REF!</definedName>
    <definedName name="DATA105">'[6]Prod P&amp;L'!#REF!</definedName>
    <definedName name="DATA106">'[6]Prod P&amp;L'!#REF!</definedName>
    <definedName name="DATA107">'[6]Prod P&amp;L'!#REF!</definedName>
    <definedName name="DATA108">'[6]Prod P&amp;L'!#REF!</definedName>
    <definedName name="DATA109">'[6]Prod P&amp;L'!#REF!</definedName>
    <definedName name="DATA11">'[6]Prod P&amp;L'!#REF!</definedName>
    <definedName name="DATA110">'[6]Prod P&amp;L'!#REF!</definedName>
    <definedName name="DATA111">'[6]Prod P&amp;L'!#REF!</definedName>
    <definedName name="DATA112">'[6]Prod P&amp;L'!#REF!</definedName>
    <definedName name="DATA113">'[6]Prod P&amp;L'!#REF!</definedName>
    <definedName name="DATA114">'[6]Prod P&amp;L'!#REF!</definedName>
    <definedName name="DATA115">'[6]Prod P&amp;L'!#REF!</definedName>
    <definedName name="DATA116">'[6]Prod P&amp;L'!#REF!</definedName>
    <definedName name="DATA117">'[6]Prod P&amp;L'!#REF!</definedName>
    <definedName name="DATA118">'[6]Prod P&amp;L'!#REF!</definedName>
    <definedName name="DATA119">'[6]Prod P&amp;L'!#REF!</definedName>
    <definedName name="DATA12">'[6]Prod P&amp;L'!#REF!</definedName>
    <definedName name="DATA120">'[6]Prod P&amp;L'!#REF!</definedName>
    <definedName name="DATA121">'[6]Prod P&amp;L'!#REF!</definedName>
    <definedName name="DATA122">'[6]Prod P&amp;L'!#REF!</definedName>
    <definedName name="DATA123">'[6]Prod P&amp;L'!#REF!</definedName>
    <definedName name="DATA124">'[6]Prod P&amp;L'!#REF!</definedName>
    <definedName name="DATA125">'[6]Prod P&amp;L'!#REF!</definedName>
    <definedName name="DATA126">'[6]Prod P&amp;L'!#REF!</definedName>
    <definedName name="DATA127">'[6]Prod P&amp;L'!#REF!</definedName>
    <definedName name="DATA128">'[6]Prod P&amp;L'!#REF!</definedName>
    <definedName name="DATA13">'[6]Prod P&amp;L'!#REF!</definedName>
    <definedName name="DATA14">'[6]Prod P&amp;L'!#REF!</definedName>
    <definedName name="DATA15">'[6]Prod P&amp;L'!#REF!</definedName>
    <definedName name="DATA16">'[6]Prod P&amp;L'!#REF!</definedName>
    <definedName name="DATA17">'[6]Prod P&amp;L'!#REF!</definedName>
    <definedName name="DATA18">'[6]Prod P&amp;L'!#REF!</definedName>
    <definedName name="DATA19">'[6]Prod P&amp;L'!#REF!</definedName>
    <definedName name="DATA2">'[6]Prod P&amp;L'!#REF!</definedName>
    <definedName name="DATA20">'[6]Prod P&amp;L'!#REF!</definedName>
    <definedName name="DATA21">'[6]Prod P&amp;L'!#REF!</definedName>
    <definedName name="DATA22">'[6]Prod P&amp;L'!#REF!</definedName>
    <definedName name="DATA23">'[6]Prod P&amp;L'!#REF!</definedName>
    <definedName name="DATA24">'[6]Prod P&amp;L'!#REF!</definedName>
    <definedName name="DATA25">'[6]Prod P&amp;L'!#REF!</definedName>
    <definedName name="DATA26">'[6]Prod P&amp;L'!#REF!</definedName>
    <definedName name="DATA27">'[6]Prod P&amp;L'!#REF!</definedName>
    <definedName name="DATA28">'[6]Prod P&amp;L'!#REF!</definedName>
    <definedName name="DATA29">'[6]Prod P&amp;L'!#REF!</definedName>
    <definedName name="DATA3">'[6]Prod P&amp;L'!#REF!</definedName>
    <definedName name="DATA30">'[6]Prod P&amp;L'!#REF!</definedName>
    <definedName name="DATA31">'[6]Prod P&amp;L'!#REF!</definedName>
    <definedName name="DATA32">'[6]Prod P&amp;L'!#REF!</definedName>
    <definedName name="DATA33">'[6]Prod P&amp;L'!#REF!</definedName>
    <definedName name="DATA34">'[6]Prod P&amp;L'!#REF!</definedName>
    <definedName name="DATA35">'[6]Prod P&amp;L'!#REF!</definedName>
    <definedName name="DATA36">'[6]Prod P&amp;L'!#REF!</definedName>
    <definedName name="DATA37">'[6]Prod P&amp;L'!#REF!</definedName>
    <definedName name="DATA38">'[6]Prod P&amp;L'!#REF!</definedName>
    <definedName name="DATA39">'[6]Prod P&amp;L'!#REF!</definedName>
    <definedName name="DATA4">'[6]Prod P&amp;L'!#REF!</definedName>
    <definedName name="DATA40">'[6]Prod P&amp;L'!#REF!</definedName>
    <definedName name="DATA41">'[6]Prod P&amp;L'!#REF!</definedName>
    <definedName name="DATA42">'[6]Prod P&amp;L'!#REF!</definedName>
    <definedName name="DATA43">'[6]Prod P&amp;L'!#REF!</definedName>
    <definedName name="DATA44">'[6]Prod P&amp;L'!#REF!</definedName>
    <definedName name="DATA45">'[6]Prod P&amp;L'!#REF!</definedName>
    <definedName name="DATA46">'[6]Prod P&amp;L'!#REF!</definedName>
    <definedName name="DATA47">'[6]Prod P&amp;L'!#REF!</definedName>
    <definedName name="DATA48">'[6]Prod P&amp;L'!#REF!</definedName>
    <definedName name="DATA49">'[6]Prod P&amp;L'!#REF!</definedName>
    <definedName name="DATA5">'[6]Prod P&amp;L'!#REF!</definedName>
    <definedName name="DATA50">'[6]Prod P&amp;L'!#REF!</definedName>
    <definedName name="DATA51">'[6]Prod P&amp;L'!#REF!</definedName>
    <definedName name="DATA52">'[6]Prod P&amp;L'!#REF!</definedName>
    <definedName name="DATA53">'[6]Prod P&amp;L'!#REF!</definedName>
    <definedName name="DATA54">'[6]Prod P&amp;L'!#REF!</definedName>
    <definedName name="DATA55">'[6]Prod P&amp;L'!#REF!</definedName>
    <definedName name="DATA56">'[6]Prod P&amp;L'!#REF!</definedName>
    <definedName name="DATA57">'[6]Prod P&amp;L'!#REF!</definedName>
    <definedName name="DATA58">'[6]Prod P&amp;L'!#REF!</definedName>
    <definedName name="DATA59">'[6]Prod P&amp;L'!#REF!</definedName>
    <definedName name="DATA6">'[6]Prod P&amp;L'!#REF!</definedName>
    <definedName name="DATA60">'[6]Prod P&amp;L'!#REF!</definedName>
    <definedName name="DATA61">'[6]Prod P&amp;L'!#REF!</definedName>
    <definedName name="DATA62">'[6]Prod P&amp;L'!#REF!</definedName>
    <definedName name="DATA63">'[6]Prod P&amp;L'!#REF!</definedName>
    <definedName name="DATA64">'[6]Prod P&amp;L'!#REF!</definedName>
    <definedName name="DATA65">'[6]Prod P&amp;L'!#REF!</definedName>
    <definedName name="DATA66">'[6]Prod P&amp;L'!#REF!</definedName>
    <definedName name="DATA67">'[6]Prod P&amp;L'!#REF!</definedName>
    <definedName name="DATA68">'[6]Prod P&amp;L'!#REF!</definedName>
    <definedName name="DATA69">'[6]Prod P&amp;L'!#REF!</definedName>
    <definedName name="DATA7">'[6]Prod P&amp;L'!#REF!</definedName>
    <definedName name="DATA70">'[6]Prod P&amp;L'!#REF!</definedName>
    <definedName name="DATA71">'[6]Prod P&amp;L'!#REF!</definedName>
    <definedName name="DATA72">'[6]Prod P&amp;L'!#REF!</definedName>
    <definedName name="DATA73">'[6]Prod P&amp;L'!#REF!</definedName>
    <definedName name="DATA74">'[6]Prod P&amp;L'!#REF!</definedName>
    <definedName name="DATA75">'[6]Prod P&amp;L'!#REF!</definedName>
    <definedName name="DATA76">'[6]Prod P&amp;L'!#REF!</definedName>
    <definedName name="DATA77">'[6]Prod P&amp;L'!#REF!</definedName>
    <definedName name="DATA78">'[6]Prod P&amp;L'!#REF!</definedName>
    <definedName name="DATA79">'[6]Prod P&amp;L'!#REF!</definedName>
    <definedName name="DATA8">'[6]Prod P&amp;L'!#REF!</definedName>
    <definedName name="DATA80">'[6]Prod P&amp;L'!#REF!</definedName>
    <definedName name="DATA81">'[6]Prod P&amp;L'!#REF!</definedName>
    <definedName name="DATA82">'[6]Prod P&amp;L'!#REF!</definedName>
    <definedName name="DATA83">'[6]Prod P&amp;L'!#REF!</definedName>
    <definedName name="DATA84">'[6]Prod P&amp;L'!#REF!</definedName>
    <definedName name="DATA85">'[6]Prod P&amp;L'!#REF!</definedName>
    <definedName name="DATA86">'[6]Prod P&amp;L'!#REF!</definedName>
    <definedName name="DATA87">'[6]Prod P&amp;L'!#REF!</definedName>
    <definedName name="DATA88">'[6]Prod P&amp;L'!#REF!</definedName>
    <definedName name="DATA89">'[6]Prod P&amp;L'!#REF!</definedName>
    <definedName name="DATA9">'[6]Prod P&amp;L'!#REF!</definedName>
    <definedName name="DATA90">'[6]Prod P&amp;L'!#REF!</definedName>
    <definedName name="DATA91">'[6]Prod P&amp;L'!#REF!</definedName>
    <definedName name="DATA92">'[6]Prod P&amp;L'!#REF!</definedName>
    <definedName name="DATA93">'[6]Prod P&amp;L'!#REF!</definedName>
    <definedName name="DATA94">'[6]Prod P&amp;L'!#REF!</definedName>
    <definedName name="DATA95">'[6]Prod P&amp;L'!#REF!</definedName>
    <definedName name="DATA96">'[6]Prod P&amp;L'!#REF!</definedName>
    <definedName name="DATA97">'[6]Prod P&amp;L'!#REF!</definedName>
    <definedName name="DATA98">'[6]Prod P&amp;L'!#REF!</definedName>
    <definedName name="DATA99">'[6]Prod P&amp;L'!#REF!</definedName>
    <definedName name="_xlnm.Database">#REF!</definedName>
    <definedName name="DataInput">#REF!</definedName>
    <definedName name="days">#REF!</definedName>
    <definedName name="DBase">#REF!</definedName>
    <definedName name="dd">#REF!</definedName>
    <definedName name="DＤＳ">[3]原価計算表!#REF!</definedName>
    <definedName name="department">#REF!</definedName>
    <definedName name="Dimension">'[4]Dimensions and Hierarchy'!$A$2:$A$5</definedName>
    <definedName name="dsad">[3]原価計算表!#REF!</definedName>
    <definedName name="e">[3]原価計算表!#REF!</definedName>
    <definedName name="ee">#REF!</definedName>
    <definedName name="EPMWorkbookOptions_1" hidden="1">"i0YAAB|LCAAAAAAABADtvQdgHEmWJSYvbcp7f0r1StfgdKEIgGATJNiQQBDswYjN5pLsHWlHIymrKoHKZVZlXWYWQMztnbz33nvvvffee||997o7nU4n99//P1xmZAFs9s5K2smeIYCqyB8/fnwfPyIe/x7vFmV6mddNUS0/|2h3vPNRmi|n1axYXnz20bo939799KPf4|g3Th5/t6rfTqrq7Zerlpo2Kb23bB69a4rPPpq37erR3btXV1fjq3v"</definedName>
    <definedName name="EPMWorkbookOptions_2" hidden="1">"jqr64u7ezs3v39/7i|evpPF9k28WyabPlNP/IvjW7|a2PqNc0fXxSLZf5FH2|qU7WdZ0v258s8iv|Mvj6adZm|il9/iJb5NKb7anNF6t1XXBXXzV5/bLOz3OCN83HhNBHR7//s5df/P5PXp68|O7uzu//PX1pd2d88GD88GB8/9HBzs7O3SZb3Z2spne///t/7|T45euvPj99jl|JIlVZzDIgQn|fZ2WTf//xXWDhcDpercpimnn0uzVuBkYIxf"</definedName>
    <definedName name="EPMWorkbookOptions_3" hidden="1">"tYh3wUYNJBQAjmaJjeHfzq28Vsli|fFot82TC6w00dqk3Qhlq9nldXFsZJVVb1UVuv88d3I19sepVHEXmzNzp60X45jNdtW/ntvloWv2idc4fHJydffvXizeO7sS83wZCBkkTd39m9d7DrAYiRgN/9sp7l9dHO47vySxR6syqz65d1tcrr9rozUdroeda0r/OSBCWffZEvJiTvkWbhvEYbUBN53xvy95Qg3x9/7|Xxq9MXb769S7|evTj58ovT1"</definedName>
    <definedName name="EPMWorkbookOptions_4" hidden="1">"2|O35x|QZ|RMPReHOjg20VeZ/V0fu2apqRnHi2L8rOPwAUfRQfJ70am5HbvPr5709C/Idrs0a8nz4gF6PkRUTyGOfny|fPT48|/Ov39n53Rb09/RByPOG||fPn7my9|RBdHl9e//|mTszdPj/|/TpTHd2|joj2L8bNn3b56evbmzavjs|df38Dt7OyTs3R7|7b7/3L7ZknSEcqnvz99|uL1/9eZ7xunCymrLz7/|auoNpDl9Pf|EVn6UvTlm2//"</definedName>
    <definedName name="EPMWorkbookOptions_5" hidden="1">"iCo9qpyenPx/nSr/7zFrJxSHfP7lq9/naxu1e/fu39/f37|9Udv7f7dRMwQhXqP/HZ|8|er4|f/X2e2bocWTr55|fvrzVk3H|OL3f378|Y/oAXo8e378|tu///8/pOX/PcqZjN7Zm6|vmj99sLtzcPDg9qr53v|7VbOQI|I8yuf/H2e7b5Iq|/s7uz|ih0ePewcHP6KHT49P7/1/nR7/71HTz55/|d2vraQpKfTpp/fuvUdWaP//3Voa1Ai57dn"</definedName>
    <definedName name="EPMWorkbookOptions_6" hidden="1">"v/|bLn7d|Y4wcL758cfr/dXr8v0j8vnpxQtQ9/voi2F94vEEE7/|/XASVIn1X6dlX/59fEvhmifJg/|fxemOcJM8|/RGPBAT59OfzmvQAjxz/yIj1mt2qVXw4R2cv3py|Ovnyh2jDPv1/tw1TgvRNGH1BH/9/nPG|UaqcnfxIGL9RYXz56stnZ29O3rz6IYrjg/93i6MliWO9fRbIN7//q9PPaf3282f/X|e/b5A09xxpfkQVS5U9pcoXL39ElZ"</definedName>
    <definedName name="EPMWorkbookOptions_7" hidden="1">"BXvn3v9//i8x|xS0iYXWWXl0//P588|n|PaXv18s3JV6|Ividff13p/Y3bwf|7jZtHlO/zcuZXr5/|f53lvjFaPD/5/zop/t8jfa9Pvnx5|kOUu4f/75Y7Jkeo8F///yKU|QYJcvL5/|dXcv9fJH|nn39BhP0hSuDuzv/LRVAo0k|zvP7564tGabL7/4Mc8P97BPHN2Rc/TDu4u/v/bikEOUJ226MRjnfu/X|d475pgvx/3hZ|owTZG|/|iCAdD"</definedName>
    <definedName name="EPMWorkbookOptions_8" hidden="1">"tn/Rgjy/x|C7O79f50g/||xWl|cHr/|6tXp6x|m5dr7f7flMiSRXMHv8|bnbd4kJMTL01dnXz49|1Hq5L0aBdjEGz2|e7xalcU0awmO/Tz41DQnaNVySYjTZ0|zNuOP/Q/fVN3BP36Vn9d5M/9y|eUqXx6dZ2WTP74bfsjtTso8qwH0y|Xr7DI3Lbsfc9vvVvXbSVW9JTFtmYymdf|L3zhxn365ksH8P17yfBOLRgAA"</definedName>
    <definedName name="EPMWorkbookOptions_9" hidden="1">"vM6b|ZfLL1f58ug8K5v88d3wQ253UuZZDaBfLl9nl7lp2f2Y2363qt9OquotCWnLZDSt|1/8xon79MuVDOb/AaQ1AvXhSwAA"</definedName>
    <definedName name="ExpensetoAccountLookup">#REF!</definedName>
    <definedName name="FD" hidden="1">#REF!</definedName>
    <definedName name="FEBU">#REF!</definedName>
    <definedName name="FEBU123" hidden="1">#REF!</definedName>
    <definedName name="Febuxostat" hidden="1">#REF!</definedName>
    <definedName name="ffff">#REF!</definedName>
    <definedName name="FT_Start_Row">'[4]Forecast Tab'!$A$2:$IV$2</definedName>
    <definedName name="FY">'[7]Master Fields'!$A$3:$A$5</definedName>
    <definedName name="g">[8]原価表!#REF!</definedName>
    <definedName name="gamma1">'[5]Forecast Working'!$C$3</definedName>
    <definedName name="gggg">#REF!</definedName>
    <definedName name="GroupList">#REF!</definedName>
    <definedName name="h">[8]原価表!#REF!</definedName>
    <definedName name="HARDIK">#REF!</definedName>
    <definedName name="HARDIK1" hidden="1">#REF!</definedName>
    <definedName name="i">[3]原価計算表!#REF!</definedName>
    <definedName name="Iloperidone" hidden="1">#REF!</definedName>
    <definedName name="Impact_flag">#REF!</definedName>
    <definedName name="Index">#REF!</definedName>
    <definedName name="IndexArray">#REF!</definedName>
    <definedName name="INSTMASTER">#REF!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EXPENSE_CODE_">"General Advisory"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40799.8027314815</definedName>
    <definedName name="IQ_NTM" hidden="1">6000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t1_mult">#REF!</definedName>
    <definedName name="j">[3]原価計算表!#REF!</definedName>
    <definedName name="k">[3]原価計算表!#REF!</definedName>
    <definedName name="kkk">#REF!</definedName>
    <definedName name="l">[8]原価表!#REF!</definedName>
    <definedName name="LatestChange">#REF!</definedName>
    <definedName name="LatestPerson">#REF!</definedName>
    <definedName name="LatestVersion">#REF!</definedName>
    <definedName name="LegalEntity">#REF!</definedName>
    <definedName name="M">#REF!</definedName>
    <definedName name="ModelName">#REF!</definedName>
    <definedName name="month">#REF!</definedName>
    <definedName name="myList">INDIRECT(SUBSTITUTE(HLOOKUP('[4]Hierarchy Data'!XFD1,'[4]Dimensions and Hierarchy'!$I$2:$W$3,2,FALSE)," ",""))</definedName>
    <definedName name="myList2">INDIRECT(SUBSTITUTE(HLOOKUP('[4]Sales &amp; Promotion'!K$1,'[4]Dimensions and Hierarchy'!$I$2:$W$3,2,FALSE)," ",""))</definedName>
    <definedName name="mylist3">INDIRECT(SUBSTITUTE(HLOOKUP('[9]Sales &amp; Promotion'!K$1,'[9]Dimensions and Hierarchy'!$I$2:$W$3,2,FALSE)," ",""))</definedName>
    <definedName name="n">#REF!</definedName>
    <definedName name="NEW" hidden="1">#REF!</definedName>
    <definedName name="o">[3]原価計算表!#REF!</definedName>
    <definedName name="p">[8]原価表!#REF!</definedName>
    <definedName name="_xlnm.Print_Area">#REF!</definedName>
    <definedName name="PRINT_AREA_MI">#REF!</definedName>
    <definedName name="_xlnm.Print_Titles">#REF!</definedName>
    <definedName name="Pro" hidden="1">[1]Rates!#REF!</definedName>
    <definedName name="Prod.">#REF!</definedName>
    <definedName name="ProfitCenter">#REF!</definedName>
    <definedName name="PU">#REF!</definedName>
    <definedName name="q">[8]原価表!#REF!</definedName>
    <definedName name="Quality_flag">#REF!</definedName>
    <definedName name="r_r">#REF!</definedName>
    <definedName name="_xlnm.Recorder">#REF!</definedName>
    <definedName name="ReportMonth">#REF!</definedName>
    <definedName name="rifsa">#REF!</definedName>
    <definedName name="Risk_flag">#REF!</definedName>
    <definedName name="RKM">#REF!</definedName>
    <definedName name="RKS" hidden="1">#REF!</definedName>
    <definedName name="S">#REF!</definedName>
    <definedName name="SAFETY">#REF!</definedName>
    <definedName name="Sec_Res">#REF!</definedName>
    <definedName name="sk">#REF!</definedName>
    <definedName name="SK2..">#REF!</definedName>
    <definedName name="SKF">'[10]Prod P&amp;L'!#REF!</definedName>
    <definedName name="SNP">#REF!</definedName>
    <definedName name="SS">#REF!</definedName>
    <definedName name="ssssss" hidden="1">#REF!</definedName>
    <definedName name="Status_Checking">#REF!</definedName>
    <definedName name="Status_Overall">#REF!</definedName>
    <definedName name="Status_Update">#REF!</definedName>
    <definedName name="Steam_Fuel_Type">[11]DropDown!$L$2:$L$14</definedName>
    <definedName name="StTextKy">#REF!</definedName>
    <definedName name="t">#REF!</definedName>
    <definedName name="Tarun">#REF!</definedName>
    <definedName name="Team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3">#REF!</definedName>
    <definedName name="TEST4">'[12]Sheet1 (2)'!$A$4001:$O$5333</definedName>
    <definedName name="TEST5">'[12]Sheet1 (2)'!$A$5334:$O$6666</definedName>
    <definedName name="TEST6">'[12]Sheet1 (2)'!$A$6667:$O$7999</definedName>
    <definedName name="TEST7">'[12]Sheet1 (2)'!$A$8000:$O$9332</definedName>
    <definedName name="TEST8">'[12]Sheet1 (2)'!$A$9333:$O$10665</definedName>
    <definedName name="TEST9">'[12]Sheet1 (2)'!$A$10666:$O$11998</definedName>
    <definedName name="TESTHKEY">#REF!</definedName>
    <definedName name="TESTKEYS">#REF!</definedName>
    <definedName name="TESTVKEY">#REF!</definedName>
    <definedName name="TM1REBUILDOPTION">1</definedName>
    <definedName name="Total_WTT_EF_Gen">[13]Calc2_UK_WTT_Elec!#REF!</definedName>
    <definedName name="trtr">#REF!</definedName>
    <definedName name="ttt">#REF!</definedName>
    <definedName name="U">#REF!</definedName>
    <definedName name="useList">INDEX(ValData,1,MATCH('[4]Hierarchy Data'!E1048432,'[4]Dimensions and Hierarchy'!$H$2:$X$2,0)):INDEX(ValData,Counter,MATCH('[4]Hierarchy Data'!E1048432,'[4]Dimensions and Hierarchy'!$H$2:$X$2,0))</definedName>
    <definedName name="v">#REF!</definedName>
    <definedName name="ValData">'[4]Dimensions and Hierarchy'!$H$3:INDEX('[4]Dimensions and Hierarchy'!$H$2:$X$256,99,COUNTA('[4]Dimensions and Hierarchy'!$H$2:$X$2))</definedName>
    <definedName name="Version">#REF!</definedName>
    <definedName name="w">#REF!</definedName>
    <definedName name="w_w">[3]原価計算表!#REF!</definedName>
    <definedName name="Working">#REF!</definedName>
    <definedName name="x">[3]原価計算表!#REF!</definedName>
    <definedName name="y">[3]原価計算表!#REF!</definedName>
    <definedName name="Year_Reporting_WTT">[13]Calc2_UK_WTT_Elec!#REF!</definedName>
    <definedName name="YesNo">#REF!</definedName>
    <definedName name="z">#REF!</definedName>
    <definedName name="zxc">#REF!</definedName>
    <definedName name="ウジ">[3]原価計算表!#REF!</definedName>
    <definedName name="コピー範囲_他社商品">[3]原価計算表!#REF!</definedName>
    <definedName name="コピー範囲＿宇治取扱商品">[3]原価計算表!#REF!</definedName>
    <definedName name="コピー範囲_宇治商品">[3]原価計算表!#REF!</definedName>
    <definedName name="他社">[3]原価計算表!#REF!</definedName>
    <definedName name="他社_導出">[8]原価表!#REF!</definedName>
    <definedName name="他社商品">[8]原価表!#REF!</definedName>
    <definedName name="加工">[8]原価表!#REF!</definedName>
    <definedName name="宇治">[3]原価計算表!#REF!</definedName>
    <definedName name="宇治商品">[8]原価表!#REF!</definedName>
    <definedName name="導出品">#REF!</definedName>
    <definedName name="小分け">[8]原価表!#REF!</definedName>
    <definedName name="新製品">#REF!</definedName>
    <definedName name="期首範囲＿他社商品">[3]原価計算表!#REF!</definedName>
    <definedName name="期首範囲＿宇治取り扱い商品">[3]原価計算表!#REF!</definedName>
    <definedName name="期首範囲＿宇治商品">[3]原価計算表!#REF!</definedName>
    <definedName name="範囲_中止品">#REF!</definedName>
    <definedName name="範囲＿他社商品">[3]原価計算表!#REF!</definedName>
    <definedName name="範囲＿宇治取り扱い商品">[3]原価計算表!#REF!</definedName>
    <definedName name="範囲＿宇治商品">[3]原価計算表!#REF!</definedName>
    <definedName name="範囲_導出・加工・小分け">#REF!</definedName>
    <definedName name="範囲_新製品">#REF!</definedName>
    <definedName name="範囲_既存製品">#REF!</definedName>
    <definedName name="範囲_行見出し_中止品">[8]原価表!#REF!</definedName>
    <definedName name="範囲＿行見出し＿他社商品">[3]原価計算表!#REF!</definedName>
    <definedName name="範囲＿行見出し＿宇治取り扱い商品">[3]原価計算表!#REF!</definedName>
    <definedName name="範囲＿行見出し＿宇治商品">[3]原価計算表!#REF!</definedName>
    <definedName name="範囲_行見出し_導出品">[8]原価表!#REF!</definedName>
    <definedName name="範囲_行見出し_新製品">#REF!</definedName>
    <definedName name="範囲＿行見出し＿既存製品">[3]原価計算表!#REF!</definedName>
    <definedName name="自社製品">[8]原価表!#REF!</definedName>
    <definedName name="販売中止品">[8]原価表!#REF!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6" l="1"/>
  <c r="F7" i="6"/>
  <c r="C6" i="6"/>
  <c r="D6" i="6"/>
  <c r="D7" i="6"/>
  <c r="G6" i="6"/>
  <c r="C7" i="6"/>
  <c r="G7" i="6"/>
  <c r="E6" i="6"/>
  <c r="E7" i="6"/>
  <c r="P52" i="5"/>
  <c r="I52" i="5"/>
  <c r="D52" i="5"/>
  <c r="P50" i="5"/>
  <c r="I50" i="5"/>
  <c r="D50" i="5"/>
  <c r="F21" i="5"/>
  <c r="F22" i="5" s="1"/>
  <c r="B27" i="5" s="1"/>
  <c r="E21" i="5"/>
  <c r="E23" i="5" s="1"/>
  <c r="C21" i="5"/>
  <c r="C22" i="5" s="1"/>
  <c r="B21" i="5"/>
  <c r="B22" i="5" s="1"/>
  <c r="B29" i="5" s="1"/>
  <c r="H20" i="5"/>
  <c r="K19" i="5"/>
  <c r="K20" i="5" s="1"/>
  <c r="K21" i="5" s="1"/>
  <c r="H19" i="5"/>
  <c r="G19" i="5"/>
  <c r="D19" i="5"/>
  <c r="H18" i="5"/>
  <c r="H17" i="5"/>
  <c r="G17" i="5"/>
  <c r="D17" i="5"/>
  <c r="L16" i="5"/>
  <c r="L20" i="5" s="1"/>
  <c r="H13" i="5"/>
  <c r="K12" i="5"/>
  <c r="H11" i="5"/>
  <c r="H10" i="5"/>
  <c r="L9" i="5"/>
  <c r="H9" i="5"/>
  <c r="H8" i="5"/>
  <c r="H7" i="5"/>
  <c r="H6" i="5"/>
  <c r="H5" i="5"/>
  <c r="T56" i="4"/>
  <c r="S56" i="4"/>
  <c r="R56" i="4"/>
  <c r="Q56" i="4"/>
  <c r="P56" i="4"/>
  <c r="O56" i="4"/>
  <c r="N56" i="4"/>
  <c r="M56" i="4"/>
  <c r="E10" i="6" s="1"/>
  <c r="I56" i="4"/>
  <c r="H56" i="4"/>
  <c r="G56" i="4"/>
  <c r="F56" i="4"/>
  <c r="E56" i="4"/>
  <c r="D56" i="4"/>
  <c r="C56" i="4"/>
  <c r="B46" i="4"/>
  <c r="B56" i="4" s="1"/>
  <c r="H37" i="4"/>
  <c r="G37" i="4"/>
  <c r="E37" i="4"/>
  <c r="D37" i="4"/>
  <c r="B37" i="4"/>
  <c r="F27" i="4"/>
  <c r="F37" i="4" s="1"/>
  <c r="C27" i="4"/>
  <c r="C37" i="4" s="1"/>
  <c r="T18" i="4"/>
  <c r="T19" i="4" s="1"/>
  <c r="S18" i="4"/>
  <c r="S19" i="4" s="1"/>
  <c r="R18" i="4"/>
  <c r="R19" i="4" s="1"/>
  <c r="Q18" i="4"/>
  <c r="Q19" i="4" s="1"/>
  <c r="P18" i="4"/>
  <c r="P19" i="4" s="1"/>
  <c r="O18" i="4"/>
  <c r="O19" i="4" s="1"/>
  <c r="N18" i="4"/>
  <c r="N19" i="4" s="1"/>
  <c r="M18" i="4"/>
  <c r="M19" i="4" s="1"/>
  <c r="I18" i="4"/>
  <c r="H18" i="4"/>
  <c r="G18" i="4"/>
  <c r="F18" i="4"/>
  <c r="E18" i="4"/>
  <c r="D18" i="4"/>
  <c r="B18" i="4"/>
  <c r="W17" i="4"/>
  <c r="W16" i="4"/>
  <c r="W15" i="4"/>
  <c r="W14" i="4"/>
  <c r="W13" i="4"/>
  <c r="W12" i="4"/>
  <c r="W10" i="4"/>
  <c r="W9" i="4"/>
  <c r="W8" i="4"/>
  <c r="C8" i="4"/>
  <c r="C18" i="4" s="1"/>
  <c r="W7" i="4"/>
  <c r="W6" i="4"/>
  <c r="W5" i="4"/>
  <c r="W4" i="4"/>
  <c r="L21" i="3"/>
  <c r="K21" i="3"/>
  <c r="J21" i="3"/>
  <c r="I21" i="3"/>
  <c r="H21" i="3"/>
  <c r="G21" i="3"/>
  <c r="F21" i="3"/>
  <c r="E21" i="3"/>
  <c r="D21" i="3"/>
  <c r="C21" i="3"/>
  <c r="W18" i="2"/>
  <c r="V18" i="2"/>
  <c r="U18" i="2"/>
  <c r="T18" i="2"/>
  <c r="S18" i="2"/>
  <c r="R18" i="2"/>
  <c r="Q18" i="2"/>
  <c r="P18" i="2"/>
  <c r="O18" i="2"/>
  <c r="J18" i="2"/>
  <c r="I18" i="2"/>
  <c r="H18" i="2"/>
  <c r="G18" i="2"/>
  <c r="F18" i="2"/>
  <c r="E18" i="2"/>
  <c r="D18" i="2"/>
  <c r="C18" i="2"/>
  <c r="F10" i="6" l="1"/>
  <c r="E8" i="6"/>
  <c r="C9" i="6"/>
  <c r="D10" i="6"/>
  <c r="C5" i="6"/>
  <c r="C15" i="6"/>
  <c r="D15" i="6"/>
  <c r="D5" i="6"/>
  <c r="F8" i="6"/>
  <c r="C8" i="6"/>
  <c r="G8" i="6"/>
  <c r="D8" i="6"/>
  <c r="K37" i="4"/>
  <c r="G9" i="6" s="1"/>
  <c r="G11" i="6" s="1"/>
  <c r="K56" i="4"/>
  <c r="E9" i="6" s="1"/>
  <c r="E11" i="6" s="1"/>
  <c r="E13" i="6" s="1"/>
  <c r="K18" i="4"/>
  <c r="F9" i="6" s="1"/>
  <c r="F11" i="6" s="1"/>
  <c r="E22" i="5"/>
  <c r="B30" i="5" s="1"/>
  <c r="B23" i="5"/>
  <c r="C26" i="5"/>
  <c r="H23" i="5"/>
  <c r="B26" i="5"/>
  <c r="H22" i="5"/>
  <c r="V19" i="4"/>
  <c r="M20" i="5"/>
  <c r="L21" i="5"/>
  <c r="M21" i="5"/>
  <c r="H26" i="5"/>
  <c r="H21" i="5"/>
  <c r="B25" i="5"/>
  <c r="C10" i="6" l="1"/>
  <c r="C11" i="6" s="1"/>
  <c r="C13" i="6" s="1"/>
  <c r="D9" i="6"/>
  <c r="D11" i="6" s="1"/>
  <c r="D13" i="6" s="1"/>
  <c r="G13" i="6"/>
  <c r="F13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10" authorId="0" shapeId="0" xr:uid="{AB2DBFC5-593B-40A3-8CD9-5909F488C64E}">
      <text>
        <r>
          <rPr>
            <b/>
            <sz val="9"/>
            <color indexed="81"/>
            <rFont val="Tahoma"/>
            <charset val="1"/>
          </rPr>
          <t>CO₂ extinguisher weight: count × unit_weight / 1000</t>
        </r>
      </text>
    </comment>
    <comment ref="G11" authorId="0" shapeId="0" xr:uid="{48CD5F26-CF0C-492A-BF78-94C141035BD7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CO₂ extinguisher data not available for FY2020-21</t>
        </r>
      </text>
    </comment>
    <comment ref="E13" authorId="0" shapeId="0" xr:uid="{9593F9DF-17D2-4F6F-B758-3034811C71EE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Excludes Stationary Combustion (not calculated for this year)</t>
        </r>
      </text>
    </comment>
    <comment ref="F13" authorId="0" shapeId="0" xr:uid="{2438DBD4-EF51-44FA-9683-AE0CA084D46C}">
      <text>
        <r>
          <rPr>
            <b/>
            <sz val="9"/>
            <color indexed="81"/>
            <rFont val="Tahoma"/>
            <charset val="1"/>
          </rPr>
          <t>Dell:</t>
        </r>
        <r>
          <rPr>
            <sz val="9"/>
            <color indexed="81"/>
            <rFont val="Tahoma"/>
            <charset val="1"/>
          </rPr>
          <t xml:space="preserve">
Excludes Stationary Combustion (not calculated for this year)</t>
        </r>
      </text>
    </comment>
    <comment ref="G13" authorId="0" shapeId="0" xr:uid="{93298549-F290-447F-BCAB-05101FD6475E}">
      <text>
        <r>
          <rPr>
            <b/>
            <sz val="9"/>
            <color indexed="81"/>
            <rFont val="Tahoma"/>
            <charset val="1"/>
          </rPr>
          <t>Excludes Stationary Combustion (not calculated for this year)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3" authorId="0" shapeId="0" xr:uid="{2D4DFA6D-12E9-4748-9A10-A846011855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E3" authorId="0" shapeId="0" xr:uid="{2A1F0E31-B590-4F39-A29C-404511A5399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G3" authorId="0" shapeId="0" xr:uid="{482071FF-B4CE-410C-9A26-6D3335B8F58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I3" authorId="0" shapeId="0" xr:uid="{D9B95745-CE46-4E76-9181-FC691F37127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  <comment ref="K3" authorId="0" shapeId="0" xr:uid="{E07EEE6A-FD4E-4209-B28C-54050124AD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Out of the total HSD. What is the amount of HSD used for Company Owned Vehicles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Saharsh Rahul Sharma</author>
  </authors>
  <commentList>
    <comment ref="H89" authorId="0" shapeId="0" xr:uid="{70A63D03-BECC-4FFD-B012-798F9ED04201}">
      <text>
        <r>
          <rPr>
            <b/>
            <sz val="9"/>
            <color indexed="81"/>
            <rFont val="Tahoma"/>
            <family val="2"/>
          </rPr>
          <t>Saharsh Rahul Sharma:</t>
        </r>
        <r>
          <rPr>
            <sz val="9"/>
            <color indexed="81"/>
            <rFont val="Tahoma"/>
            <family val="2"/>
          </rPr>
          <t xml:space="preserve">
Please Confirm the factor   
once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tc={E6AB80A8-B8B4-41D5-8036-34FE8BC0D8AE}</author>
    <author>tc={C2FE261B-700D-45CB-A394-E461AA7E6017}</author>
    <author>tc={73E80FFE-D276-4D20-9319-C38DB71059DC}</author>
    <author>tc={F5A01047-7418-48AA-9400-5CAFC8067100}</author>
    <author>tc={E6AB80A8-B8B4-41D6-8036-34FE8BC0D8AE}</author>
    <author>tc={E6AB80A8-B8B4-41D7-8036-34FE8BC0D8AE}</author>
    <author>tc={E6AB80A8-B8B4-41D8-8036-34FE8BC0D8AE}</author>
    <author>tc={C2FE261B-700D-45CC-A394-E461AA7E6017}</author>
    <author>tc={C2FE261B-700D-45CD-A394-E461AA7E6017}</author>
    <author>tc={C2FE261B-700D-45CE-A394-E461AA7E6017}</author>
    <author>tc={73E80FFE-D276-4D21-9319-C38DB71059DC}</author>
    <author>tc={73E80FFE-D276-4D22-9319-C38DB71059DC}</author>
    <author>tc={73E80FFE-D276-4D23-9319-C38DB71059DC}</author>
    <author>tc={F5A01047-7418-48AB-9400-5CAFC8067100}</author>
    <author>tc={F5A01047-7418-48AC-9400-5CAFC8067100}</author>
    <author>tc={F5A01047-7418-48AD-9400-5CAFC8067100}</author>
  </authors>
  <commentList>
    <comment ref="C12" authorId="0" shapeId="0" xr:uid="{00F323A4-EC67-4C14-8BEB-E69DD45B64A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Wind Energy + PPA</t>
        </r>
      </text>
    </comment>
    <comment ref="C16" authorId="1" shapeId="0" xr:uid="{FFCC4936-B457-4991-8B32-7E3FBF209EE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Solar Panel (Captive)</t>
        </r>
      </text>
    </comment>
    <comment ref="C17" authorId="2" shapeId="0" xr:uid="{9AF34DC5-57DF-46E3-B81E-228A9A5515C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 + Rooftop (Solar)</t>
        </r>
      </text>
    </comment>
    <comment ref="C19" authorId="3" shapeId="0" xr:uid="{E1EF9B97-0F48-4135-B899-1AAC0E6ACE88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</t>
        </r>
      </text>
    </comment>
    <comment ref="C45" authorId="4" shapeId="0" xr:uid="{A5089816-890E-4CB6-86D9-04C57B19E211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Wind Energy + PPA</t>
        </r>
      </text>
    </comment>
    <comment ref="H45" authorId="5" shapeId="0" xr:uid="{65599EFC-606E-4E48-85A5-BC95DF4A111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Wind Energy + PPA</t>
        </r>
      </text>
    </comment>
    <comment ref="O45" authorId="6" shapeId="0" xr:uid="{54AE224A-707A-4402-A4AC-16DD1564442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Wind Energy + PPA</t>
        </r>
      </text>
    </comment>
    <comment ref="C49" authorId="7" shapeId="0" xr:uid="{712010F2-A7D7-4105-9ABC-74AA5AE89AE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Solar Panel (Captive)</t>
        </r>
      </text>
    </comment>
    <comment ref="H49" authorId="8" shapeId="0" xr:uid="{EEACFC4F-42CB-4E30-8C36-9A615AE497DC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Solar Panel (Captive)</t>
        </r>
      </text>
    </comment>
    <comment ref="O49" authorId="9" shapeId="0" xr:uid="{3239CA07-ABA8-4E0B-9757-F8D0898FC77E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Solar Panel (Captive)</t>
        </r>
      </text>
    </comment>
    <comment ref="C50" authorId="10" shapeId="0" xr:uid="{E2E46782-6E7D-4485-AD89-76140A2C619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 + Rooftop (Solar)</t>
        </r>
      </text>
    </comment>
    <comment ref="H50" authorId="11" shapeId="0" xr:uid="{A1520D7D-5134-434B-810E-29B47B480456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 + Rooftop (Solar)</t>
        </r>
      </text>
    </comment>
    <comment ref="O50" authorId="12" shapeId="0" xr:uid="{C33D3AAA-261D-43D5-ABEC-5C1BA71838E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 + Rooftop (Solar)</t>
        </r>
      </text>
    </comment>
    <comment ref="C52" authorId="13" shapeId="0" xr:uid="{9D3C07C9-9AAA-43B6-9580-48643376DC9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</t>
        </r>
      </text>
    </comment>
    <comment ref="H52" authorId="14" shapeId="0" xr:uid="{73B8651B-6775-466B-AF63-DFD02FF098F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</t>
        </r>
      </text>
    </comment>
    <comment ref="O52" authorId="15" shapeId="0" xr:uid="{ECEDE981-CF79-4F40-9A0E-8788B2D7BC9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Open Axis</t>
        </r>
      </text>
    </comment>
  </commentList>
</comments>
</file>

<file path=xl/sharedStrings.xml><?xml version="1.0" encoding="utf-8"?>
<sst xmlns="http://schemas.openxmlformats.org/spreadsheetml/2006/main" count="449" uniqueCount="113">
  <si>
    <t>Stationary combustion</t>
  </si>
  <si>
    <t xml:space="preserve">BIOGENIC </t>
  </si>
  <si>
    <t>FY2024-25</t>
  </si>
  <si>
    <t>Biofuel (KL)</t>
  </si>
  <si>
    <t>Biodiesel (KL)</t>
  </si>
  <si>
    <t>Briquettes (Kg)</t>
  </si>
  <si>
    <t>Baddi</t>
  </si>
  <si>
    <t>Goa</t>
  </si>
  <si>
    <t>Indore</t>
  </si>
  <si>
    <t>Nashik</t>
  </si>
  <si>
    <t>Nalagarh</t>
  </si>
  <si>
    <t>Sikkim</t>
  </si>
  <si>
    <t>Dindori</t>
  </si>
  <si>
    <t>Aurangabad</t>
  </si>
  <si>
    <t xml:space="preserve">Mahape </t>
  </si>
  <si>
    <t>Sinnar</t>
  </si>
  <si>
    <t xml:space="preserve">Taloja </t>
  </si>
  <si>
    <t>Sanpada</t>
  </si>
  <si>
    <t>Total</t>
  </si>
  <si>
    <t>FY2023-24</t>
  </si>
  <si>
    <t>HSD (KL)</t>
  </si>
  <si>
    <t>Furnance Oil (KL)</t>
  </si>
  <si>
    <t>LDO (KL)</t>
  </si>
  <si>
    <t>Natural Gas (SCM)</t>
  </si>
  <si>
    <t>LPG (Kg)</t>
  </si>
  <si>
    <t>LSHS (KL)</t>
  </si>
  <si>
    <t>Mobile combustion</t>
  </si>
  <si>
    <t>2024-25</t>
  </si>
  <si>
    <t>2023-24</t>
  </si>
  <si>
    <t>2022-23</t>
  </si>
  <si>
    <t>2021-22</t>
  </si>
  <si>
    <t>2020-21</t>
  </si>
  <si>
    <t>Petrol</t>
  </si>
  <si>
    <t>Vehicle</t>
  </si>
  <si>
    <t>Formulation</t>
  </si>
  <si>
    <t>R&amp;D</t>
  </si>
  <si>
    <t>Corporate</t>
  </si>
  <si>
    <t>Due to refrigerant &amp; CO2 type extinguishers refilled</t>
  </si>
  <si>
    <t>FY2021-22</t>
  </si>
  <si>
    <t>CO2 Type fire extinguisher refilled in nos</t>
  </si>
  <si>
    <t>Plant</t>
  </si>
  <si>
    <t>R22 (kg) refilled</t>
  </si>
  <si>
    <t>R-134a (kg) refilled</t>
  </si>
  <si>
    <t>R-407c (kg) refilled</t>
  </si>
  <si>
    <t>R-404a (kg) refilled</t>
  </si>
  <si>
    <t>R-410a (kg) refilled</t>
  </si>
  <si>
    <t>R-407a (kg) refilled</t>
  </si>
  <si>
    <t>R123 (kg) refilled</t>
  </si>
  <si>
    <t>R32 (kg) refilled</t>
  </si>
  <si>
    <t>2 Kg (nos)</t>
  </si>
  <si>
    <t>4.5 Kg (nos)</t>
  </si>
  <si>
    <t>9 Kg (nos)</t>
  </si>
  <si>
    <t>22.5 Kg (nos)</t>
  </si>
  <si>
    <t>6 Kg (nos)</t>
  </si>
  <si>
    <t>3 Kg (nos)</t>
  </si>
  <si>
    <t>1 Kg (nos)</t>
  </si>
  <si>
    <t>2.5 kg (nos)</t>
  </si>
  <si>
    <t>Taloja</t>
  </si>
  <si>
    <t>Mohol</t>
  </si>
  <si>
    <t>Emission factor (kg CO2)</t>
  </si>
  <si>
    <t>Emissions tCO2 e</t>
  </si>
  <si>
    <t>Total Emissions tCO2e</t>
  </si>
  <si>
    <t>FY2020-21</t>
  </si>
  <si>
    <t>FY2022-23</t>
  </si>
  <si>
    <t> 2</t>
  </si>
  <si>
    <t>0 </t>
  </si>
  <si>
    <t> 0</t>
  </si>
  <si>
    <t>4 </t>
  </si>
  <si>
    <t> 3</t>
  </si>
  <si>
    <t>Mahape</t>
  </si>
  <si>
    <t>02 </t>
  </si>
  <si>
    <t>3.5 Kg (nos)</t>
  </si>
  <si>
    <t> 5</t>
  </si>
  <si>
    <t> 1</t>
  </si>
  <si>
    <t>R152a (kg) refilled</t>
  </si>
  <si>
    <t>Scope 2 - Purchased electricity &amp; Renewables</t>
  </si>
  <si>
    <t>Kwh</t>
  </si>
  <si>
    <t>NRE</t>
  </si>
  <si>
    <t>RE</t>
  </si>
  <si>
    <t>Goa S7</t>
  </si>
  <si>
    <t>Goa S9</t>
  </si>
  <si>
    <t>Open Access</t>
  </si>
  <si>
    <t>Rooftop</t>
  </si>
  <si>
    <t>Energy GJ</t>
  </si>
  <si>
    <t xml:space="preserve">Emissions in TCO2 </t>
  </si>
  <si>
    <t>Energy Renewable (GJ) F22</t>
  </si>
  <si>
    <t>Energy Renewable (GJ) F21</t>
  </si>
  <si>
    <t>Energy Non Renewable (GJ) F22</t>
  </si>
  <si>
    <t>Energy Non Renewable (GJ) F21</t>
  </si>
  <si>
    <t>RE %</t>
  </si>
  <si>
    <t>SCOPE 1 CONSOLIDATED GHG EMISSIONS (tCO₂e)</t>
  </si>
  <si>
    <t>Emission Source</t>
  </si>
  <si>
    <t>Category</t>
  </si>
  <si>
    <t>FY 2024-25</t>
  </si>
  <si>
    <t>FY 2023-24</t>
  </si>
  <si>
    <t>FY 2022-23</t>
  </si>
  <si>
    <t>FY 2021-22</t>
  </si>
  <si>
    <t>FY 2020-21</t>
  </si>
  <si>
    <t>(tCO₂e)</t>
  </si>
  <si>
    <t>Stationary Combustion</t>
  </si>
  <si>
    <t>Scope 1</t>
  </si>
  <si>
    <t>N/A</t>
  </si>
  <si>
    <t>Mobile Combustion - HSD</t>
  </si>
  <si>
    <t>Mobile Combustion - Petrol</t>
  </si>
  <si>
    <t xml:space="preserve">  Mobile Combustion Subtotal</t>
  </si>
  <si>
    <t>Fugitive Emissions - Refrigerants</t>
  </si>
  <si>
    <t>Fugitive Emissions - CO₂ Extinguishers</t>
  </si>
  <si>
    <t xml:space="preserve">  Fugitive Emissions Subtotal</t>
  </si>
  <si>
    <t>TOTAL SCOPE 1 EMISSIONS</t>
  </si>
  <si>
    <t>Biogenic Emissions (reported separately)</t>
  </si>
  <si>
    <t>Biogenic</t>
  </si>
  <si>
    <t>Notes:</t>
  </si>
  <si>
    <t>IPCC 2006 Guidelines, AR6 GWPs (CH₄=27, N₂O=273). Refrigerant GWPs updated to AR6. N/A = Not calculated for that year.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</si>
</sst>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rgb="FFFFFFFF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i/>
      <sz val="9"/>
      <color rgb="FF80808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FFFFFF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left" wrapText="1"/>
    </xf>
    <xf numFmtId="1" fontId="0" fillId="4" borderId="1" xfId="0" applyNumberFormat="1" applyFill="1" applyBorder="1" applyAlignment="1">
      <alignment horizontal="center"/>
    </xf>
    <xf numFmtId="0" fontId="2" fillId="0" borderId="1" xfId="0" applyFont="1" applyBorder="1" applyAlignment="1">
      <alignment horizontal="left"/>
    </xf>
    <xf numFmtId="165" fontId="7" fillId="0" borderId="1" xfId="0" applyNumberFormat="1" applyFont="1" applyBorder="1" applyAlignment="1">
      <alignment horizontal="center" wrapText="1"/>
    </xf>
    <xf numFmtId="0" fontId="2" fillId="0" borderId="0" xfId="0" applyFont="1"/>
    <xf numFmtId="0" fontId="0" fillId="5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" fontId="7" fillId="4" borderId="1" xfId="0" applyNumberFormat="1" applyFont="1" applyFill="1" applyBorder="1" applyAlignment="1">
      <alignment horizontal="center" wrapText="1"/>
    </xf>
    <xf numFmtId="1" fontId="0" fillId="5" borderId="1" xfId="0" applyNumberFormat="1" applyFill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" fontId="7" fillId="4" borderId="1" xfId="0" applyNumberFormat="1" applyFont="1" applyFill="1" applyBorder="1" applyAlignment="1">
      <alignment horizontal="center"/>
    </xf>
    <xf numFmtId="165" fontId="7" fillId="5" borderId="1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2" fontId="0" fillId="0" borderId="0" xfId="0" applyNumberFormat="1"/>
    <xf numFmtId="0" fontId="4" fillId="7" borderId="0" xfId="0" applyFont="1" applyFill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6" fillId="7" borderId="1" xfId="0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 wrapText="1"/>
    </xf>
    <xf numFmtId="0" fontId="7" fillId="8" borderId="1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/>
    </xf>
    <xf numFmtId="164" fontId="7" fillId="7" borderId="1" xfId="0" applyNumberFormat="1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164" fontId="7" fillId="8" borderId="1" xfId="0" applyNumberFormat="1" applyFont="1" applyFill="1" applyBorder="1" applyAlignment="1">
      <alignment horizontal="center" wrapText="1"/>
    </xf>
    <xf numFmtId="0" fontId="7" fillId="7" borderId="1" xfId="0" applyFont="1" applyFill="1" applyBorder="1" applyAlignment="1">
      <alignment horizontal="center"/>
    </xf>
    <xf numFmtId="0" fontId="7" fillId="8" borderId="1" xfId="0" applyFont="1" applyFill="1" applyBorder="1" applyAlignment="1">
      <alignment horizontal="center"/>
    </xf>
    <xf numFmtId="2" fontId="6" fillId="7" borderId="1" xfId="0" applyNumberFormat="1" applyFont="1" applyFill="1" applyBorder="1" applyAlignment="1">
      <alignment horizontal="center" wrapText="1"/>
    </xf>
    <xf numFmtId="0" fontId="2" fillId="4" borderId="0" xfId="0" applyFont="1" applyFill="1" applyAlignment="1">
      <alignment horizontal="left" indent="1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5" borderId="13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13" xfId="0" applyFill="1" applyBorder="1" applyAlignment="1">
      <alignment horizontal="center" wrapText="1"/>
    </xf>
    <xf numFmtId="0" fontId="0" fillId="5" borderId="15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2" borderId="0" xfId="0" applyFill="1"/>
    <xf numFmtId="0" fontId="6" fillId="0" borderId="17" xfId="0" applyFont="1" applyBorder="1"/>
    <xf numFmtId="0" fontId="6" fillId="0" borderId="18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0" xfId="0" applyFont="1" applyBorder="1"/>
    <xf numFmtId="0" fontId="7" fillId="5" borderId="19" xfId="0" applyFont="1" applyFill="1" applyBorder="1"/>
    <xf numFmtId="0" fontId="7" fillId="0" borderId="20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2" xfId="0" applyFont="1" applyBorder="1"/>
    <xf numFmtId="0" fontId="7" fillId="5" borderId="21" xfId="0" applyFont="1" applyFill="1" applyBorder="1"/>
    <xf numFmtId="0" fontId="7" fillId="0" borderId="2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14" xfId="0" applyFont="1" applyBorder="1"/>
    <xf numFmtId="0" fontId="7" fillId="0" borderId="14" xfId="0" applyFont="1" applyBorder="1" applyAlignment="1">
      <alignment horizontal="center"/>
    </xf>
    <xf numFmtId="0" fontId="7" fillId="5" borderId="21" xfId="0" applyFont="1" applyFill="1" applyBorder="1" applyAlignment="1">
      <alignment wrapText="1"/>
    </xf>
    <xf numFmtId="0" fontId="0" fillId="0" borderId="22" xfId="0" applyBorder="1"/>
    <xf numFmtId="0" fontId="0" fillId="0" borderId="1" xfId="0" applyBorder="1"/>
    <xf numFmtId="0" fontId="0" fillId="0" borderId="14" xfId="0" applyBorder="1"/>
    <xf numFmtId="0" fontId="7" fillId="5" borderId="23" xfId="0" applyFont="1" applyFill="1" applyBorder="1"/>
    <xf numFmtId="0" fontId="0" fillId="0" borderId="24" xfId="0" applyBorder="1"/>
    <xf numFmtId="0" fontId="0" fillId="0" borderId="16" xfId="0" applyBorder="1"/>
    <xf numFmtId="0" fontId="0" fillId="0" borderId="25" xfId="0" applyBorder="1"/>
    <xf numFmtId="0" fontId="2" fillId="0" borderId="26" xfId="0" applyFont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center" vertical="center"/>
    </xf>
    <xf numFmtId="0" fontId="11" fillId="8" borderId="1" xfId="0" applyFont="1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center"/>
    </xf>
    <xf numFmtId="0" fontId="0" fillId="9" borderId="1" xfId="0" applyFill="1" applyBorder="1" applyAlignment="1">
      <alignment horizontal="center"/>
    </xf>
    <xf numFmtId="0" fontId="12" fillId="7" borderId="1" xfId="0" applyFont="1" applyFill="1" applyBorder="1" applyAlignment="1">
      <alignment horizontal="center" wrapText="1"/>
    </xf>
    <xf numFmtId="0" fontId="11" fillId="7" borderId="1" xfId="0" applyFont="1" applyFill="1" applyBorder="1" applyAlignment="1" applyProtection="1">
      <alignment horizontal="center"/>
      <protection locked="0"/>
    </xf>
    <xf numFmtId="0" fontId="11" fillId="9" borderId="1" xfId="0" applyFont="1" applyFill="1" applyBorder="1" applyAlignment="1" applyProtection="1">
      <alignment horizontal="center"/>
      <protection locked="0"/>
    </xf>
    <xf numFmtId="0" fontId="0" fillId="5" borderId="0" xfId="0" applyFill="1"/>
    <xf numFmtId="0" fontId="12" fillId="7" borderId="1" xfId="0" applyFont="1" applyFill="1" applyBorder="1" applyAlignment="1">
      <alignment horizontal="center" vertical="center" wrapText="1"/>
    </xf>
    <xf numFmtId="10" fontId="0" fillId="0" borderId="0" xfId="1" applyNumberFormat="1" applyFont="1"/>
    <xf numFmtId="9" fontId="0" fillId="0" borderId="0" xfId="1" applyFont="1"/>
    <xf numFmtId="2" fontId="0" fillId="7" borderId="1" xfId="0" applyNumberFormat="1" applyFill="1" applyBorder="1" applyAlignment="1">
      <alignment horizontal="center"/>
    </xf>
    <xf numFmtId="2" fontId="4" fillId="10" borderId="1" xfId="0" applyNumberFormat="1" applyFont="1" applyFill="1" applyBorder="1" applyAlignment="1">
      <alignment horizontal="center"/>
    </xf>
    <xf numFmtId="10" fontId="0" fillId="9" borderId="1" xfId="1" applyNumberFormat="1" applyFont="1" applyFill="1" applyBorder="1" applyAlignment="1">
      <alignment horizontal="center"/>
    </xf>
    <xf numFmtId="10" fontId="0" fillId="0" borderId="0" xfId="1" applyNumberFormat="1" applyFont="1" applyAlignment="1">
      <alignment horizontal="center"/>
    </xf>
    <xf numFmtId="0" fontId="12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/>
    </xf>
    <xf numFmtId="0" fontId="11" fillId="2" borderId="1" xfId="0" applyFont="1" applyFill="1" applyBorder="1" applyAlignment="1" applyProtection="1">
      <alignment horizontal="center"/>
      <protection locked="0"/>
    </xf>
    <xf numFmtId="0" fontId="11" fillId="7" borderId="0" xfId="0" applyFont="1" applyFill="1" applyAlignment="1" applyProtection="1">
      <alignment horizontal="center"/>
      <protection locked="0"/>
    </xf>
    <xf numFmtId="0" fontId="0" fillId="11" borderId="0" xfId="0" applyFill="1"/>
    <xf numFmtId="0" fontId="0" fillId="3" borderId="0" xfId="0" applyFill="1"/>
    <xf numFmtId="0" fontId="0" fillId="0" borderId="27" xfId="0" applyBorder="1"/>
    <xf numFmtId="0" fontId="0" fillId="0" borderId="7" xfId="0" applyBorder="1"/>
    <xf numFmtId="0" fontId="2" fillId="0" borderId="22" xfId="0" applyFont="1" applyBorder="1"/>
    <xf numFmtId="0" fontId="4" fillId="0" borderId="22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6" fillId="0" borderId="22" xfId="0" applyFont="1" applyBorder="1" applyAlignment="1">
      <alignment horizontal="left" wrapText="1"/>
    </xf>
    <xf numFmtId="0" fontId="2" fillId="0" borderId="22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7" fillId="0" borderId="0" xfId="0" applyNumberFormat="1" applyFont="1" applyAlignment="1">
      <alignment horizontal="center" wrapText="1"/>
    </xf>
    <xf numFmtId="0" fontId="10" fillId="14" borderId="1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/>
    </xf>
    <xf numFmtId="4" fontId="0" fillId="0" borderId="1" xfId="0" applyNumberFormat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4" fontId="2" fillId="13" borderId="1" xfId="0" applyNumberFormat="1" applyFont="1" applyFill="1" applyBorder="1" applyAlignment="1">
      <alignment horizontal="center"/>
    </xf>
    <xf numFmtId="0" fontId="7" fillId="13" borderId="16" xfId="0" applyFont="1" applyFill="1" applyBorder="1" applyAlignment="1">
      <alignment horizontal="center"/>
    </xf>
    <xf numFmtId="4" fontId="13" fillId="13" borderId="16" xfId="0" applyNumberFormat="1" applyFont="1" applyFill="1" applyBorder="1" applyAlignment="1">
      <alignment horizontal="center"/>
    </xf>
    <xf numFmtId="0" fontId="16" fillId="13" borderId="16" xfId="0" applyFont="1" applyFill="1" applyBorder="1" applyAlignment="1">
      <alignment horizontal="center"/>
    </xf>
    <xf numFmtId="0" fontId="7" fillId="16" borderId="13" xfId="0" applyFont="1" applyFill="1" applyBorder="1"/>
    <xf numFmtId="0" fontId="22" fillId="13" borderId="13" xfId="0" applyFont="1" applyFill="1" applyBorder="1"/>
    <xf numFmtId="0" fontId="23" fillId="13" borderId="15" xfId="0" applyFont="1" applyFill="1" applyBorder="1"/>
    <xf numFmtId="4" fontId="0" fillId="0" borderId="14" xfId="0" applyNumberFormat="1" applyBorder="1" applyAlignment="1">
      <alignment horizontal="center"/>
    </xf>
    <xf numFmtId="4" fontId="2" fillId="13" borderId="14" xfId="0" applyNumberFormat="1" applyFont="1" applyFill="1" applyBorder="1" applyAlignment="1">
      <alignment horizontal="center"/>
    </xf>
    <xf numFmtId="0" fontId="16" fillId="0" borderId="14" xfId="0" applyFont="1" applyBorder="1" applyAlignment="1">
      <alignment horizontal="center"/>
    </xf>
    <xf numFmtId="4" fontId="22" fillId="13" borderId="14" xfId="0" applyNumberFormat="1" applyFont="1" applyFill="1" applyBorder="1" applyAlignment="1">
      <alignment horizontal="center"/>
    </xf>
    <xf numFmtId="0" fontId="16" fillId="13" borderId="25" xfId="0" applyFont="1" applyFill="1" applyBorder="1" applyAlignment="1">
      <alignment horizontal="center"/>
    </xf>
    <xf numFmtId="0" fontId="0" fillId="0" borderId="29" xfId="0" applyBorder="1"/>
    <xf numFmtId="0" fontId="0" fillId="0" borderId="28" xfId="0" applyBorder="1"/>
    <xf numFmtId="0" fontId="0" fillId="0" borderId="11" xfId="0" applyBorder="1"/>
    <xf numFmtId="0" fontId="0" fillId="0" borderId="12" xfId="0" applyBorder="1"/>
    <xf numFmtId="0" fontId="15" fillId="15" borderId="8" xfId="0" applyFont="1" applyFill="1" applyBorder="1"/>
    <xf numFmtId="0" fontId="0" fillId="15" borderId="9" xfId="0" applyFill="1" applyBorder="1"/>
    <xf numFmtId="4" fontId="15" fillId="15" borderId="9" xfId="0" applyNumberFormat="1" applyFont="1" applyFill="1" applyBorder="1" applyAlignment="1">
      <alignment horizontal="center"/>
    </xf>
    <xf numFmtId="4" fontId="15" fillId="15" borderId="10" xfId="0" applyNumberFormat="1" applyFont="1" applyFill="1" applyBorder="1" applyAlignment="1">
      <alignment horizontal="center"/>
    </xf>
    <xf numFmtId="0" fontId="18" fillId="15" borderId="30" xfId="0" applyFont="1" applyFill="1" applyBorder="1" applyAlignment="1">
      <alignment horizontal="center"/>
    </xf>
    <xf numFmtId="0" fontId="18" fillId="15" borderId="31" xfId="0" applyFont="1" applyFill="1" applyBorder="1" applyAlignment="1">
      <alignment horizontal="center"/>
    </xf>
    <xf numFmtId="0" fontId="18" fillId="3" borderId="31" xfId="0" applyFont="1" applyFill="1" applyBorder="1" applyAlignment="1">
      <alignment horizontal="center"/>
    </xf>
    <xf numFmtId="0" fontId="18" fillId="3" borderId="32" xfId="0" applyFont="1" applyFill="1" applyBorder="1" applyAlignment="1">
      <alignment horizontal="center"/>
    </xf>
    <xf numFmtId="0" fontId="2" fillId="12" borderId="11" xfId="0" applyFont="1" applyFill="1" applyBorder="1"/>
    <xf numFmtId="0" fontId="7" fillId="12" borderId="7" xfId="0" applyFont="1" applyFill="1" applyBorder="1" applyAlignment="1">
      <alignment horizontal="center"/>
    </xf>
    <xf numFmtId="4" fontId="0" fillId="12" borderId="7" xfId="0" applyNumberFormat="1" applyFill="1" applyBorder="1" applyAlignment="1">
      <alignment horizontal="center"/>
    </xf>
    <xf numFmtId="0" fontId="16" fillId="12" borderId="7" xfId="0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/>
    </xf>
    <xf numFmtId="0" fontId="0" fillId="15" borderId="15" xfId="0" applyFill="1" applyBorder="1"/>
    <xf numFmtId="0" fontId="0" fillId="15" borderId="16" xfId="0" applyFill="1" applyBorder="1"/>
    <xf numFmtId="0" fontId="14" fillId="15" borderId="16" xfId="0" applyFont="1" applyFill="1" applyBorder="1" applyAlignment="1">
      <alignment horizontal="center"/>
    </xf>
    <xf numFmtId="0" fontId="14" fillId="15" borderId="25" xfId="0" applyFont="1" applyFill="1" applyBorder="1" applyAlignment="1">
      <alignment horizontal="center"/>
    </xf>
    <xf numFmtId="0" fontId="24" fillId="0" borderId="0" xfId="0" applyFont="1"/>
    <xf numFmtId="0" fontId="17" fillId="0" borderId="0" xfId="0" applyFont="1"/>
    <xf numFmtId="0" fontId="0" fillId="2" borderId="2" xfId="0" applyFill="1" applyBorder="1" applyAlignment="1">
      <alignment horizontal="center" wrapText="1"/>
    </xf>
    <xf numFmtId="0" fontId="4" fillId="7" borderId="4" xfId="0" applyFont="1" applyFill="1" applyBorder="1" applyAlignment="1">
      <alignment horizontal="center"/>
    </xf>
    <xf numFmtId="0" fontId="4" fillId="7" borderId="5" xfId="0" applyFont="1" applyFill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0" fontId="4" fillId="8" borderId="6" xfId="0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microsoft.com/office/2017/10/relationships/person" Target="persons/person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MER_TENDER_30.04.0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econ%20Tender%20May%2003_16.05.03-Delh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w014\&#12525;&#12540;&#12474;&#38306;&#36899;\Documents%20and%20Settings\&#20117;&#19978;&#21331;&#20063;\Local%20Settings\Temporary%20Internet%20Files\Content.IE5\K9UZ0XYJ\&#21407;&#20385;&#3492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filesrv000\Accenture\Client%20Engagements\LUPIN\Design\Monthwise%20Demand%20Forecast_Ceph\Demand%20Forecasting%20Tool%20for%20Lupin%20v1.0_ceph_Oct'12_updated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filesrv000\ApiProj\Poonam\Aniket\LRP%20Aug%2013\CTS\Demand%20Forecasting%20Tool_v3\Demand%20Forecasting%20Tool\LRP_Demand_forecasting_tool_v3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cfilesrv000\BfgProj\API-1\GOPAL\gws\MISREPO\MIS%2009-10\GTB\P&amp;L\P&amp;L%20YTD%20June-GTB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kcFileSrv000\Bfgproj\Corporate\Revenue%20Budget\2016-17\Overseas\Mexico\Manufacturing%20Budget%20Template%2016-17%20-%20Grin%20-%20Mexico%20-%20VDec2115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yowasv7\KEIRI\Documents%20and%20Settings\Administrator\Local%20Settings\Temporary%20Internet%20Files\Content.Outlook\9OK7GJ8X\&#20013;&#26399;&#35336;&#30011;&#12487;&#12540;&#12479;%20(4)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umfilesrv000\Accenture\Client%20Engagements\LUPIN\Design\Demand%20Planning\Demand%20Forecasting%20Tool%20for%20Lupin%20v1%202_non%20ceph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upinworld-my.sharepoint.com/API-1/GOPAL/gws/MISREPO/MIS%2009-10/GTB/P&amp;L/P&amp;L%20YTD%20June-GTB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ff797e7e839ca2ea/Desktop/Glenmark/calculator_tool-epa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upinworld-my.sharepoint.com/Mis/FY1213/MIS%2012-13/Working/Inventory%20Report%202012-13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wcindia-my.sharepoint.com/projects/Defra%20GHG%20Conversion%20Factors/2018%20Update/Electricity/UK%20Elec/GHG%20CF_UK%20Electricity_2018_MA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es"/>
      <sheetName val="EFC"/>
      <sheetName val="Sheet1"/>
      <sheetName val="Master"/>
      <sheetName val="Headcount Master"/>
      <sheetName val="Dropdown Master"/>
      <sheetName val="Sheet3"/>
      <sheetName val="Cust sustainability"/>
      <sheetName val="High Vs Low Qty Customer"/>
      <sheetName val="Country billing desti list"/>
      <sheetName val="Cust sustainability B19"/>
      <sheetName val="Customer wise FY19"/>
      <sheetName val="Sale Qty FY18"/>
      <sheetName val="Sale Qty FY17"/>
      <sheetName val="Sale Qty FY19"/>
      <sheetName val="Qty Plot"/>
      <sheetName val="Sales Q FY19"/>
      <sheetName val="Sales Q FY18"/>
      <sheetName val="Sales Q FY17"/>
      <sheetName val="GC Compare"/>
      <sheetName val="GC FY19"/>
      <sheetName val="GC FY18"/>
      <sheetName val="GC FY17"/>
      <sheetName val="Margin Compare"/>
      <sheetName val="D Country wise Margin"/>
      <sheetName val="B Country wise Margin"/>
      <sheetName val="Sheet2"/>
      <sheetName val="Customer wise FY18"/>
      <sheetName val="Cust fetching"/>
      <sheetName val="NR Compare"/>
      <sheetName val="NR FY19"/>
      <sheetName val="NR FY18"/>
      <sheetName val="NR FY17"/>
      <sheetName val="MGN Compare"/>
      <sheetName val="MGN FY17"/>
      <sheetName val="MGN FY18"/>
      <sheetName val="MGN FY19"/>
      <sheetName val="APAC Breakup"/>
      <sheetName val="Sheet4"/>
      <sheetName val="Rough"/>
      <sheetName val="Sheet5"/>
      <sheetName val="Sheet8"/>
      <sheetName val="Sheet9"/>
      <sheetName val="Sales Database"/>
      <sheetName val="Sheet10"/>
      <sheetName val="Sheet7"/>
      <sheetName val="Key details Pull"/>
      <sheetName val="Sales Summary"/>
      <sheetName val="Sheet2 APIP"/>
      <sheetName val="Sheet4 Glob"/>
      <sheetName val="Compare1"/>
      <sheetName val="Rough 1"/>
      <sheetName val="Cust Mapping"/>
      <sheetName val="Sheet6"/>
      <sheetName val="Terty List"/>
      <sheetName val="Cntry Ttry mapping"/>
      <sheetName val="Country Cd"/>
      <sheetName val="Stage"/>
      <sheetName val="Cost sheet"/>
      <sheetName val="FSA"/>
      <sheetName val="Data_Detail"/>
      <sheetName val="Data_Summary"/>
      <sheetName val="Reference"/>
      <sheetName val="Reference shee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SP10%"/>
      <sheetName val="MRSP12%"/>
      <sheetName val="Format 1"/>
      <sheetName val="FORM 4"/>
      <sheetName val="AgreedRates Optin I"/>
      <sheetName val="BulkCost"/>
      <sheetName val="COPA"/>
      <sheetName val="Tarifs 99 bruts"/>
      <sheetName val="VOL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原価計算表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er Master"/>
      <sheetName val="Dimensions and Hierarchy"/>
      <sheetName val="Hierarchy Data"/>
      <sheetName val="Sales &amp; Promotion History"/>
      <sheetName val="Flat Structure"/>
      <sheetName val="Sales &amp; Promotion"/>
      <sheetName val="Sales Tab"/>
      <sheetName val="Promo Tab"/>
      <sheetName val="Outlier Tab"/>
      <sheetName val="Forcasting Level"/>
      <sheetName val="Forecast Tab"/>
      <sheetName val="Compiled"/>
      <sheetName val="Growth Rates"/>
      <sheetName val="Market Factors 3 months"/>
      <sheetName val="Final Consensus Demand"/>
    </sheetNames>
    <sheetDataSet>
      <sheetData sheetId="0"/>
      <sheetData sheetId="1">
        <row r="1">
          <cell r="AD1">
            <v>0.4</v>
          </cell>
          <cell r="AJ1">
            <v>0.3</v>
          </cell>
        </row>
        <row r="2">
          <cell r="A2" t="str">
            <v>Dimension1</v>
          </cell>
          <cell r="H2">
            <v>0</v>
          </cell>
          <cell r="I2" t="str">
            <v>Category</v>
          </cell>
          <cell r="J2" t="str">
            <v>Product</v>
          </cell>
          <cell r="K2" t="str">
            <v>SKU</v>
          </cell>
          <cell r="L2">
            <v>0</v>
          </cell>
          <cell r="M2">
            <v>0</v>
          </cell>
          <cell r="N2" t="str">
            <v>Global</v>
          </cell>
          <cell r="O2" t="str">
            <v>US</v>
          </cell>
          <cell r="P2">
            <v>0</v>
          </cell>
          <cell r="Q2">
            <v>0</v>
          </cell>
          <cell r="R2" t="str">
            <v>India</v>
          </cell>
          <cell r="S2" t="str">
            <v>US Warehouse</v>
          </cell>
          <cell r="T2">
            <v>0</v>
          </cell>
          <cell r="U2" t="str">
            <v>Year</v>
          </cell>
          <cell r="V2" t="str">
            <v>Year</v>
          </cell>
          <cell r="W2" t="str">
            <v>Month</v>
          </cell>
          <cell r="X2">
            <v>0</v>
          </cell>
        </row>
        <row r="3">
          <cell r="A3" t="str">
            <v>Dimension2</v>
          </cell>
          <cell r="H3" t="str">
            <v>Dimension1_Level 1</v>
          </cell>
          <cell r="I3" t="str">
            <v>Dimension1_Level 2</v>
          </cell>
          <cell r="J3" t="str">
            <v>Dimension1_Level 3</v>
          </cell>
          <cell r="K3" t="str">
            <v>Dimension1_Level 4</v>
          </cell>
          <cell r="L3" t="str">
            <v>Dimension2_Level 1</v>
          </cell>
          <cell r="M3" t="str">
            <v>Dimension2_Level 2</v>
          </cell>
          <cell r="N3" t="str">
            <v>Dimension2_Level 3</v>
          </cell>
          <cell r="O3" t="str">
            <v>Dimension2_Level 4</v>
          </cell>
          <cell r="P3" t="str">
            <v>Dimension3_Level 1</v>
          </cell>
          <cell r="Q3" t="str">
            <v>Dimension3_Level 2</v>
          </cell>
          <cell r="R3" t="str">
            <v>Dimension3_Level 3</v>
          </cell>
          <cell r="S3" t="str">
            <v>Dimension3_Level 4</v>
          </cell>
          <cell r="T3" t="str">
            <v>Dimension4_Level 1</v>
          </cell>
          <cell r="U3" t="str">
            <v>Dimension4_Level 2</v>
          </cell>
          <cell r="V3" t="str">
            <v>Dimension4_Level 3</v>
          </cell>
          <cell r="W3" t="str">
            <v>Dimension4_Level 4</v>
          </cell>
        </row>
        <row r="4">
          <cell r="A4" t="str">
            <v>Dimension3</v>
          </cell>
          <cell r="H4" t="str">
            <v>a</v>
          </cell>
          <cell r="I4" t="str">
            <v>Generic</v>
          </cell>
          <cell r="J4" t="str">
            <v>Ceph</v>
          </cell>
          <cell r="K4" t="str">
            <v>CEFDINIR FOR ORAL SUSP USP 250MG/5ML 60ML</v>
          </cell>
          <cell r="L4" t="str">
            <v>a</v>
          </cell>
          <cell r="M4" t="str">
            <v>a</v>
          </cell>
          <cell r="N4" t="str">
            <v>Global</v>
          </cell>
          <cell r="O4" t="str">
            <v>US</v>
          </cell>
          <cell r="P4" t="str">
            <v>a</v>
          </cell>
          <cell r="Q4" t="str">
            <v>a</v>
          </cell>
          <cell r="R4" t="str">
            <v>SS</v>
          </cell>
          <cell r="S4" t="str">
            <v>All</v>
          </cell>
          <cell r="T4" t="str">
            <v>a</v>
          </cell>
          <cell r="U4" t="str">
            <v>Y09</v>
          </cell>
          <cell r="V4" t="str">
            <v>Y09</v>
          </cell>
          <cell r="W4" t="str">
            <v>Y09M01</v>
          </cell>
        </row>
        <row r="5">
          <cell r="A5" t="str">
            <v>Dimension4</v>
          </cell>
          <cell r="H5">
            <v>0</v>
          </cell>
          <cell r="I5">
            <v>0</v>
          </cell>
          <cell r="J5">
            <v>0</v>
          </cell>
          <cell r="K5" t="str">
            <v>CEPHALEXIN CAPSULE USP 500MG 100CT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 t="str">
            <v>Y10</v>
          </cell>
          <cell r="V5" t="str">
            <v>Y10</v>
          </cell>
          <cell r="W5" t="str">
            <v>Y09M02</v>
          </cell>
        </row>
        <row r="6">
          <cell r="H6">
            <v>0</v>
          </cell>
          <cell r="I6">
            <v>0</v>
          </cell>
          <cell r="J6">
            <v>0</v>
          </cell>
          <cell r="K6" t="str">
            <v>CEFUROXIME AXETIL TABLETS USP 500MG 20CT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 t="str">
            <v>Y11</v>
          </cell>
          <cell r="V6" t="str">
            <v>Y11</v>
          </cell>
          <cell r="W6" t="str">
            <v>Y09M03</v>
          </cell>
        </row>
        <row r="7">
          <cell r="H7">
            <v>0</v>
          </cell>
          <cell r="I7">
            <v>0</v>
          </cell>
          <cell r="J7">
            <v>0</v>
          </cell>
          <cell r="K7" t="str">
            <v>CEPHALEXIN ORAL SUSP USP 250MG/5ML 100ML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 t="str">
            <v>Y12</v>
          </cell>
          <cell r="V7" t="str">
            <v>Y12</v>
          </cell>
          <cell r="W7" t="str">
            <v>Y09M04</v>
          </cell>
        </row>
        <row r="8">
          <cell r="H8">
            <v>0</v>
          </cell>
          <cell r="I8">
            <v>0</v>
          </cell>
          <cell r="J8">
            <v>0</v>
          </cell>
          <cell r="K8" t="str">
            <v>CEPHALEXIN ORAL SUSP USP 250MG/5ML 200ML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 t="str">
            <v>Y13</v>
          </cell>
          <cell r="V8" t="str">
            <v>Y13</v>
          </cell>
          <cell r="W8" t="str">
            <v>Y09M05</v>
          </cell>
        </row>
        <row r="9">
          <cell r="H9">
            <v>0</v>
          </cell>
          <cell r="I9">
            <v>0</v>
          </cell>
          <cell r="J9">
            <v>0</v>
          </cell>
          <cell r="K9" t="str">
            <v>CEFDINIR CAPSULE USP 300MG 60CT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 t="str">
            <v>Y09M06</v>
          </cell>
        </row>
        <row r="10">
          <cell r="H10">
            <v>0</v>
          </cell>
          <cell r="I10">
            <v>0</v>
          </cell>
          <cell r="J10">
            <v>0</v>
          </cell>
          <cell r="K10" t="str">
            <v>CEFPROZIL ORAL SUSP USP 250MG/5ML 100ML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 t="str">
            <v>Y09M07</v>
          </cell>
        </row>
        <row r="11">
          <cell r="H11">
            <v>0</v>
          </cell>
          <cell r="I11">
            <v>0</v>
          </cell>
          <cell r="J11">
            <v>0</v>
          </cell>
          <cell r="K11" t="str">
            <v>CEFDINIR FOR ORAL SUSP USP 250MG/5ML 100ML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 t="str">
            <v>Y09M08</v>
          </cell>
        </row>
        <row r="12">
          <cell r="H12">
            <v>0</v>
          </cell>
          <cell r="I12">
            <v>0</v>
          </cell>
          <cell r="J12">
            <v>0</v>
          </cell>
          <cell r="K12" t="str">
            <v>CEFDINIR FOR ORAL SUSP USP 125MG/5ML 60ML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 t="str">
            <v>Y09M09</v>
          </cell>
        </row>
        <row r="13">
          <cell r="H13">
            <v>0</v>
          </cell>
          <cell r="I13">
            <v>0</v>
          </cell>
          <cell r="J13">
            <v>0</v>
          </cell>
          <cell r="K13" t="str">
            <v>CEFUROXIME AXETIL TABLETS USP 250MG 20CT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 t="str">
            <v>Y09M10</v>
          </cell>
          <cell r="X13">
            <v>0</v>
          </cell>
        </row>
        <row r="14">
          <cell r="H14">
            <v>0</v>
          </cell>
          <cell r="I14">
            <v>0</v>
          </cell>
          <cell r="J14">
            <v>0</v>
          </cell>
          <cell r="K14" t="str">
            <v>CEFDINIR FOR ORAL SUSP USP 125MG/5ML 100ML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 t="str">
            <v>Y09M11</v>
          </cell>
          <cell r="X14">
            <v>0</v>
          </cell>
        </row>
        <row r="15">
          <cell r="H15">
            <v>0</v>
          </cell>
          <cell r="I15">
            <v>0</v>
          </cell>
          <cell r="J15">
            <v>0</v>
          </cell>
          <cell r="K15" t="str">
            <v>CEFUROXIME AXETIL TABLETS USP 500MG 60CT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 t="str">
            <v>Y09M12</v>
          </cell>
          <cell r="X15">
            <v>0</v>
          </cell>
        </row>
        <row r="16">
          <cell r="H16">
            <v>0</v>
          </cell>
          <cell r="I16">
            <v>0</v>
          </cell>
          <cell r="J16">
            <v>0</v>
          </cell>
          <cell r="K16" t="str">
            <v>CEFUROXIME AXETIL TABLETS USP 250MG 60CT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 t="str">
            <v>Y10M01</v>
          </cell>
          <cell r="X16">
            <v>0</v>
          </cell>
        </row>
        <row r="17">
          <cell r="H17">
            <v>0</v>
          </cell>
          <cell r="I17">
            <v>0</v>
          </cell>
          <cell r="J17">
            <v>0</v>
          </cell>
          <cell r="K17" t="str">
            <v>CEPHALEXIN CAPSULE USP 500MG 500CT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 t="str">
            <v>Y10M02</v>
          </cell>
          <cell r="X17">
            <v>0</v>
          </cell>
        </row>
        <row r="18">
          <cell r="H18">
            <v>0</v>
          </cell>
          <cell r="I18">
            <v>0</v>
          </cell>
          <cell r="J18">
            <v>0</v>
          </cell>
          <cell r="K18" t="str">
            <v>CEPHALEXIN CAPSULE USP 250MG 100CT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 t="str">
            <v>Y10M03</v>
          </cell>
          <cell r="X18">
            <v>0</v>
          </cell>
        </row>
        <row r="19">
          <cell r="H19">
            <v>0</v>
          </cell>
          <cell r="I19">
            <v>0</v>
          </cell>
          <cell r="J19">
            <v>0</v>
          </cell>
          <cell r="K19" t="str">
            <v>CEFPROZIL ORAL SUSP USP 250MG/5ML 75ML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 t="str">
            <v>Y10M04</v>
          </cell>
          <cell r="X19">
            <v>0</v>
          </cell>
        </row>
        <row r="20">
          <cell r="H20">
            <v>0</v>
          </cell>
          <cell r="I20">
            <v>0</v>
          </cell>
          <cell r="J20">
            <v>0</v>
          </cell>
          <cell r="K20" t="str">
            <v>CEFADROXIL FOR ORAL SUSP 250MG/5ML 100ML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 t="str">
            <v>Y10M05</v>
          </cell>
          <cell r="X20">
            <v>0</v>
          </cell>
        </row>
        <row r="21">
          <cell r="H21">
            <v>0</v>
          </cell>
          <cell r="I21">
            <v>0</v>
          </cell>
          <cell r="J21">
            <v>0</v>
          </cell>
          <cell r="K21" t="str">
            <v>CEFPROZIL ORAL SUSP USP 125MG/5ML 100ML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 t="str">
            <v>Y10M06</v>
          </cell>
          <cell r="X21">
            <v>0</v>
          </cell>
        </row>
        <row r="22">
          <cell r="H22">
            <v>0</v>
          </cell>
          <cell r="I22">
            <v>0</v>
          </cell>
          <cell r="J22">
            <v>0</v>
          </cell>
          <cell r="K22" t="str">
            <v>CEFPROZIL TABLETS USP 500MG 50CT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 t="str">
            <v>Y10M07</v>
          </cell>
          <cell r="X22">
            <v>0</v>
          </cell>
        </row>
        <row r="23">
          <cell r="H23">
            <v>0</v>
          </cell>
          <cell r="I23">
            <v>0</v>
          </cell>
          <cell r="J23">
            <v>0</v>
          </cell>
          <cell r="K23" t="str">
            <v>CEFADROXIL CAPSULES USP 500MG 100CT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 t="str">
            <v>Y10M08</v>
          </cell>
          <cell r="X23">
            <v>0</v>
          </cell>
        </row>
        <row r="24">
          <cell r="H24">
            <v>0</v>
          </cell>
          <cell r="I24">
            <v>0</v>
          </cell>
          <cell r="J24">
            <v>0</v>
          </cell>
          <cell r="K24" t="str">
            <v>CEPHALEXIN ORAL SUSP USP 125MG/5ML 100ML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 t="str">
            <v>Y10M09</v>
          </cell>
          <cell r="X24">
            <v>0</v>
          </cell>
        </row>
        <row r="25">
          <cell r="H25">
            <v>0</v>
          </cell>
          <cell r="I25">
            <v>0</v>
          </cell>
          <cell r="J25">
            <v>0</v>
          </cell>
          <cell r="K25" t="str">
            <v>CEFADROXIL FOR ORAL SUSP 500MG/5ML 100ML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 t="str">
            <v>Y10M10</v>
          </cell>
          <cell r="X25">
            <v>0</v>
          </cell>
        </row>
        <row r="26">
          <cell r="H26">
            <v>0</v>
          </cell>
          <cell r="I26">
            <v>0</v>
          </cell>
          <cell r="J26">
            <v>0</v>
          </cell>
          <cell r="K26" t="str">
            <v>CEFPROZIL ORAL SUSP USP 250MG/5ML 50ML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 t="str">
            <v>Y10M11</v>
          </cell>
          <cell r="X26">
            <v>0</v>
          </cell>
        </row>
        <row r="27">
          <cell r="H27">
            <v>0</v>
          </cell>
          <cell r="I27">
            <v>0</v>
          </cell>
          <cell r="J27">
            <v>0</v>
          </cell>
          <cell r="K27" t="str">
            <v>CEFADROXIL CAPSULES USP 500MG 50CT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 t="str">
            <v>Y10M12</v>
          </cell>
          <cell r="X27">
            <v>0</v>
          </cell>
        </row>
        <row r="28">
          <cell r="H28">
            <v>0</v>
          </cell>
          <cell r="I28">
            <v>0</v>
          </cell>
          <cell r="J28">
            <v>0</v>
          </cell>
          <cell r="K28" t="str">
            <v>CEPHALEXIN ORAL SUSP USP 125/5ML 200ML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 t="str">
            <v>Y11M01</v>
          </cell>
          <cell r="X28">
            <v>0</v>
          </cell>
        </row>
        <row r="29">
          <cell r="H29">
            <v>0</v>
          </cell>
          <cell r="I29">
            <v>0</v>
          </cell>
          <cell r="J29">
            <v>0</v>
          </cell>
          <cell r="K29" t="str">
            <v>CEFPROZIL TABLETS USP 250MG 100CT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 t="str">
            <v>Y11M02</v>
          </cell>
          <cell r="X29">
            <v>0</v>
          </cell>
        </row>
        <row r="30">
          <cell r="H30">
            <v>0</v>
          </cell>
          <cell r="I30">
            <v>0</v>
          </cell>
          <cell r="J30">
            <v>0</v>
          </cell>
          <cell r="K30" t="str">
            <v>CEFPROZIL ORAL SUSP USP 125MG/5ML 75ML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 t="str">
            <v>Y11M03</v>
          </cell>
          <cell r="X30">
            <v>0</v>
          </cell>
        </row>
        <row r="31">
          <cell r="H31">
            <v>0</v>
          </cell>
          <cell r="I31">
            <v>0</v>
          </cell>
          <cell r="J31">
            <v>0</v>
          </cell>
          <cell r="K31" t="str">
            <v>CEFADROXIL FOR ORAL SUSP 500MG/5ML 75ML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 t="str">
            <v>Y11M04</v>
          </cell>
          <cell r="X31">
            <v>0</v>
          </cell>
        </row>
        <row r="32">
          <cell r="H32">
            <v>0</v>
          </cell>
          <cell r="I32">
            <v>0</v>
          </cell>
          <cell r="J32">
            <v>0</v>
          </cell>
          <cell r="K32" t="str">
            <v>CEFPROZIL ORAL SUSP USP 125MG/5ML 50ML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 t="str">
            <v>Y11M05</v>
          </cell>
          <cell r="X32">
            <v>0</v>
          </cell>
        </row>
        <row r="33">
          <cell r="H33">
            <v>0</v>
          </cell>
          <cell r="I33">
            <v>0</v>
          </cell>
          <cell r="J33">
            <v>0</v>
          </cell>
          <cell r="K33" t="str">
            <v>CEPHALEXIN CAPSULE USP 250MG 500CT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 t="str">
            <v>Y11M06</v>
          </cell>
          <cell r="X33">
            <v>0</v>
          </cell>
        </row>
        <row r="34"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 t="str">
            <v>Y11M07</v>
          </cell>
          <cell r="X34">
            <v>0</v>
          </cell>
        </row>
        <row r="35"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 t="str">
            <v>Y11M08</v>
          </cell>
          <cell r="X35">
            <v>0</v>
          </cell>
        </row>
        <row r="36"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 t="str">
            <v>Y11M09</v>
          </cell>
          <cell r="X36">
            <v>0</v>
          </cell>
        </row>
        <row r="37"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 t="str">
            <v>Y11M10</v>
          </cell>
          <cell r="X37">
            <v>0</v>
          </cell>
        </row>
        <row r="38"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 t="str">
            <v>Y11M11</v>
          </cell>
          <cell r="X38">
            <v>0</v>
          </cell>
        </row>
        <row r="39"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 t="str">
            <v>Y11M12</v>
          </cell>
          <cell r="X39">
            <v>0</v>
          </cell>
        </row>
        <row r="40"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 t="str">
            <v>Y12M01</v>
          </cell>
          <cell r="X40">
            <v>0</v>
          </cell>
        </row>
        <row r="41"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 t="str">
            <v>Y12M02</v>
          </cell>
          <cell r="X41">
            <v>0</v>
          </cell>
        </row>
        <row r="42"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 t="str">
            <v>Y12M03</v>
          </cell>
          <cell r="X42">
            <v>0</v>
          </cell>
        </row>
        <row r="43"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 t="str">
            <v>Y12M04</v>
          </cell>
          <cell r="X43">
            <v>0</v>
          </cell>
        </row>
        <row r="44"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 t="str">
            <v>Y12M05</v>
          </cell>
          <cell r="X44">
            <v>0</v>
          </cell>
        </row>
        <row r="45"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 t="str">
            <v>Y12M06</v>
          </cell>
          <cell r="X45">
            <v>0</v>
          </cell>
        </row>
        <row r="46"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 t="str">
            <v>Y12M07</v>
          </cell>
          <cell r="X46">
            <v>0</v>
          </cell>
        </row>
        <row r="47"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 t="str">
            <v>Y12M08</v>
          </cell>
          <cell r="X47">
            <v>0</v>
          </cell>
        </row>
        <row r="48"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 t="str">
            <v>Y12M09</v>
          </cell>
          <cell r="X48">
            <v>0</v>
          </cell>
        </row>
        <row r="49"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 t="str">
            <v>Y12M10</v>
          </cell>
          <cell r="X49">
            <v>0</v>
          </cell>
        </row>
        <row r="50"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 t="str">
            <v>Y12M11</v>
          </cell>
          <cell r="X50">
            <v>0</v>
          </cell>
        </row>
        <row r="51"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 t="str">
            <v>Y12M12</v>
          </cell>
          <cell r="X51">
            <v>0</v>
          </cell>
        </row>
        <row r="52"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 t="str">
            <v>Y13M01</v>
          </cell>
          <cell r="X52">
            <v>0</v>
          </cell>
        </row>
        <row r="53"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 t="str">
            <v>Y13M02</v>
          </cell>
          <cell r="X53">
            <v>0</v>
          </cell>
        </row>
        <row r="54"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 t="str">
            <v>Y13M03</v>
          </cell>
          <cell r="X54">
            <v>0</v>
          </cell>
        </row>
        <row r="55"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 t="str">
            <v>Y13M04</v>
          </cell>
          <cell r="X55">
            <v>0</v>
          </cell>
        </row>
        <row r="56"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 t="str">
            <v>Y13M05</v>
          </cell>
          <cell r="X56">
            <v>0</v>
          </cell>
        </row>
        <row r="57"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 t="str">
            <v>Y13M06</v>
          </cell>
          <cell r="X57">
            <v>0</v>
          </cell>
        </row>
        <row r="58"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 t="str">
            <v>Y13M07</v>
          </cell>
          <cell r="X58">
            <v>0</v>
          </cell>
        </row>
        <row r="59"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 t="str">
            <v>Y13M08</v>
          </cell>
          <cell r="X59">
            <v>0</v>
          </cell>
        </row>
        <row r="60"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 t="str">
            <v>Y13M09</v>
          </cell>
          <cell r="X60">
            <v>0</v>
          </cell>
        </row>
        <row r="61"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 t="str">
            <v>Y13M10</v>
          </cell>
          <cell r="X61">
            <v>0</v>
          </cell>
        </row>
        <row r="62"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 t="str">
            <v>Y13M11</v>
          </cell>
          <cell r="X62">
            <v>0</v>
          </cell>
        </row>
        <row r="63"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 t="str">
            <v>Y13M12</v>
          </cell>
          <cell r="X63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</row>
        <row r="65"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</row>
        <row r="66"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</row>
        <row r="67"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</row>
        <row r="68"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</row>
        <row r="69"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</row>
        <row r="70"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</row>
        <row r="71"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</row>
        <row r="72"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</row>
        <row r="73"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</row>
        <row r="74"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</row>
        <row r="75"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</row>
        <row r="76"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</row>
        <row r="77"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</row>
        <row r="78"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</row>
        <row r="79"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</row>
        <row r="80"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</row>
        <row r="81"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</row>
        <row r="82"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</row>
        <row r="83"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</row>
        <row r="84"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</row>
        <row r="85"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</row>
        <row r="86"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</row>
        <row r="87"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</row>
        <row r="88"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</row>
        <row r="89"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</row>
        <row r="90"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</row>
        <row r="91"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</row>
        <row r="92"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</row>
        <row r="93"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</row>
        <row r="94"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</row>
        <row r="95"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</row>
        <row r="96"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</row>
        <row r="97"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</row>
        <row r="98"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</row>
        <row r="99"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</row>
        <row r="100"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</row>
        <row r="101"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</row>
        <row r="102"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</row>
        <row r="103"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</row>
        <row r="104"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</row>
        <row r="105"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</row>
        <row r="106"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</row>
        <row r="107"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</row>
        <row r="108"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</row>
        <row r="109"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</row>
        <row r="110"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</row>
        <row r="111"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</row>
        <row r="112"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</row>
        <row r="113"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</row>
        <row r="114"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</row>
        <row r="115"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</row>
        <row r="116"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</row>
        <row r="117"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</row>
        <row r="118"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</row>
        <row r="119"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</row>
        <row r="120"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</row>
        <row r="121"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</row>
        <row r="122"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</row>
        <row r="123"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</row>
        <row r="124"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</row>
        <row r="125"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</row>
        <row r="126"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</row>
        <row r="127"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</row>
        <row r="128"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</row>
        <row r="129"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</row>
        <row r="130"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  <cell r="W130">
            <v>0</v>
          </cell>
          <cell r="X130">
            <v>0</v>
          </cell>
        </row>
        <row r="131"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</row>
        <row r="132"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  <cell r="W132">
            <v>0</v>
          </cell>
          <cell r="X132">
            <v>0</v>
          </cell>
        </row>
        <row r="133"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  <cell r="W133">
            <v>0</v>
          </cell>
          <cell r="X133">
            <v>0</v>
          </cell>
        </row>
        <row r="134"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</row>
        <row r="135"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</row>
        <row r="136"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</row>
        <row r="137"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</row>
        <row r="138"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</row>
        <row r="139"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</row>
        <row r="140"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</row>
        <row r="141"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</row>
        <row r="142"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</row>
        <row r="143"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</row>
        <row r="144"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  <cell r="W144">
            <v>0</v>
          </cell>
          <cell r="X144">
            <v>0</v>
          </cell>
        </row>
        <row r="145"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</row>
        <row r="146"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</row>
        <row r="147"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</row>
        <row r="148"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</row>
        <row r="149"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</row>
        <row r="150"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</row>
        <row r="151"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</row>
        <row r="152"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</row>
        <row r="153"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</row>
        <row r="154"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</row>
        <row r="155"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</row>
        <row r="156"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</row>
        <row r="157"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</row>
        <row r="158"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</row>
        <row r="159"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</row>
        <row r="160"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</row>
        <row r="161"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</row>
        <row r="162"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</row>
        <row r="163"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</row>
        <row r="164"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</row>
        <row r="165"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</row>
        <row r="166"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</row>
        <row r="167"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</row>
        <row r="168"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</row>
        <row r="169"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</row>
        <row r="170"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</row>
        <row r="171"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</row>
        <row r="172"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</row>
        <row r="173"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</row>
        <row r="174"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</row>
        <row r="175"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</row>
        <row r="176"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</row>
        <row r="177"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</row>
        <row r="178"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</row>
        <row r="179"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</row>
        <row r="180"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</row>
        <row r="181"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</row>
        <row r="182"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</row>
        <row r="183"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</row>
        <row r="184"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</row>
        <row r="185"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</row>
        <row r="186"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</row>
        <row r="187"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</row>
        <row r="188"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</row>
        <row r="189"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</row>
        <row r="190"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</row>
        <row r="191"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  <cell r="W191">
            <v>0</v>
          </cell>
          <cell r="X191">
            <v>0</v>
          </cell>
        </row>
        <row r="192"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</row>
        <row r="193"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</row>
        <row r="194"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</row>
        <row r="195"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</row>
        <row r="196"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</row>
        <row r="197"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0</v>
          </cell>
          <cell r="X197">
            <v>0</v>
          </cell>
        </row>
        <row r="198"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</row>
        <row r="199"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</row>
        <row r="200"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</row>
        <row r="201"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</row>
        <row r="202"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</row>
        <row r="203"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</row>
        <row r="204"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</row>
        <row r="205"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</row>
        <row r="206"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</row>
        <row r="207"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</row>
        <row r="208"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0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</row>
        <row r="209"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</row>
        <row r="210"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</row>
        <row r="211"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</row>
        <row r="212"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</row>
        <row r="213"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</row>
        <row r="214"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</row>
        <row r="215"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</row>
        <row r="216"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</row>
        <row r="217"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</row>
        <row r="218"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</row>
        <row r="219"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</row>
        <row r="220"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</row>
        <row r="221"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</row>
        <row r="222"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</row>
        <row r="223"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</row>
        <row r="224"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</row>
        <row r="225"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</row>
        <row r="226"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</row>
        <row r="227"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</row>
        <row r="228"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</row>
        <row r="229"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</row>
        <row r="230"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</row>
        <row r="231"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</row>
        <row r="232"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  <cell r="W232">
            <v>0</v>
          </cell>
          <cell r="X232">
            <v>0</v>
          </cell>
        </row>
        <row r="233"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</row>
        <row r="234"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</row>
        <row r="235"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</row>
        <row r="236"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</row>
        <row r="237"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  <cell r="W237">
            <v>0</v>
          </cell>
          <cell r="X237">
            <v>0</v>
          </cell>
        </row>
        <row r="238"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</row>
        <row r="239"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  <cell r="W239">
            <v>0</v>
          </cell>
          <cell r="X239">
            <v>0</v>
          </cell>
        </row>
        <row r="240">
          <cell r="I240">
            <v>0</v>
          </cell>
          <cell r="J240">
            <v>0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</row>
        <row r="241">
          <cell r="I241">
            <v>0</v>
          </cell>
          <cell r="J241">
            <v>0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</row>
        <row r="242"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</row>
        <row r="243"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0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</row>
        <row r="244">
          <cell r="I244">
            <v>0</v>
          </cell>
          <cell r="J244">
            <v>0</v>
          </cell>
          <cell r="K244">
            <v>0</v>
          </cell>
          <cell r="L244">
            <v>0</v>
          </cell>
          <cell r="M244">
            <v>0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0</v>
          </cell>
          <cell r="U244">
            <v>0</v>
          </cell>
          <cell r="V244">
            <v>0</v>
          </cell>
          <cell r="W244">
            <v>0</v>
          </cell>
          <cell r="X244">
            <v>0</v>
          </cell>
        </row>
        <row r="245">
          <cell r="I245">
            <v>0</v>
          </cell>
          <cell r="J245">
            <v>0</v>
          </cell>
          <cell r="K245">
            <v>0</v>
          </cell>
          <cell r="L245">
            <v>0</v>
          </cell>
          <cell r="M245">
            <v>0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0</v>
          </cell>
          <cell r="U245">
            <v>0</v>
          </cell>
          <cell r="V245">
            <v>0</v>
          </cell>
          <cell r="W245">
            <v>0</v>
          </cell>
          <cell r="X245">
            <v>0</v>
          </cell>
        </row>
        <row r="246"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</row>
        <row r="247"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</row>
        <row r="248">
          <cell r="I248">
            <v>0</v>
          </cell>
          <cell r="J248">
            <v>0</v>
          </cell>
          <cell r="K248">
            <v>0</v>
          </cell>
          <cell r="L248">
            <v>0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0</v>
          </cell>
          <cell r="W248">
            <v>0</v>
          </cell>
          <cell r="X248">
            <v>0</v>
          </cell>
        </row>
        <row r="249"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</row>
        <row r="250"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0</v>
          </cell>
          <cell r="X250">
            <v>0</v>
          </cell>
        </row>
        <row r="251">
          <cell r="I251">
            <v>0</v>
          </cell>
          <cell r="J251">
            <v>0</v>
          </cell>
          <cell r="K251">
            <v>0</v>
          </cell>
          <cell r="L251">
            <v>0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</row>
        <row r="252">
          <cell r="I252">
            <v>0</v>
          </cell>
          <cell r="J252">
            <v>0</v>
          </cell>
          <cell r="K252">
            <v>0</v>
          </cell>
          <cell r="L252">
            <v>0</v>
          </cell>
          <cell r="M252">
            <v>0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0</v>
          </cell>
          <cell r="U252">
            <v>0</v>
          </cell>
          <cell r="V252">
            <v>0</v>
          </cell>
          <cell r="W252">
            <v>0</v>
          </cell>
          <cell r="X252">
            <v>0</v>
          </cell>
        </row>
        <row r="253">
          <cell r="I253">
            <v>0</v>
          </cell>
          <cell r="J253">
            <v>0</v>
          </cell>
          <cell r="K253">
            <v>0</v>
          </cell>
          <cell r="L253">
            <v>0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</row>
        <row r="254">
          <cell r="I254">
            <v>0</v>
          </cell>
          <cell r="J254">
            <v>0</v>
          </cell>
          <cell r="K254">
            <v>0</v>
          </cell>
          <cell r="L254">
            <v>0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</row>
        <row r="255">
          <cell r="I255">
            <v>0</v>
          </cell>
          <cell r="J255">
            <v>0</v>
          </cell>
          <cell r="K255">
            <v>0</v>
          </cell>
          <cell r="L255">
            <v>0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</row>
        <row r="256"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H6">
            <v>43362</v>
          </cell>
        </row>
      </sheetData>
      <sheetData sheetId="10">
        <row r="1">
          <cell r="E1">
            <v>0</v>
          </cell>
        </row>
        <row r="2">
          <cell r="A2" t="str">
            <v>SKU</v>
          </cell>
          <cell r="B2" t="str">
            <v>Country</v>
          </cell>
          <cell r="C2" t="str">
            <v>Channel</v>
          </cell>
          <cell r="D2" t="str">
            <v>Outlier Corrected Data Points</v>
          </cell>
          <cell r="E2" t="str">
            <v>Value</v>
          </cell>
          <cell r="F2" t="str">
            <v>Y09M01</v>
          </cell>
          <cell r="G2" t="str">
            <v>Y09M02</v>
          </cell>
          <cell r="H2" t="str">
            <v>Y09M03</v>
          </cell>
          <cell r="I2" t="str">
            <v>Y09M04</v>
          </cell>
          <cell r="J2" t="str">
            <v>Y09M05</v>
          </cell>
          <cell r="K2" t="str">
            <v>Y09M06</v>
          </cell>
          <cell r="L2" t="str">
            <v>Y09M07</v>
          </cell>
          <cell r="M2" t="str">
            <v>Y09M08</v>
          </cell>
          <cell r="N2" t="str">
            <v>Y09M09</v>
          </cell>
          <cell r="O2" t="str">
            <v>Y09M10</v>
          </cell>
          <cell r="P2" t="str">
            <v>Y09M11</v>
          </cell>
          <cell r="Q2" t="str">
            <v>Y09M12</v>
          </cell>
          <cell r="R2" t="str">
            <v>Y10M01</v>
          </cell>
          <cell r="S2" t="str">
            <v>Y10M02</v>
          </cell>
          <cell r="T2" t="str">
            <v>Y10M03</v>
          </cell>
          <cell r="U2" t="str">
            <v>Y10M04</v>
          </cell>
          <cell r="V2" t="str">
            <v>Y10M05</v>
          </cell>
          <cell r="W2" t="str">
            <v>Y10M06</v>
          </cell>
          <cell r="X2" t="str">
            <v>Y10M07</v>
          </cell>
          <cell r="Y2" t="str">
            <v>Y10M08</v>
          </cell>
          <cell r="Z2" t="str">
            <v>Y10M09</v>
          </cell>
          <cell r="AA2" t="str">
            <v>Y10M10</v>
          </cell>
          <cell r="AB2" t="str">
            <v>Y10M11</v>
          </cell>
          <cell r="AC2" t="str">
            <v>Y10M12</v>
          </cell>
          <cell r="AD2" t="str">
            <v>Y11M01</v>
          </cell>
          <cell r="AE2" t="str">
            <v>Y11M02</v>
          </cell>
          <cell r="AF2" t="str">
            <v>Y11M03</v>
          </cell>
          <cell r="AG2" t="str">
            <v>Y11M04</v>
          </cell>
          <cell r="AH2" t="str">
            <v>Y11M05</v>
          </cell>
          <cell r="AI2" t="str">
            <v>Y11M06</v>
          </cell>
          <cell r="AJ2" t="str">
            <v>Y11M07</v>
          </cell>
          <cell r="AK2" t="str">
            <v>Y11M08</v>
          </cell>
          <cell r="AL2" t="str">
            <v>Y11M09</v>
          </cell>
          <cell r="AM2" t="str">
            <v>Y11M10</v>
          </cell>
          <cell r="AN2" t="str">
            <v>Y11M11</v>
          </cell>
          <cell r="AO2" t="str">
            <v>Y11M12</v>
          </cell>
          <cell r="AP2" t="str">
            <v>Y12M01</v>
          </cell>
          <cell r="AQ2" t="str">
            <v>Y12M02</v>
          </cell>
          <cell r="AR2" t="str">
            <v>Y12M03</v>
          </cell>
          <cell r="AS2" t="str">
            <v>Y12M04</v>
          </cell>
          <cell r="AT2" t="str">
            <v>Y12M05</v>
          </cell>
          <cell r="AU2" t="str">
            <v>Y12M06</v>
          </cell>
          <cell r="AV2" t="str">
            <v>Y12M07</v>
          </cell>
          <cell r="AW2" t="str">
            <v>Y12M08</v>
          </cell>
          <cell r="AX2" t="str">
            <v>Y12M09</v>
          </cell>
          <cell r="AY2" t="str">
            <v>Y12M10</v>
          </cell>
          <cell r="AZ2" t="str">
            <v>Y12M11</v>
          </cell>
          <cell r="BA2" t="str">
            <v>Y12M12</v>
          </cell>
          <cell r="BB2" t="str">
            <v>Y13M01</v>
          </cell>
          <cell r="BC2" t="str">
            <v>Y13M02</v>
          </cell>
          <cell r="BD2" t="str">
            <v>Y13M03</v>
          </cell>
          <cell r="BE2" t="str">
            <v>Y13M04</v>
          </cell>
          <cell r="BF2" t="str">
            <v>Y13M05</v>
          </cell>
          <cell r="BG2" t="str">
            <v>Y13M06</v>
          </cell>
          <cell r="BH2" t="str">
            <v>Y13M07</v>
          </cell>
          <cell r="BI2" t="str">
            <v>Y13M08</v>
          </cell>
          <cell r="BJ2" t="str">
            <v>Y13M09</v>
          </cell>
          <cell r="BK2" t="str">
            <v>Y13M10</v>
          </cell>
          <cell r="BL2" t="str">
            <v>Y13M11</v>
          </cell>
          <cell r="BM2" t="str">
            <v>Y13M12</v>
          </cell>
          <cell r="BN2" t="str">
            <v>WMAPE</v>
          </cell>
          <cell r="BO2">
            <v>0</v>
          </cell>
          <cell r="BP2" t="str">
            <v>MAPE Min.</v>
          </cell>
          <cell r="BQ2" t="str">
            <v>Method</v>
          </cell>
          <cell r="BR2">
            <v>0</v>
          </cell>
          <cell r="BS2">
            <v>0</v>
          </cell>
          <cell r="BT2">
            <v>0</v>
          </cell>
          <cell r="BU2">
            <v>0</v>
          </cell>
          <cell r="BV2">
            <v>0</v>
          </cell>
          <cell r="BW2">
            <v>0</v>
          </cell>
          <cell r="BX2">
            <v>0</v>
          </cell>
          <cell r="BY2">
            <v>0</v>
          </cell>
          <cell r="BZ2">
            <v>0</v>
          </cell>
          <cell r="CA2">
            <v>0</v>
          </cell>
          <cell r="CB2">
            <v>0</v>
          </cell>
          <cell r="CC2">
            <v>0</v>
          </cell>
          <cell r="CD2">
            <v>0</v>
          </cell>
          <cell r="CE2">
            <v>0</v>
          </cell>
          <cell r="CF2">
            <v>0</v>
          </cell>
          <cell r="CG2">
            <v>0</v>
          </cell>
          <cell r="CH2">
            <v>0</v>
          </cell>
          <cell r="CI2">
            <v>0</v>
          </cell>
          <cell r="CJ2">
            <v>0</v>
          </cell>
          <cell r="CK2">
            <v>0</v>
          </cell>
          <cell r="CL2">
            <v>0</v>
          </cell>
          <cell r="CM2">
            <v>0</v>
          </cell>
          <cell r="CN2">
            <v>0</v>
          </cell>
          <cell r="CO2">
            <v>0</v>
          </cell>
          <cell r="CP2">
            <v>0</v>
          </cell>
          <cell r="CQ2">
            <v>0</v>
          </cell>
          <cell r="CR2">
            <v>0</v>
          </cell>
          <cell r="CS2">
            <v>0</v>
          </cell>
          <cell r="CT2">
            <v>0</v>
          </cell>
          <cell r="CU2">
            <v>0</v>
          </cell>
          <cell r="CV2">
            <v>0</v>
          </cell>
          <cell r="CW2">
            <v>0</v>
          </cell>
          <cell r="CX2">
            <v>0</v>
          </cell>
          <cell r="CY2">
            <v>0</v>
          </cell>
          <cell r="CZ2">
            <v>0</v>
          </cell>
          <cell r="DA2">
            <v>0</v>
          </cell>
          <cell r="DB2">
            <v>0</v>
          </cell>
          <cell r="DC2">
            <v>0</v>
          </cell>
          <cell r="DD2">
            <v>0</v>
          </cell>
          <cell r="DE2">
            <v>0</v>
          </cell>
          <cell r="DF2">
            <v>0</v>
          </cell>
          <cell r="DG2">
            <v>0</v>
          </cell>
          <cell r="DH2">
            <v>0</v>
          </cell>
          <cell r="DI2">
            <v>0</v>
          </cell>
          <cell r="DJ2">
            <v>0</v>
          </cell>
          <cell r="DK2">
            <v>0</v>
          </cell>
          <cell r="DL2">
            <v>0</v>
          </cell>
          <cell r="DM2">
            <v>0</v>
          </cell>
          <cell r="DN2">
            <v>0</v>
          </cell>
          <cell r="DO2">
            <v>0</v>
          </cell>
          <cell r="DP2">
            <v>0</v>
          </cell>
          <cell r="DQ2">
            <v>0</v>
          </cell>
          <cell r="DR2">
            <v>0</v>
          </cell>
          <cell r="DS2">
            <v>0</v>
          </cell>
          <cell r="DT2">
            <v>0</v>
          </cell>
          <cell r="DU2">
            <v>0</v>
          </cell>
          <cell r="DV2">
            <v>0</v>
          </cell>
          <cell r="DW2">
            <v>0</v>
          </cell>
          <cell r="DX2">
            <v>0</v>
          </cell>
          <cell r="DY2">
            <v>0</v>
          </cell>
          <cell r="DZ2">
            <v>0</v>
          </cell>
          <cell r="EA2">
            <v>0</v>
          </cell>
          <cell r="EB2">
            <v>0</v>
          </cell>
          <cell r="EC2">
            <v>0</v>
          </cell>
          <cell r="ED2">
            <v>0</v>
          </cell>
          <cell r="EE2">
            <v>0</v>
          </cell>
          <cell r="EF2">
            <v>0</v>
          </cell>
          <cell r="EG2">
            <v>0</v>
          </cell>
          <cell r="EH2">
            <v>0</v>
          </cell>
          <cell r="EI2">
            <v>0</v>
          </cell>
          <cell r="EJ2">
            <v>0</v>
          </cell>
          <cell r="EK2">
            <v>0</v>
          </cell>
          <cell r="EL2">
            <v>0</v>
          </cell>
          <cell r="EM2">
            <v>0</v>
          </cell>
          <cell r="EN2">
            <v>0</v>
          </cell>
          <cell r="EO2">
            <v>0</v>
          </cell>
          <cell r="EP2">
            <v>0</v>
          </cell>
          <cell r="EQ2">
            <v>0</v>
          </cell>
          <cell r="ER2">
            <v>0</v>
          </cell>
          <cell r="ES2">
            <v>0</v>
          </cell>
          <cell r="ET2">
            <v>0</v>
          </cell>
          <cell r="EU2">
            <v>0</v>
          </cell>
          <cell r="EV2">
            <v>0</v>
          </cell>
          <cell r="EW2">
            <v>0</v>
          </cell>
          <cell r="EX2">
            <v>0</v>
          </cell>
          <cell r="EY2">
            <v>0</v>
          </cell>
          <cell r="EZ2">
            <v>0</v>
          </cell>
          <cell r="FA2">
            <v>0</v>
          </cell>
          <cell r="FB2">
            <v>0</v>
          </cell>
          <cell r="FC2">
            <v>0</v>
          </cell>
          <cell r="FD2">
            <v>0</v>
          </cell>
          <cell r="FE2">
            <v>0</v>
          </cell>
          <cell r="FF2">
            <v>0</v>
          </cell>
          <cell r="FG2">
            <v>0</v>
          </cell>
          <cell r="FH2">
            <v>0</v>
          </cell>
          <cell r="FI2">
            <v>0</v>
          </cell>
          <cell r="FJ2">
            <v>0</v>
          </cell>
          <cell r="FK2">
            <v>0</v>
          </cell>
          <cell r="FL2">
            <v>0</v>
          </cell>
          <cell r="FM2">
            <v>0</v>
          </cell>
          <cell r="FN2">
            <v>0</v>
          </cell>
          <cell r="FO2">
            <v>0</v>
          </cell>
          <cell r="FP2">
            <v>0</v>
          </cell>
          <cell r="FQ2">
            <v>0</v>
          </cell>
          <cell r="FR2">
            <v>0</v>
          </cell>
          <cell r="FS2">
            <v>0</v>
          </cell>
          <cell r="FT2">
            <v>0</v>
          </cell>
          <cell r="FU2">
            <v>0</v>
          </cell>
          <cell r="FV2">
            <v>0</v>
          </cell>
          <cell r="FW2">
            <v>0</v>
          </cell>
          <cell r="FX2">
            <v>0</v>
          </cell>
          <cell r="FY2">
            <v>0</v>
          </cell>
          <cell r="FZ2">
            <v>0</v>
          </cell>
          <cell r="GA2">
            <v>0</v>
          </cell>
          <cell r="GB2">
            <v>0</v>
          </cell>
          <cell r="GC2">
            <v>0</v>
          </cell>
          <cell r="GD2">
            <v>0</v>
          </cell>
          <cell r="GE2">
            <v>0</v>
          </cell>
          <cell r="GF2">
            <v>0</v>
          </cell>
          <cell r="GG2">
            <v>0</v>
          </cell>
          <cell r="GH2">
            <v>0</v>
          </cell>
          <cell r="GI2">
            <v>0</v>
          </cell>
          <cell r="GJ2">
            <v>0</v>
          </cell>
          <cell r="GK2">
            <v>0</v>
          </cell>
          <cell r="GL2">
            <v>0</v>
          </cell>
          <cell r="GM2">
            <v>0</v>
          </cell>
          <cell r="GN2">
            <v>0</v>
          </cell>
          <cell r="GO2">
            <v>0</v>
          </cell>
          <cell r="GP2">
            <v>0</v>
          </cell>
          <cell r="GQ2">
            <v>0</v>
          </cell>
          <cell r="GR2">
            <v>0</v>
          </cell>
          <cell r="GS2">
            <v>0</v>
          </cell>
          <cell r="GT2">
            <v>0</v>
          </cell>
          <cell r="GU2">
            <v>0</v>
          </cell>
          <cell r="GV2">
            <v>0</v>
          </cell>
          <cell r="GW2">
            <v>0</v>
          </cell>
          <cell r="GX2">
            <v>0</v>
          </cell>
          <cell r="GY2">
            <v>0</v>
          </cell>
          <cell r="GZ2">
            <v>0</v>
          </cell>
          <cell r="HA2">
            <v>0</v>
          </cell>
          <cell r="HB2">
            <v>0</v>
          </cell>
          <cell r="HC2">
            <v>0</v>
          </cell>
          <cell r="HD2">
            <v>0</v>
          </cell>
          <cell r="HE2">
            <v>0</v>
          </cell>
          <cell r="HF2">
            <v>0</v>
          </cell>
          <cell r="HG2">
            <v>0</v>
          </cell>
        </row>
      </sheetData>
      <sheetData sheetId="11">
        <row r="2">
          <cell r="F2" t="str">
            <v>Y12M08</v>
          </cell>
        </row>
      </sheetData>
      <sheetData sheetId="12">
        <row r="6">
          <cell r="E6">
            <v>-1.5518182647469403E-2</v>
          </cell>
        </row>
      </sheetData>
      <sheetData sheetId="13">
        <row r="7">
          <cell r="B7">
            <v>-1.5518182647469403E-2</v>
          </cell>
        </row>
      </sheetData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IMS Data _ Company"/>
      <sheetName val="IMS_Data Market"/>
      <sheetName val="Back Orders"/>
      <sheetName val="BO Corrected Sales Data "/>
      <sheetName val="Contract Changes"/>
      <sheetName val="Outlier Corrections"/>
      <sheetName val="Corrected Base Data"/>
      <sheetName val="Forecast Working"/>
      <sheetName val="Statistical Forecast"/>
      <sheetName val="Marketing Inputs"/>
      <sheetName val="Consensus Forecast"/>
      <sheetName val="Weekly Consensus Forecast"/>
      <sheetName val="1 Yr Forecast Charts"/>
      <sheetName val="LRP - Statistical Forecast"/>
      <sheetName val="LRP - Marketing Inputs"/>
      <sheetName val="LRP - Consensus Forecast"/>
      <sheetName val="LRP Forecast Charts"/>
      <sheetName val="Sheet15"/>
      <sheetName val="Resultant SFG Mix"/>
      <sheetName val="Resultant SKU Mix"/>
      <sheetName val="Lupin Market Share &amp; Sales Fore"/>
      <sheetName val="Inventory adjustment"/>
      <sheetName val="Production Requirement Base"/>
      <sheetName val="Sheet18"/>
      <sheetName val="Production Requirement Optimist"/>
      <sheetName val="NPL Base Data"/>
      <sheetName val="NPL Optimistic Data"/>
      <sheetName val="NPL Production Requirement Base"/>
      <sheetName val="NPL Production Requirement Opti"/>
    </sheetNames>
    <sheetDataSet>
      <sheetData sheetId="0"/>
      <sheetData sheetId="1"/>
      <sheetData sheetId="2">
        <row r="5">
          <cell r="A5" t="str">
            <v>USA</v>
          </cell>
        </row>
      </sheetData>
      <sheetData sheetId="3"/>
      <sheetData sheetId="4"/>
      <sheetData sheetId="5"/>
      <sheetData sheetId="6"/>
      <sheetData sheetId="7"/>
      <sheetData sheetId="8">
        <row r="1">
          <cell r="C1">
            <v>0.35</v>
          </cell>
        </row>
        <row r="2">
          <cell r="C2">
            <v>0.1</v>
          </cell>
        </row>
        <row r="3">
          <cell r="C3">
            <v>0.4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3">
          <cell r="CZ3">
            <v>475.73150818034941</v>
          </cell>
        </row>
      </sheetData>
      <sheetData sheetId="22"/>
      <sheetData sheetId="23">
        <row r="3">
          <cell r="O3">
            <v>45</v>
          </cell>
        </row>
      </sheetData>
      <sheetData sheetId="24"/>
      <sheetData sheetId="25"/>
      <sheetData sheetId="26"/>
      <sheetData sheetId="27">
        <row r="3">
          <cell r="BQ3" t="str">
            <v>)</v>
          </cell>
        </row>
      </sheetData>
      <sheetData sheetId="28">
        <row r="3">
          <cell r="O3">
            <v>0</v>
          </cell>
        </row>
      </sheetData>
      <sheetData sheetId="29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"/>
      <sheetName val="GTB"/>
      <sheetName val="Transpose"/>
      <sheetName val="Adjustments"/>
      <sheetName val="Transpose Modify"/>
      <sheetName val="Total Download"/>
      <sheetName val="GTB Download"/>
      <sheetName val="Prod P&amp;L"/>
      <sheetName val="Format 1"/>
      <sheetName val="Sheet1"/>
      <sheetName val="Basic data"/>
      <sheetName val="Validation"/>
      <sheetName val="BS SCHEDULES"/>
      <sheetName val="Summary"/>
      <sheetName val="TB 10"/>
      <sheetName val="COPA"/>
      <sheetName val="LINK MOR"/>
      <sheetName val="LINK GAP"/>
      <sheetName val="SI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Exchg Rates"/>
      <sheetName val="Master Fields"/>
      <sheetName val="Vol"/>
      <sheetName val="Prodn Volumes &amp; Yields"/>
      <sheetName val="OH"/>
      <sheetName val="OH Summary"/>
      <sheetName val="Cost per 1000"/>
      <sheetName val="Utl"/>
      <sheetName val="Uty Var"/>
    </sheetNames>
    <sheetDataSet>
      <sheetData sheetId="0"/>
      <sheetData sheetId="1"/>
      <sheetData sheetId="2">
        <row r="3">
          <cell r="A3" t="str">
            <v>FY 15</v>
          </cell>
        </row>
        <row r="4">
          <cell r="A4" t="str">
            <v>FY 16</v>
          </cell>
        </row>
        <row r="5">
          <cell r="A5" t="str">
            <v>FY 17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人員計画"/>
      <sheetName val="設備投資"/>
      <sheetName val="設備投資詳細"/>
      <sheetName val="販売計画詳細"/>
      <sheetName val="PL_BS_CF"/>
      <sheetName val="研究開発"/>
      <sheetName val="Sheet1"/>
      <sheetName val="原価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ber Master"/>
      <sheetName val="Dimensions and Hierarchy"/>
      <sheetName val="Hierarchy Data"/>
      <sheetName val="Sales &amp; Promotion History"/>
      <sheetName val="Flat Structure"/>
      <sheetName val="Sales &amp; Promotion"/>
      <sheetName val="Sales Tab"/>
      <sheetName val="Promo Tab"/>
      <sheetName val="Outlier Tab"/>
      <sheetName val="Forcasting Level"/>
      <sheetName val="Forecast Tab"/>
    </sheetNames>
    <sheetDataSet>
      <sheetData sheetId="0"/>
      <sheetData sheetId="1">
        <row r="2">
          <cell r="F2" t="str">
            <v>SKU</v>
          </cell>
          <cell r="I2" t="str">
            <v>Category</v>
          </cell>
          <cell r="J2" t="str">
            <v>Product</v>
          </cell>
          <cell r="K2" t="str">
            <v>SKU</v>
          </cell>
          <cell r="L2"/>
          <cell r="M2"/>
          <cell r="N2" t="str">
            <v>Country</v>
          </cell>
          <cell r="O2" t="str">
            <v>Country</v>
          </cell>
          <cell r="P2"/>
          <cell r="Q2"/>
          <cell r="R2" t="str">
            <v>SuperChannel</v>
          </cell>
          <cell r="S2" t="str">
            <v>Channel</v>
          </cell>
          <cell r="T2"/>
          <cell r="U2" t="str">
            <v>Year</v>
          </cell>
          <cell r="V2" t="str">
            <v>Year</v>
          </cell>
          <cell r="W2" t="str">
            <v>Month</v>
          </cell>
        </row>
        <row r="3">
          <cell r="I3" t="str">
            <v>Dimension1_Level 2</v>
          </cell>
          <cell r="J3" t="str">
            <v>Dimension1_Level 3</v>
          </cell>
          <cell r="K3" t="str">
            <v>Dimension1_Level 4</v>
          </cell>
          <cell r="L3" t="str">
            <v>Dimension2_Level 1</v>
          </cell>
          <cell r="M3" t="str">
            <v>Dimension2_Level 2</v>
          </cell>
          <cell r="N3" t="str">
            <v>Dimension2_Level 3</v>
          </cell>
          <cell r="O3" t="str">
            <v>Dimension2_Level 4</v>
          </cell>
          <cell r="P3" t="str">
            <v>Dimension3_Level 1</v>
          </cell>
          <cell r="Q3" t="str">
            <v>Dimension3_Level 2</v>
          </cell>
          <cell r="R3" t="str">
            <v>Dimension3_Level 3</v>
          </cell>
          <cell r="S3" t="str">
            <v>Dimension3_Level 4</v>
          </cell>
          <cell r="T3" t="str">
            <v>Dimension4_Level 1</v>
          </cell>
          <cell r="U3" t="str">
            <v>Dimension4_Level 2</v>
          </cell>
          <cell r="V3" t="str">
            <v>Dimension4_Level 3</v>
          </cell>
          <cell r="W3" t="str">
            <v>Dimension4_Level 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c"/>
      <sheetName val="GTB"/>
      <sheetName val="Transpose"/>
      <sheetName val="Adjustments"/>
      <sheetName val="Transpose Modify"/>
      <sheetName val="Total Download"/>
      <sheetName val="GTB Download"/>
      <sheetName val="Prod P&amp;L"/>
      <sheetName val="Format 1"/>
      <sheetName val="GHG - FY20-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Boundary Questions"/>
      <sheetName val="Summary"/>
      <sheetName val="Stationary Combustion"/>
      <sheetName val="Mobile Sources"/>
      <sheetName val="Refrigeration and AC"/>
      <sheetName val="Fire Suppression"/>
      <sheetName val="Purchased Gases"/>
      <sheetName val="Electricity"/>
      <sheetName val="Steam"/>
      <sheetName val="Business Travel"/>
      <sheetName val="Commuting"/>
      <sheetName val="Upstream Trans and Dist"/>
      <sheetName val="Waste"/>
      <sheetName val="Offsets"/>
      <sheetName val="Unit Conversions"/>
      <sheetName val="Heat Content"/>
      <sheetName val="Emission Factors"/>
      <sheetName val="DropDown"/>
      <sheetName val="Help - Data Management"/>
      <sheetName val="Help - Stationary Combustion"/>
      <sheetName val="Help - Mobile Sources"/>
      <sheetName val="Help - Refrigeration and AC"/>
      <sheetName val="Help - Fire Suppression"/>
      <sheetName val="Help - Purchased Gases"/>
      <sheetName val="Help - Electricity"/>
      <sheetName val="Help - Market-Based Method"/>
      <sheetName val="Help - Steam"/>
      <sheetName val="Help - Business Travel"/>
      <sheetName val="Help - Commuting"/>
      <sheetName val="Help - Upstream Trans and Dist"/>
      <sheetName val="Help - Waste"/>
      <sheetName val="Help - Offse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10">
          <cell r="A10" t="str">
            <v>Natural Gas</v>
          </cell>
        </row>
      </sheetData>
      <sheetData sheetId="18">
        <row r="2">
          <cell r="L2" t="str">
            <v>Natural Gas</v>
          </cell>
        </row>
        <row r="3">
          <cell r="L3" t="str">
            <v>Distillate Fuel Oil No. 2</v>
          </cell>
        </row>
        <row r="4">
          <cell r="L4" t="str">
            <v>Residual Fuel Oil No. 6</v>
          </cell>
        </row>
        <row r="5">
          <cell r="L5" t="str">
            <v>Kerosene</v>
          </cell>
        </row>
        <row r="6">
          <cell r="L6" t="str">
            <v>Liquefied Petroleum Gases (LPG)</v>
          </cell>
        </row>
        <row r="7">
          <cell r="L7" t="str">
            <v>Anthracite Coal</v>
          </cell>
        </row>
        <row r="8">
          <cell r="L8" t="str">
            <v>Bituminous Coal</v>
          </cell>
        </row>
        <row r="9">
          <cell r="L9" t="str">
            <v>Sub-bituminous Coal</v>
          </cell>
        </row>
        <row r="10">
          <cell r="L10" t="str">
            <v>Lignite Coal</v>
          </cell>
        </row>
        <row r="11">
          <cell r="L11" t="str">
            <v>Mixed (Electric Power Sector)</v>
          </cell>
        </row>
        <row r="12">
          <cell r="L12" t="str">
            <v>Coal Coke</v>
          </cell>
        </row>
        <row r="13">
          <cell r="L13" t="str">
            <v>Wood and Wood Residuals</v>
          </cell>
        </row>
        <row r="14">
          <cell r="L14" t="str">
            <v>Landfill Gas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401"/>
      <sheetName val="Sheet1 (2)"/>
      <sheetName val="Corporate Summary"/>
      <sheetName val="Pivot Summary"/>
      <sheetName val="Basic Data"/>
      <sheetName val="Master"/>
      <sheetName val="Apr-12"/>
      <sheetName val="Summary"/>
      <sheetName val="GHG - FY20-21"/>
    </sheetNames>
    <sheetDataSet>
      <sheetData sheetId="0"/>
      <sheetData sheetId="1">
        <row r="1">
          <cell r="A1" t="str">
            <v>Plant</v>
          </cell>
        </row>
        <row r="4001">
          <cell r="A4001" t="str">
            <v>L003 Ankleshwar</v>
          </cell>
          <cell r="B4001">
            <v>651654</v>
          </cell>
          <cell r="C4001" t="str">
            <v>ROLLER BEARING-72212/2/72487/2/Q</v>
          </cell>
          <cell r="D4001" t="str">
            <v>L0030151                       EnggStore</v>
          </cell>
          <cell r="E4001">
            <v>0</v>
          </cell>
          <cell r="F4001" t="str">
            <v>ND No planning</v>
          </cell>
          <cell r="G4001" t="str">
            <v>ERSA Spare parts</v>
          </cell>
          <cell r="H4001" t="str">
            <v>EN009     Bearings</v>
          </cell>
          <cell r="I4001" t="str">
            <v>L003 Ankleshwar</v>
          </cell>
          <cell r="J4001" t="str">
            <v>99 Input/Byprodt/Scrap</v>
          </cell>
          <cell r="K4001" t="str">
            <v>10.2012</v>
          </cell>
          <cell r="L4001">
            <v>4</v>
          </cell>
          <cell r="M4001" t="str">
            <v>EA</v>
          </cell>
          <cell r="N4001">
            <v>2792.57</v>
          </cell>
          <cell r="O4001" t="str">
            <v>INR</v>
          </cell>
        </row>
        <row r="4002">
          <cell r="A4002" t="str">
            <v>L003 Ankleshwar</v>
          </cell>
          <cell r="B4002">
            <v>651658</v>
          </cell>
          <cell r="C4002" t="str">
            <v>END SHIELD DE SIDE FLP FRAME E180LD</v>
          </cell>
          <cell r="D4002" t="str">
            <v>L0030151                       EnggStore</v>
          </cell>
          <cell r="E4002" t="str">
            <v>E01 E01</v>
          </cell>
          <cell r="F4002" t="str">
            <v>ND No planning</v>
          </cell>
          <cell r="G4002" t="str">
            <v>ERSA Spare parts</v>
          </cell>
          <cell r="H4002" t="str">
            <v>EN007     Elec Motors &amp; Spares</v>
          </cell>
          <cell r="I4002" t="str">
            <v>L003 Ankleshwar</v>
          </cell>
          <cell r="J4002" t="str">
            <v>99 Input/Byprodt/Scrap</v>
          </cell>
          <cell r="K4002" t="str">
            <v>10.2012</v>
          </cell>
          <cell r="L4002">
            <v>2</v>
          </cell>
          <cell r="M4002" t="str">
            <v>EA</v>
          </cell>
          <cell r="N4002">
            <v>3030</v>
          </cell>
          <cell r="O4002" t="str">
            <v>INR</v>
          </cell>
        </row>
        <row r="4003">
          <cell r="A4003" t="str">
            <v>L003 Ankleshwar</v>
          </cell>
          <cell r="B4003">
            <v>651659</v>
          </cell>
          <cell r="C4003" t="str">
            <v>END SHIELD NDE SIDE FLP FRAME E180LD</v>
          </cell>
          <cell r="D4003" t="str">
            <v>L0030151                       EnggStore</v>
          </cell>
          <cell r="E4003" t="str">
            <v>E01 E01</v>
          </cell>
          <cell r="F4003" t="str">
            <v>ND No planning</v>
          </cell>
          <cell r="G4003" t="str">
            <v>ERSA Spare parts</v>
          </cell>
          <cell r="H4003" t="str">
            <v>EN007     Elec Motors &amp; Spares</v>
          </cell>
          <cell r="I4003" t="str">
            <v>L003 Ankleshwar</v>
          </cell>
          <cell r="J4003" t="str">
            <v>99 Input/Byprodt/Scrap</v>
          </cell>
          <cell r="K4003" t="str">
            <v>10.2012</v>
          </cell>
          <cell r="L4003">
            <v>2</v>
          </cell>
          <cell r="M4003" t="str">
            <v>EA</v>
          </cell>
          <cell r="N4003">
            <v>3030</v>
          </cell>
          <cell r="O4003" t="str">
            <v>INR</v>
          </cell>
        </row>
        <row r="4004">
          <cell r="A4004" t="str">
            <v>L003 Ankleshwar</v>
          </cell>
          <cell r="B4004">
            <v>651662</v>
          </cell>
          <cell r="C4004" t="str">
            <v>L&amp;T MN25W CONTACTOR KIT SS 94678</v>
          </cell>
          <cell r="D4004" t="str">
            <v>L0030151                       EnggStore</v>
          </cell>
          <cell r="E4004" t="str">
            <v>E01 E01</v>
          </cell>
          <cell r="F4004" t="str">
            <v>ND No planning</v>
          </cell>
          <cell r="G4004" t="str">
            <v>ERSA Spare parts</v>
          </cell>
          <cell r="H4004" t="str">
            <v>EN006     Elec Switchgear</v>
          </cell>
          <cell r="I4004" t="str">
            <v>L003 Ankleshwar</v>
          </cell>
          <cell r="J4004" t="str">
            <v>99 Input/Byprodt/Scrap</v>
          </cell>
          <cell r="K4004" t="str">
            <v>10.2012</v>
          </cell>
          <cell r="L4004">
            <v>1</v>
          </cell>
          <cell r="M4004" t="str">
            <v>EA</v>
          </cell>
          <cell r="N4004">
            <v>201.62</v>
          </cell>
          <cell r="O4004" t="str">
            <v>INR</v>
          </cell>
        </row>
        <row r="4005">
          <cell r="A4005" t="str">
            <v>L003 Ankleshwar</v>
          </cell>
          <cell r="B4005">
            <v>651666</v>
          </cell>
          <cell r="C4005" t="str">
            <v>RUBBER STRIP 1"X 5MM THK</v>
          </cell>
          <cell r="D4005" t="str">
            <v>L0030151                       EnggStore</v>
          </cell>
          <cell r="E4005" t="str">
            <v>E35 E35</v>
          </cell>
          <cell r="F4005" t="str">
            <v>VB Manual reorder point planning</v>
          </cell>
          <cell r="G4005" t="str">
            <v>ERSA Spare parts</v>
          </cell>
          <cell r="H4005" t="str">
            <v>EN020     RubberItems&amp;Oil Seal</v>
          </cell>
          <cell r="I4005" t="str">
            <v>L003 Ankleshwar</v>
          </cell>
          <cell r="J4005" t="str">
            <v>99 Input/Byprodt/Scrap</v>
          </cell>
          <cell r="K4005" t="str">
            <v>10.2012</v>
          </cell>
          <cell r="L4005">
            <v>30</v>
          </cell>
          <cell r="M4005" t="str">
            <v>M</v>
          </cell>
          <cell r="N4005">
            <v>513</v>
          </cell>
          <cell r="O4005" t="str">
            <v>INR</v>
          </cell>
        </row>
        <row r="4006">
          <cell r="A4006" t="str">
            <v>L003 Ankleshwar</v>
          </cell>
          <cell r="B4006">
            <v>651719</v>
          </cell>
          <cell r="C4006" t="str">
            <v>ELECTRONIC HOOTER FLP 230 VAC</v>
          </cell>
          <cell r="D4006" t="str">
            <v>L0030151                       EnggStore</v>
          </cell>
          <cell r="E4006" t="str">
            <v>E01 E01</v>
          </cell>
          <cell r="F4006" t="str">
            <v>ND No planning</v>
          </cell>
          <cell r="G4006" t="str">
            <v>ERSA Spare parts</v>
          </cell>
          <cell r="H4006" t="str">
            <v>EN003     ElectricalSpares</v>
          </cell>
          <cell r="I4006" t="str">
            <v>L003 Ankleshwar</v>
          </cell>
          <cell r="J4006" t="str">
            <v>99 Input/Byprodt/Scrap</v>
          </cell>
          <cell r="K4006" t="str">
            <v>10.2012</v>
          </cell>
          <cell r="L4006">
            <v>1</v>
          </cell>
          <cell r="M4006" t="str">
            <v>EA</v>
          </cell>
          <cell r="N4006">
            <v>5850</v>
          </cell>
          <cell r="O4006" t="str">
            <v>INR</v>
          </cell>
        </row>
        <row r="4007">
          <cell r="A4007" t="str">
            <v>L003 Ankleshwar</v>
          </cell>
          <cell r="B4007">
            <v>651833</v>
          </cell>
          <cell r="C4007" t="str">
            <v>AL FAN BLADES OF COOLING TOWER:GTP8175</v>
          </cell>
          <cell r="D4007" t="str">
            <v>L0030151                       EnggStore</v>
          </cell>
          <cell r="E4007" t="str">
            <v>E01 E01</v>
          </cell>
          <cell r="F4007" t="str">
            <v>ND No planning</v>
          </cell>
          <cell r="G4007" t="str">
            <v>ERSA Spare parts</v>
          </cell>
          <cell r="H4007" t="str">
            <v>EN018     UtilityEquipmentSpar</v>
          </cell>
          <cell r="I4007" t="str">
            <v>L003 Ankleshwar</v>
          </cell>
          <cell r="J4007" t="str">
            <v>99 Input/Byprodt/Scrap</v>
          </cell>
          <cell r="K4007" t="str">
            <v>10.2012</v>
          </cell>
          <cell r="L4007">
            <v>1</v>
          </cell>
          <cell r="M4007" t="str">
            <v>SET</v>
          </cell>
          <cell r="N4007">
            <v>16641.52</v>
          </cell>
          <cell r="O4007" t="str">
            <v>INR</v>
          </cell>
        </row>
        <row r="4008">
          <cell r="A4008" t="str">
            <v>L003 Ankleshwar</v>
          </cell>
          <cell r="B4008">
            <v>651837</v>
          </cell>
          <cell r="C4008" t="str">
            <v>CONTACT KIT,SIEMENS FOR CONT. 3TF51</v>
          </cell>
          <cell r="D4008" t="str">
            <v>L0030151                       EnggStore</v>
          </cell>
          <cell r="E4008" t="str">
            <v>E01 E01</v>
          </cell>
          <cell r="F4008" t="str">
            <v>ND No planning</v>
          </cell>
          <cell r="G4008" t="str">
            <v>ERSA Spare parts</v>
          </cell>
          <cell r="H4008" t="str">
            <v>EN006     Elec Switchgear</v>
          </cell>
          <cell r="I4008" t="str">
            <v>L003 Ankleshwar</v>
          </cell>
          <cell r="J4008" t="str">
            <v>99 Input/Byprodt/Scrap</v>
          </cell>
          <cell r="K4008" t="str">
            <v>10.2012</v>
          </cell>
          <cell r="L4008">
            <v>2</v>
          </cell>
          <cell r="M4008" t="str">
            <v>EA</v>
          </cell>
          <cell r="N4008">
            <v>9960</v>
          </cell>
          <cell r="O4008" t="str">
            <v>INR</v>
          </cell>
        </row>
        <row r="4009">
          <cell r="A4009" t="str">
            <v>L003 Ankleshwar</v>
          </cell>
          <cell r="B4009">
            <v>651851</v>
          </cell>
          <cell r="C4009" t="str">
            <v>0,5/SS-316PLATE WITH EPDM GASKETAK20FM</v>
          </cell>
          <cell r="D4009" t="str">
            <v>L0030151                       EnggStore</v>
          </cell>
          <cell r="E4009" t="str">
            <v>E01 E01</v>
          </cell>
          <cell r="F4009" t="str">
            <v>ND No planning</v>
          </cell>
          <cell r="G4009" t="str">
            <v>ERSA Spare parts</v>
          </cell>
          <cell r="H4009" t="str">
            <v>EN039     PlantEquipmentSpares</v>
          </cell>
          <cell r="I4009" t="str">
            <v>L003 Ankleshwar</v>
          </cell>
          <cell r="J4009" t="str">
            <v>99 Input/Byprodt/Scrap</v>
          </cell>
          <cell r="K4009" t="str">
            <v>10.2012</v>
          </cell>
          <cell r="L4009">
            <v>2</v>
          </cell>
          <cell r="M4009" t="str">
            <v>EA</v>
          </cell>
          <cell r="N4009">
            <v>13172.83</v>
          </cell>
          <cell r="O4009" t="str">
            <v>INR</v>
          </cell>
        </row>
        <row r="4010">
          <cell r="A4010" t="str">
            <v>L003 Ankleshwar</v>
          </cell>
          <cell r="B4010">
            <v>651854</v>
          </cell>
          <cell r="C4010" t="str">
            <v>FIELD NBR GASKET M10 BW</v>
          </cell>
          <cell r="D4010" t="str">
            <v>L0030151                       EnggStore</v>
          </cell>
          <cell r="E4010" t="str">
            <v>E31 E31</v>
          </cell>
          <cell r="F4010" t="str">
            <v>VB Manual reorder point planning</v>
          </cell>
          <cell r="G4010" t="str">
            <v>ERSA Spare parts</v>
          </cell>
          <cell r="H4010" t="str">
            <v>EN028     Pipes&amp;pipefittings</v>
          </cell>
          <cell r="I4010" t="str">
            <v>L003 Ankleshwar</v>
          </cell>
          <cell r="J4010" t="str">
            <v>99 Input/Byprodt/Scrap</v>
          </cell>
          <cell r="K4010" t="str">
            <v>10.2012</v>
          </cell>
          <cell r="L4010">
            <v>10</v>
          </cell>
          <cell r="M4010" t="str">
            <v>EA</v>
          </cell>
          <cell r="N4010">
            <v>4173.84</v>
          </cell>
          <cell r="O4010" t="str">
            <v>INR</v>
          </cell>
        </row>
        <row r="4011">
          <cell r="A4011" t="str">
            <v>L003 Ankleshwar</v>
          </cell>
          <cell r="B4011">
            <v>651890</v>
          </cell>
          <cell r="C4011" t="str">
            <v>STUBEND,SS316,ERW,SCH-10,SIZE-100MM</v>
          </cell>
          <cell r="D4011" t="str">
            <v>L0030151                       EnggStore</v>
          </cell>
          <cell r="E4011">
            <v>0</v>
          </cell>
          <cell r="F4011" t="str">
            <v>ND No planning</v>
          </cell>
          <cell r="G4011" t="str">
            <v>ERSA Spare parts</v>
          </cell>
          <cell r="H4011" t="str">
            <v>EN028     Pipes&amp;pipefittings</v>
          </cell>
          <cell r="I4011" t="str">
            <v>L003 Ankleshwar</v>
          </cell>
          <cell r="J4011" t="str">
            <v>99 Input/Byprodt/Scrap</v>
          </cell>
          <cell r="K4011" t="str">
            <v>10.2012</v>
          </cell>
          <cell r="L4011">
            <v>5</v>
          </cell>
          <cell r="M4011" t="str">
            <v>EA</v>
          </cell>
          <cell r="N4011">
            <v>1488</v>
          </cell>
          <cell r="O4011" t="str">
            <v>INR</v>
          </cell>
        </row>
        <row r="4012">
          <cell r="A4012" t="str">
            <v>L003 Ankleshwar</v>
          </cell>
          <cell r="B4012">
            <v>651950</v>
          </cell>
          <cell r="C4012" t="str">
            <v>LAMP,CLEAR,GLASS,SCREW TYPE 40W/24V</v>
          </cell>
          <cell r="D4012" t="str">
            <v>L0030151                       EnggStore</v>
          </cell>
          <cell r="E4012" t="str">
            <v>E01 E01</v>
          </cell>
          <cell r="F4012" t="str">
            <v>ND No planning</v>
          </cell>
          <cell r="G4012" t="str">
            <v>ERSA Spare parts</v>
          </cell>
          <cell r="H4012" t="str">
            <v>EN005     Elec Lighting</v>
          </cell>
          <cell r="I4012" t="str">
            <v>L003 Ankleshwar</v>
          </cell>
          <cell r="J4012" t="str">
            <v>99 Input/Byprodt/Scrap</v>
          </cell>
          <cell r="K4012" t="str">
            <v>10.2012</v>
          </cell>
          <cell r="L4012">
            <v>5</v>
          </cell>
          <cell r="M4012" t="str">
            <v>EA</v>
          </cell>
          <cell r="N4012">
            <v>92</v>
          </cell>
          <cell r="O4012" t="str">
            <v>INR</v>
          </cell>
        </row>
        <row r="4013">
          <cell r="A4013" t="str">
            <v>L003 Ankleshwar</v>
          </cell>
          <cell r="B4013">
            <v>651953</v>
          </cell>
          <cell r="C4013" t="str">
            <v>L&amp;T SWITCH TPN FN 100A CAT SK955680000</v>
          </cell>
          <cell r="D4013" t="str">
            <v>L0030151                       EnggStore</v>
          </cell>
          <cell r="E4013" t="str">
            <v>E36 E36</v>
          </cell>
          <cell r="F4013" t="str">
            <v>VB Manual reorder point planning</v>
          </cell>
          <cell r="G4013" t="str">
            <v>ERSA Spare parts</v>
          </cell>
          <cell r="H4013" t="str">
            <v>EN006     Elec Switchgear</v>
          </cell>
          <cell r="I4013" t="str">
            <v>L003 Ankleshwar</v>
          </cell>
          <cell r="J4013" t="str">
            <v>99 Input/Byprodt/Scrap</v>
          </cell>
          <cell r="K4013" t="str">
            <v>10.2012</v>
          </cell>
          <cell r="L4013">
            <v>1</v>
          </cell>
          <cell r="M4013" t="str">
            <v>EA</v>
          </cell>
          <cell r="N4013">
            <v>3225</v>
          </cell>
          <cell r="O4013" t="str">
            <v>INR</v>
          </cell>
        </row>
        <row r="4014">
          <cell r="A4014" t="str">
            <v>L003 Ankleshwar</v>
          </cell>
          <cell r="B4014">
            <v>651976</v>
          </cell>
          <cell r="C4014" t="str">
            <v>MECH-SEAL SLM 0317 CAR/CER - HI-FAB</v>
          </cell>
          <cell r="D4014" t="str">
            <v>L0030151                       EnggStore</v>
          </cell>
          <cell r="E4014" t="str">
            <v>E01 E01</v>
          </cell>
          <cell r="F4014" t="str">
            <v>ND No planning</v>
          </cell>
          <cell r="G4014" t="str">
            <v>ERSA Spare parts</v>
          </cell>
          <cell r="H4014" t="str">
            <v>EN038     MechanicalSeals&amp;Spar</v>
          </cell>
          <cell r="I4014" t="str">
            <v>L003 Ankleshwar</v>
          </cell>
          <cell r="J4014" t="str">
            <v>99 Input/Byprodt/Scrap</v>
          </cell>
          <cell r="K4014" t="str">
            <v>10.2012</v>
          </cell>
          <cell r="L4014">
            <v>1</v>
          </cell>
          <cell r="M4014" t="str">
            <v>SET</v>
          </cell>
          <cell r="N4014">
            <v>4858.4799999999896</v>
          </cell>
          <cell r="O4014" t="str">
            <v>INR</v>
          </cell>
        </row>
        <row r="4015">
          <cell r="A4015" t="str">
            <v>L003 Ankleshwar</v>
          </cell>
          <cell r="B4015">
            <v>652001</v>
          </cell>
          <cell r="C4015" t="str">
            <v>CRADLE TERM 2500A CPOWER L&amp;T ACB SL93897</v>
          </cell>
          <cell r="D4015" t="str">
            <v>L0030151                       EnggStore</v>
          </cell>
          <cell r="E4015" t="str">
            <v>E36 E36</v>
          </cell>
          <cell r="F4015" t="str">
            <v>VB Manual reorder point planning</v>
          </cell>
          <cell r="G4015" t="str">
            <v>ERSA Spare parts</v>
          </cell>
          <cell r="H4015" t="str">
            <v>EN006     Elec Switchgear</v>
          </cell>
          <cell r="I4015" t="str">
            <v>L003 Ankleshwar</v>
          </cell>
          <cell r="J4015" t="str">
            <v>99 Input/Byprodt/Scrap</v>
          </cell>
          <cell r="K4015" t="str">
            <v>10.2012</v>
          </cell>
          <cell r="L4015">
            <v>4</v>
          </cell>
          <cell r="M4015" t="str">
            <v>EA</v>
          </cell>
          <cell r="N4015">
            <v>16972.45</v>
          </cell>
          <cell r="O4015" t="str">
            <v>INR</v>
          </cell>
        </row>
        <row r="4016">
          <cell r="A4016" t="str">
            <v>L003 Ankleshwar</v>
          </cell>
          <cell r="B4016">
            <v>652013</v>
          </cell>
          <cell r="C4016" t="str">
            <v>MOVING CONTACT L&amp;T 400A S/W CAT SK91377</v>
          </cell>
          <cell r="D4016" t="str">
            <v>L0030151                       EnggStore</v>
          </cell>
          <cell r="E4016" t="str">
            <v>E01 E01</v>
          </cell>
          <cell r="F4016" t="str">
            <v>ND No planning</v>
          </cell>
          <cell r="G4016" t="str">
            <v>ERSA Spare parts</v>
          </cell>
          <cell r="H4016" t="str">
            <v>EN006     Elec Switchgear</v>
          </cell>
          <cell r="I4016" t="str">
            <v>L003 Ankleshwar</v>
          </cell>
          <cell r="J4016" t="str">
            <v>99 Input/Byprodt/Scrap</v>
          </cell>
          <cell r="K4016" t="str">
            <v>10.2012</v>
          </cell>
          <cell r="L4016">
            <v>1</v>
          </cell>
          <cell r="M4016" t="str">
            <v>EA</v>
          </cell>
          <cell r="N4016">
            <v>909.42999999999904</v>
          </cell>
          <cell r="O4016" t="str">
            <v>INR</v>
          </cell>
        </row>
        <row r="4017">
          <cell r="A4017" t="str">
            <v>L003 Ankleshwar</v>
          </cell>
          <cell r="B4017">
            <v>652014</v>
          </cell>
          <cell r="C4017" t="str">
            <v>MOVING CONTACT L&amp;T 630A S/W CAT SK91378</v>
          </cell>
          <cell r="D4017" t="str">
            <v>L0030151                       EnggStore</v>
          </cell>
          <cell r="E4017" t="str">
            <v>E01 E01</v>
          </cell>
          <cell r="F4017" t="str">
            <v>ND No planning</v>
          </cell>
          <cell r="G4017" t="str">
            <v>ERSA Spare parts</v>
          </cell>
          <cell r="H4017" t="str">
            <v>EN006     Elec Switchgear</v>
          </cell>
          <cell r="I4017" t="str">
            <v>L003 Ankleshwar</v>
          </cell>
          <cell r="J4017" t="str">
            <v>99 Input/Byprodt/Scrap</v>
          </cell>
          <cell r="K4017" t="str">
            <v>10.2012</v>
          </cell>
          <cell r="L4017">
            <v>1</v>
          </cell>
          <cell r="M4017" t="str">
            <v>EA</v>
          </cell>
          <cell r="N4017">
            <v>1306</v>
          </cell>
          <cell r="O4017" t="str">
            <v>INR</v>
          </cell>
        </row>
        <row r="4018">
          <cell r="A4018" t="str">
            <v>L003 Ankleshwar</v>
          </cell>
          <cell r="B4018">
            <v>652032</v>
          </cell>
          <cell r="C4018" t="str">
            <v>O RING FOR SLIDING VALVE ASSEMBLY</v>
          </cell>
          <cell r="D4018" t="str">
            <v>L0030151                       EnggStore</v>
          </cell>
          <cell r="E4018" t="str">
            <v>E01 E01</v>
          </cell>
          <cell r="F4018" t="str">
            <v>ND No planning</v>
          </cell>
          <cell r="G4018" t="str">
            <v>ERSA Spare parts</v>
          </cell>
          <cell r="H4018" t="str">
            <v>EN028     Pipes&amp;pipefittings</v>
          </cell>
          <cell r="I4018" t="str">
            <v>L003 Ankleshwar</v>
          </cell>
          <cell r="J4018" t="str">
            <v>99 Input/Byprodt/Scrap</v>
          </cell>
          <cell r="K4018" t="str">
            <v>10.2012</v>
          </cell>
          <cell r="L4018">
            <v>5</v>
          </cell>
          <cell r="M4018" t="str">
            <v>EA</v>
          </cell>
          <cell r="N4018">
            <v>1107.03</v>
          </cell>
          <cell r="O4018" t="str">
            <v>INR</v>
          </cell>
        </row>
        <row r="4019">
          <cell r="A4019" t="str">
            <v>L003 Ankleshwar</v>
          </cell>
          <cell r="B4019">
            <v>652047</v>
          </cell>
          <cell r="C4019" t="str">
            <v>SS SHAFT SLEEVE 508-5-16 FOR KPD-20X60</v>
          </cell>
          <cell r="D4019" t="str">
            <v>L0030151                       EnggStore</v>
          </cell>
          <cell r="E4019" t="str">
            <v>E01 E01</v>
          </cell>
          <cell r="F4019" t="str">
            <v>ND No planning</v>
          </cell>
          <cell r="G4019" t="str">
            <v>ERSA Spare parts</v>
          </cell>
          <cell r="H4019" t="str">
            <v>EN038     MechanicalSeals&amp;Spar</v>
          </cell>
          <cell r="I4019" t="str">
            <v>L003 Ankleshwar</v>
          </cell>
          <cell r="J4019" t="str">
            <v>99 Input/Byprodt/Scrap</v>
          </cell>
          <cell r="K4019" t="str">
            <v>10.2012</v>
          </cell>
          <cell r="L4019">
            <v>1</v>
          </cell>
          <cell r="M4019" t="str">
            <v>EA</v>
          </cell>
          <cell r="N4019">
            <v>1878.49</v>
          </cell>
          <cell r="O4019" t="str">
            <v>INR</v>
          </cell>
        </row>
        <row r="4020">
          <cell r="A4020" t="str">
            <v>L003 Ankleshwar</v>
          </cell>
          <cell r="B4020">
            <v>652048</v>
          </cell>
          <cell r="C4020" t="str">
            <v>CARBON RING FOR 508-5-16 MECH SEAL</v>
          </cell>
          <cell r="D4020" t="str">
            <v>L0030151                       EnggStore</v>
          </cell>
          <cell r="E4020" t="str">
            <v>E01 E01</v>
          </cell>
          <cell r="F4020" t="str">
            <v>ND No planning</v>
          </cell>
          <cell r="G4020" t="str">
            <v>ERSA Spare parts</v>
          </cell>
          <cell r="H4020" t="str">
            <v>EN038     MechanicalSeals&amp;Spar</v>
          </cell>
          <cell r="I4020" t="str">
            <v>L003 Ankleshwar</v>
          </cell>
          <cell r="J4020" t="str">
            <v>99 Input/Byprodt/Scrap</v>
          </cell>
          <cell r="K4020" t="str">
            <v>10.2012</v>
          </cell>
          <cell r="L4020">
            <v>1</v>
          </cell>
          <cell r="M4020" t="str">
            <v>EA</v>
          </cell>
          <cell r="N4020">
            <v>2134.6399999999899</v>
          </cell>
          <cell r="O4020" t="str">
            <v>INR</v>
          </cell>
        </row>
        <row r="4021">
          <cell r="A4021" t="str">
            <v>L003 Ankleshwar</v>
          </cell>
          <cell r="B4021">
            <v>652049</v>
          </cell>
          <cell r="C4021" t="str">
            <v>CERAMIC DA TYPE FOR 508-5-16 MECH SEAL</v>
          </cell>
          <cell r="D4021" t="str">
            <v>L0030151                       EnggStore</v>
          </cell>
          <cell r="E4021" t="str">
            <v>E01 E01</v>
          </cell>
          <cell r="F4021" t="str">
            <v>ND No planning</v>
          </cell>
          <cell r="G4021" t="str">
            <v>ERSA Spare parts</v>
          </cell>
          <cell r="H4021" t="str">
            <v>EN038     MechanicalSeals&amp;Spar</v>
          </cell>
          <cell r="I4021" t="str">
            <v>L003 Ankleshwar</v>
          </cell>
          <cell r="J4021" t="str">
            <v>99 Input/Byprodt/Scrap</v>
          </cell>
          <cell r="K4021" t="str">
            <v>10.2012</v>
          </cell>
          <cell r="L4021">
            <v>1</v>
          </cell>
          <cell r="M4021" t="str">
            <v>EA</v>
          </cell>
          <cell r="N4021">
            <v>2561.5999999999899</v>
          </cell>
          <cell r="O4021" t="str">
            <v>INR</v>
          </cell>
        </row>
        <row r="4022">
          <cell r="A4022" t="str">
            <v>L003 Ankleshwar</v>
          </cell>
          <cell r="B4022">
            <v>652050</v>
          </cell>
          <cell r="C4022" t="str">
            <v>MATTING O-RING TEFLON FOR 508-5-16 SEAL</v>
          </cell>
          <cell r="D4022" t="str">
            <v>L0030151                       EnggStore</v>
          </cell>
          <cell r="E4022" t="str">
            <v>E01 E01</v>
          </cell>
          <cell r="F4022" t="str">
            <v>ND No planning</v>
          </cell>
          <cell r="G4022" t="str">
            <v>ERSA Spare parts</v>
          </cell>
          <cell r="H4022" t="str">
            <v>EN038     MechanicalSeals&amp;Spar</v>
          </cell>
          <cell r="I4022" t="str">
            <v>L003 Ankleshwar</v>
          </cell>
          <cell r="J4022" t="str">
            <v>99 Input/Byprodt/Scrap</v>
          </cell>
          <cell r="K4022" t="str">
            <v>10.2012</v>
          </cell>
          <cell r="L4022">
            <v>1</v>
          </cell>
          <cell r="M4022" t="str">
            <v>EA</v>
          </cell>
          <cell r="N4022">
            <v>384.25</v>
          </cell>
          <cell r="O4022" t="str">
            <v>INR</v>
          </cell>
        </row>
        <row r="4023">
          <cell r="A4023" t="str">
            <v>L003 Ankleshwar</v>
          </cell>
          <cell r="B4023">
            <v>652051</v>
          </cell>
          <cell r="C4023" t="str">
            <v>THRUST WASHER FOR 508-5-16 MECH SEAL</v>
          </cell>
          <cell r="D4023" t="str">
            <v>L0030151                       EnggStore</v>
          </cell>
          <cell r="E4023" t="str">
            <v>E01 E01</v>
          </cell>
          <cell r="F4023" t="str">
            <v>ND No planning</v>
          </cell>
          <cell r="G4023" t="str">
            <v>ERSA Spare parts</v>
          </cell>
          <cell r="H4023" t="str">
            <v>EN038     MechanicalSeals&amp;Spar</v>
          </cell>
          <cell r="I4023" t="str">
            <v>L003 Ankleshwar</v>
          </cell>
          <cell r="J4023" t="str">
            <v>99 Input/Byprodt/Scrap</v>
          </cell>
          <cell r="K4023" t="str">
            <v>10.2012</v>
          </cell>
          <cell r="L4023">
            <v>1</v>
          </cell>
          <cell r="M4023" t="str">
            <v>EA</v>
          </cell>
          <cell r="N4023">
            <v>490.97</v>
          </cell>
          <cell r="O4023" t="str">
            <v>INR</v>
          </cell>
        </row>
        <row r="4024">
          <cell r="A4024" t="str">
            <v>L003 Ankleshwar</v>
          </cell>
          <cell r="B4024">
            <v>652053</v>
          </cell>
          <cell r="C4024" t="str">
            <v>ROTARY HEAD WITH CARBON 508-5-16</v>
          </cell>
          <cell r="D4024" t="str">
            <v>L0030151                       EnggStore</v>
          </cell>
          <cell r="E4024" t="str">
            <v>E01 E01</v>
          </cell>
          <cell r="F4024" t="str">
            <v>ND No planning</v>
          </cell>
          <cell r="G4024" t="str">
            <v>ERSA Spare parts</v>
          </cell>
          <cell r="H4024" t="str">
            <v>EN038     MechanicalSeals&amp;Spar</v>
          </cell>
          <cell r="I4024" t="str">
            <v>L003 Ankleshwar</v>
          </cell>
          <cell r="J4024" t="str">
            <v>99 Input/Byprodt/Scrap</v>
          </cell>
          <cell r="K4024" t="str">
            <v>10.2012</v>
          </cell>
          <cell r="L4024">
            <v>1</v>
          </cell>
          <cell r="M4024" t="str">
            <v>SET</v>
          </cell>
          <cell r="N4024">
            <v>2988.52</v>
          </cell>
          <cell r="O4024" t="str">
            <v>INR</v>
          </cell>
        </row>
        <row r="4025">
          <cell r="A4025" t="str">
            <v>L003 Ankleshwar</v>
          </cell>
          <cell r="B4025">
            <v>652064</v>
          </cell>
          <cell r="C4025" t="str">
            <v>WATER FLOW SWITCH,200MM,1210-2760LPF,15A</v>
          </cell>
          <cell r="D4025" t="str">
            <v>L0030151                       EnggStore</v>
          </cell>
          <cell r="E4025" t="str">
            <v>E01 E01</v>
          </cell>
          <cell r="F4025" t="str">
            <v>ND No planning</v>
          </cell>
          <cell r="G4025" t="str">
            <v>ERSA Spare parts</v>
          </cell>
          <cell r="H4025" t="str">
            <v>EN023     Valves&amp;spares</v>
          </cell>
          <cell r="I4025" t="str">
            <v>L003 Ankleshwar</v>
          </cell>
          <cell r="J4025" t="str">
            <v>99 Input/Byprodt/Scrap</v>
          </cell>
          <cell r="K4025" t="str">
            <v>10.2012</v>
          </cell>
          <cell r="L4025">
            <v>1</v>
          </cell>
          <cell r="M4025" t="str">
            <v>EA</v>
          </cell>
          <cell r="N4025">
            <v>3997.3699999999899</v>
          </cell>
          <cell r="O4025" t="str">
            <v>INR</v>
          </cell>
        </row>
        <row r="4026">
          <cell r="A4026" t="str">
            <v>L003 Ankleshwar</v>
          </cell>
          <cell r="B4026">
            <v>652175</v>
          </cell>
          <cell r="C4026" t="str">
            <v>GREASE, FOOD GRADE</v>
          </cell>
          <cell r="D4026" t="str">
            <v>L0030151                       EnggStore</v>
          </cell>
          <cell r="E4026">
            <v>0</v>
          </cell>
          <cell r="F4026" t="str">
            <v>ND No planning</v>
          </cell>
          <cell r="G4026" t="str">
            <v>ERSA Spare parts</v>
          </cell>
          <cell r="H4026" t="str">
            <v>EN012     Fuels</v>
          </cell>
          <cell r="I4026" t="str">
            <v>L003 Ankleshwar</v>
          </cell>
          <cell r="J4026" t="str">
            <v>99 Input/Byprodt/Scrap</v>
          </cell>
          <cell r="K4026" t="str">
            <v>10.2012</v>
          </cell>
          <cell r="L4026">
            <v>3.6899999999999902</v>
          </cell>
          <cell r="M4026" t="str">
            <v>KG</v>
          </cell>
          <cell r="N4026">
            <v>4851.09</v>
          </cell>
          <cell r="O4026" t="str">
            <v>INR</v>
          </cell>
        </row>
        <row r="4027">
          <cell r="A4027" t="str">
            <v>L003 Ankleshwar</v>
          </cell>
          <cell r="B4027">
            <v>652182</v>
          </cell>
          <cell r="C4027" t="str">
            <v>CARBON SEAL RING COMPOSITE-SHD-DR1:60MM</v>
          </cell>
          <cell r="D4027" t="str">
            <v>L0030151                       EnggStore</v>
          </cell>
          <cell r="E4027">
            <v>0</v>
          </cell>
          <cell r="F4027" t="str">
            <v>ND No planning</v>
          </cell>
          <cell r="G4027" t="str">
            <v>ERSA Spare parts</v>
          </cell>
          <cell r="H4027" t="str">
            <v>EN038     MechanicalSeals&amp;Spar</v>
          </cell>
          <cell r="I4027" t="str">
            <v>L003 Ankleshwar</v>
          </cell>
          <cell r="J4027" t="str">
            <v>99 Input/Byprodt/Scrap</v>
          </cell>
          <cell r="K4027" t="str">
            <v>10.2012</v>
          </cell>
          <cell r="L4027">
            <v>1</v>
          </cell>
          <cell r="M4027" t="str">
            <v>EA</v>
          </cell>
          <cell r="N4027">
            <v>8838.5400000000009</v>
          </cell>
          <cell r="O4027" t="str">
            <v>INR</v>
          </cell>
        </row>
        <row r="4028">
          <cell r="A4028" t="str">
            <v>L003 Ankleshwar</v>
          </cell>
          <cell r="B4028">
            <v>652184</v>
          </cell>
          <cell r="C4028" t="str">
            <v>SET OF SPRINGS-SHD-DR1:60MM</v>
          </cell>
          <cell r="D4028" t="str">
            <v>L0030151                       EnggStore</v>
          </cell>
          <cell r="E4028">
            <v>0</v>
          </cell>
          <cell r="F4028" t="str">
            <v>ND No planning</v>
          </cell>
          <cell r="G4028" t="str">
            <v>ERSA Spare parts</v>
          </cell>
          <cell r="H4028" t="str">
            <v>EN038     MechanicalSeals&amp;Spar</v>
          </cell>
          <cell r="I4028" t="str">
            <v>L003 Ankleshwar</v>
          </cell>
          <cell r="J4028" t="str">
            <v>99 Input/Byprodt/Scrap</v>
          </cell>
          <cell r="K4028" t="str">
            <v>10.2012</v>
          </cell>
          <cell r="L4028">
            <v>1</v>
          </cell>
          <cell r="M4028" t="str">
            <v>SET</v>
          </cell>
          <cell r="N4028">
            <v>1707.93</v>
          </cell>
          <cell r="O4028" t="str">
            <v>INR</v>
          </cell>
        </row>
        <row r="4029">
          <cell r="A4029" t="str">
            <v>L003 Ankleshwar</v>
          </cell>
          <cell r="B4029">
            <v>652185</v>
          </cell>
          <cell r="C4029" t="str">
            <v>MATING RING PACKING-SHD-DR1:60MM</v>
          </cell>
          <cell r="D4029" t="str">
            <v>L0030151                       EnggStore</v>
          </cell>
          <cell r="E4029">
            <v>0</v>
          </cell>
          <cell r="F4029" t="str">
            <v>ND No planning</v>
          </cell>
          <cell r="G4029" t="str">
            <v>ERSA Spare parts</v>
          </cell>
          <cell r="H4029" t="str">
            <v>EN038     MechanicalSeals&amp;Spar</v>
          </cell>
          <cell r="I4029" t="str">
            <v>L003 Ankleshwar</v>
          </cell>
          <cell r="J4029" t="str">
            <v>99 Input/Byprodt/Scrap</v>
          </cell>
          <cell r="K4029" t="str">
            <v>10.2012</v>
          </cell>
          <cell r="L4029">
            <v>1</v>
          </cell>
          <cell r="M4029" t="str">
            <v>EA</v>
          </cell>
          <cell r="N4029">
            <v>768.59</v>
          </cell>
          <cell r="O4029" t="str">
            <v>INR</v>
          </cell>
        </row>
        <row r="4030">
          <cell r="A4030" t="str">
            <v>L003 Ankleshwar</v>
          </cell>
          <cell r="B4030">
            <v>652186</v>
          </cell>
          <cell r="C4030" t="str">
            <v>SHAFT SLEEVE O RING-SHD-DR1:60MM</v>
          </cell>
          <cell r="D4030" t="str">
            <v>L0030151                       EnggStore</v>
          </cell>
          <cell r="E4030">
            <v>0</v>
          </cell>
          <cell r="F4030" t="str">
            <v>ND No planning</v>
          </cell>
          <cell r="G4030" t="str">
            <v>ERSA Spare parts</v>
          </cell>
          <cell r="H4030" t="str">
            <v>EN038     MechanicalSeals&amp;Spar</v>
          </cell>
          <cell r="I4030" t="str">
            <v>L003 Ankleshwar</v>
          </cell>
          <cell r="J4030" t="str">
            <v>99 Input/Byprodt/Scrap</v>
          </cell>
          <cell r="K4030" t="str">
            <v>10.2012</v>
          </cell>
          <cell r="L4030">
            <v>1</v>
          </cell>
          <cell r="M4030" t="str">
            <v>EA</v>
          </cell>
          <cell r="N4030">
            <v>700.25</v>
          </cell>
          <cell r="O4030" t="str">
            <v>INR</v>
          </cell>
        </row>
        <row r="4031">
          <cell r="A4031" t="str">
            <v>L003 Ankleshwar</v>
          </cell>
          <cell r="B4031">
            <v>652188</v>
          </cell>
          <cell r="C4031" t="str">
            <v>CARBON SEAL RING COMPOSITE-SHD-DR1:90MM</v>
          </cell>
          <cell r="D4031" t="str">
            <v>L0030151                       EnggStore</v>
          </cell>
          <cell r="E4031">
            <v>0</v>
          </cell>
          <cell r="F4031" t="str">
            <v>ND No planning</v>
          </cell>
          <cell r="G4031" t="str">
            <v>ERSA Spare parts</v>
          </cell>
          <cell r="H4031" t="str">
            <v>EN038     MechanicalSeals&amp;Spar</v>
          </cell>
          <cell r="I4031" t="str">
            <v>L003 Ankleshwar</v>
          </cell>
          <cell r="J4031" t="str">
            <v>99 Input/Byprodt/Scrap</v>
          </cell>
          <cell r="K4031" t="str">
            <v>10.2012</v>
          </cell>
          <cell r="L4031">
            <v>1</v>
          </cell>
          <cell r="M4031" t="str">
            <v>EA</v>
          </cell>
          <cell r="N4031">
            <v>24823.799999999901</v>
          </cell>
          <cell r="O4031" t="str">
            <v>INR</v>
          </cell>
        </row>
        <row r="4032">
          <cell r="A4032" t="str">
            <v>L003 Ankleshwar</v>
          </cell>
          <cell r="B4032">
            <v>652189</v>
          </cell>
          <cell r="C4032" t="str">
            <v>SIC MATING RING-SHD-DR1:90MM</v>
          </cell>
          <cell r="D4032" t="str">
            <v>L0030151                       EnggStore</v>
          </cell>
          <cell r="E4032">
            <v>0</v>
          </cell>
          <cell r="F4032" t="str">
            <v>ND No planning</v>
          </cell>
          <cell r="G4032" t="str">
            <v>ERSA Spare parts</v>
          </cell>
          <cell r="H4032" t="str">
            <v>EN038     MechanicalSeals&amp;Spar</v>
          </cell>
          <cell r="I4032" t="str">
            <v>L003 Ankleshwar</v>
          </cell>
          <cell r="J4032" t="str">
            <v>99 Input/Byprodt/Scrap</v>
          </cell>
          <cell r="K4032" t="str">
            <v>10.2012</v>
          </cell>
          <cell r="L4032">
            <v>1</v>
          </cell>
          <cell r="M4032" t="str">
            <v>EA</v>
          </cell>
          <cell r="N4032">
            <v>48928.059999999903</v>
          </cell>
          <cell r="O4032" t="str">
            <v>INR</v>
          </cell>
        </row>
        <row r="4033">
          <cell r="A4033" t="str">
            <v>L003 Ankleshwar</v>
          </cell>
          <cell r="B4033">
            <v>652192</v>
          </cell>
          <cell r="C4033" t="str">
            <v>MATING RING PACKING-SHD-DR1:115MM</v>
          </cell>
          <cell r="D4033" t="str">
            <v>L0030151                       EnggStore</v>
          </cell>
          <cell r="E4033">
            <v>0</v>
          </cell>
          <cell r="F4033" t="str">
            <v>ND No planning</v>
          </cell>
          <cell r="G4033" t="str">
            <v>ERSA Spare parts</v>
          </cell>
          <cell r="H4033" t="str">
            <v>EN038     MechanicalSeals&amp;Spar</v>
          </cell>
          <cell r="I4033" t="str">
            <v>L003 Ankleshwar</v>
          </cell>
          <cell r="J4033" t="str">
            <v>99 Input/Byprodt/Scrap</v>
          </cell>
          <cell r="K4033" t="str">
            <v>10.2012</v>
          </cell>
          <cell r="L4033">
            <v>1</v>
          </cell>
          <cell r="M4033" t="str">
            <v>EA</v>
          </cell>
          <cell r="N4033">
            <v>839.79999999999905</v>
          </cell>
          <cell r="O4033" t="str">
            <v>INR</v>
          </cell>
        </row>
        <row r="4034">
          <cell r="A4034" t="str">
            <v>L003 Ankleshwar</v>
          </cell>
          <cell r="B4034">
            <v>652193</v>
          </cell>
          <cell r="C4034" t="str">
            <v>SET OF SPRINGS-SHD-DR1:115MM</v>
          </cell>
          <cell r="D4034" t="str">
            <v>L0030151                       EnggStore</v>
          </cell>
          <cell r="E4034">
            <v>0</v>
          </cell>
          <cell r="F4034" t="str">
            <v>ND No planning</v>
          </cell>
          <cell r="G4034" t="str">
            <v>ERSA Spare parts</v>
          </cell>
          <cell r="H4034" t="str">
            <v>EN038     MechanicalSeals&amp;Spar</v>
          </cell>
          <cell r="I4034" t="str">
            <v>L003 Ankleshwar</v>
          </cell>
          <cell r="J4034" t="str">
            <v>99 Input/Byprodt/Scrap</v>
          </cell>
          <cell r="K4034" t="str">
            <v>10.2012</v>
          </cell>
          <cell r="L4034">
            <v>1</v>
          </cell>
          <cell r="M4034" t="str">
            <v>SET</v>
          </cell>
          <cell r="N4034">
            <v>839.79999999999905</v>
          </cell>
          <cell r="O4034" t="str">
            <v>INR</v>
          </cell>
        </row>
        <row r="4035">
          <cell r="A4035" t="str">
            <v>L003 Ankleshwar</v>
          </cell>
          <cell r="B4035">
            <v>652194</v>
          </cell>
          <cell r="C4035" t="str">
            <v>SHAFT SLEEVE O RING-SHD-DR1:115MM</v>
          </cell>
          <cell r="D4035" t="str">
            <v>L0030151                       EnggStore</v>
          </cell>
          <cell r="E4035">
            <v>0</v>
          </cell>
          <cell r="F4035" t="str">
            <v>ND No planning</v>
          </cell>
          <cell r="G4035" t="str">
            <v>ERSA Spare parts</v>
          </cell>
          <cell r="H4035" t="str">
            <v>EN038     MechanicalSeals&amp;Spar</v>
          </cell>
          <cell r="I4035" t="str">
            <v>L003 Ankleshwar</v>
          </cell>
          <cell r="J4035" t="str">
            <v>99 Input/Byprodt/Scrap</v>
          </cell>
          <cell r="K4035" t="str">
            <v>10.2012</v>
          </cell>
          <cell r="L4035">
            <v>2</v>
          </cell>
          <cell r="M4035" t="str">
            <v>EA</v>
          </cell>
          <cell r="N4035">
            <v>1528</v>
          </cell>
          <cell r="O4035" t="str">
            <v>INR</v>
          </cell>
        </row>
        <row r="4036">
          <cell r="A4036" t="str">
            <v>L003 Ankleshwar</v>
          </cell>
          <cell r="B4036">
            <v>652195</v>
          </cell>
          <cell r="C4036" t="str">
            <v>ROTARY HEAD PACKING-SHD-DR1:115MM</v>
          </cell>
          <cell r="D4036" t="str">
            <v>L0030151                       EnggStore</v>
          </cell>
          <cell r="E4036">
            <v>0</v>
          </cell>
          <cell r="F4036" t="str">
            <v>ND No planning</v>
          </cell>
          <cell r="G4036" t="str">
            <v>ERSA Spare parts</v>
          </cell>
          <cell r="H4036" t="str">
            <v>EN038     MechanicalSeals&amp;Spar</v>
          </cell>
          <cell r="I4036" t="str">
            <v>L003 Ankleshwar</v>
          </cell>
          <cell r="J4036" t="str">
            <v>99 Input/Byprodt/Scrap</v>
          </cell>
          <cell r="K4036" t="str">
            <v>10.2012</v>
          </cell>
          <cell r="L4036">
            <v>1</v>
          </cell>
          <cell r="M4036" t="str">
            <v>EA</v>
          </cell>
          <cell r="N4036">
            <v>889.2</v>
          </cell>
          <cell r="O4036" t="str">
            <v>INR</v>
          </cell>
        </row>
        <row r="4037">
          <cell r="A4037" t="str">
            <v>L003 Ankleshwar</v>
          </cell>
          <cell r="B4037">
            <v>652196</v>
          </cell>
          <cell r="C4037" t="str">
            <v>CARBON SEAL RING COMPOSITE-SHD-DR1:100MM</v>
          </cell>
          <cell r="D4037" t="str">
            <v>L0030151                       EnggStore</v>
          </cell>
          <cell r="E4037">
            <v>0</v>
          </cell>
          <cell r="F4037" t="str">
            <v>ND No planning</v>
          </cell>
          <cell r="G4037" t="str">
            <v>ERSA Spare parts</v>
          </cell>
          <cell r="H4037" t="str">
            <v>EN038     MechanicalSeals&amp;Spar</v>
          </cell>
          <cell r="I4037" t="str">
            <v>L003 Ankleshwar</v>
          </cell>
          <cell r="J4037" t="str">
            <v>99 Input/Byprodt/Scrap</v>
          </cell>
          <cell r="K4037" t="str">
            <v>10.2012</v>
          </cell>
          <cell r="L4037">
            <v>1</v>
          </cell>
          <cell r="M4037" t="str">
            <v>EA</v>
          </cell>
          <cell r="N4037">
            <v>9464</v>
          </cell>
          <cell r="O4037" t="str">
            <v>INR</v>
          </cell>
        </row>
        <row r="4038">
          <cell r="A4038" t="str">
            <v>L003 Ankleshwar</v>
          </cell>
          <cell r="B4038">
            <v>652198</v>
          </cell>
          <cell r="C4038" t="str">
            <v>MATING RING PACKING-SHD-DR1:100MM</v>
          </cell>
          <cell r="D4038" t="str">
            <v>L0030151                       EnggStore</v>
          </cell>
          <cell r="E4038">
            <v>0</v>
          </cell>
          <cell r="F4038" t="str">
            <v>ND No planning</v>
          </cell>
          <cell r="G4038" t="str">
            <v>ERSA Spare parts</v>
          </cell>
          <cell r="H4038" t="str">
            <v>EN038     MechanicalSeals&amp;Spar</v>
          </cell>
          <cell r="I4038" t="str">
            <v>L003 Ankleshwar</v>
          </cell>
          <cell r="J4038" t="str">
            <v>99 Input/Byprodt/Scrap</v>
          </cell>
          <cell r="K4038" t="str">
            <v>10.2012</v>
          </cell>
          <cell r="L4038">
            <v>1</v>
          </cell>
          <cell r="M4038" t="str">
            <v>EA</v>
          </cell>
          <cell r="N4038">
            <v>780</v>
          </cell>
          <cell r="O4038" t="str">
            <v>INR</v>
          </cell>
        </row>
        <row r="4039">
          <cell r="A4039" t="str">
            <v>L003 Ankleshwar</v>
          </cell>
          <cell r="B4039">
            <v>652199</v>
          </cell>
          <cell r="C4039" t="str">
            <v>SET OF SPRINGS-SHD-DR1:100MM</v>
          </cell>
          <cell r="D4039" t="str">
            <v>L0030151                       EnggStore</v>
          </cell>
          <cell r="E4039">
            <v>0</v>
          </cell>
          <cell r="F4039" t="str">
            <v>ND No planning</v>
          </cell>
          <cell r="G4039" t="str">
            <v>ERSA Spare parts</v>
          </cell>
          <cell r="H4039" t="str">
            <v>EN038     MechanicalSeals&amp;Spar</v>
          </cell>
          <cell r="I4039" t="str">
            <v>L003 Ankleshwar</v>
          </cell>
          <cell r="J4039" t="str">
            <v>99 Input/Byprodt/Scrap</v>
          </cell>
          <cell r="K4039" t="str">
            <v>10.2012</v>
          </cell>
          <cell r="L4039">
            <v>1</v>
          </cell>
          <cell r="M4039" t="str">
            <v>SET</v>
          </cell>
          <cell r="N4039">
            <v>676</v>
          </cell>
          <cell r="O4039" t="str">
            <v>INR</v>
          </cell>
        </row>
        <row r="4040">
          <cell r="A4040" t="str">
            <v>L003 Ankleshwar</v>
          </cell>
          <cell r="B4040">
            <v>652200</v>
          </cell>
          <cell r="C4040" t="str">
            <v>SHAFT SLEEVE O RING-SHD-DR1:100MM</v>
          </cell>
          <cell r="D4040" t="str">
            <v>L0030151                       EnggStore</v>
          </cell>
          <cell r="E4040">
            <v>0</v>
          </cell>
          <cell r="F4040" t="str">
            <v>ND No planning</v>
          </cell>
          <cell r="G4040" t="str">
            <v>ERSA Spare parts</v>
          </cell>
          <cell r="H4040" t="str">
            <v>EN038     MechanicalSeals&amp;Spar</v>
          </cell>
          <cell r="I4040" t="str">
            <v>L003 Ankleshwar</v>
          </cell>
          <cell r="J4040" t="str">
            <v>99 Input/Byprodt/Scrap</v>
          </cell>
          <cell r="K4040" t="str">
            <v>10.2012</v>
          </cell>
          <cell r="L4040">
            <v>2</v>
          </cell>
          <cell r="M4040" t="str">
            <v>EA</v>
          </cell>
          <cell r="N4040">
            <v>826.76999999999896</v>
          </cell>
          <cell r="O4040" t="str">
            <v>INR</v>
          </cell>
        </row>
        <row r="4041">
          <cell r="A4041" t="str">
            <v>L003 Ankleshwar</v>
          </cell>
          <cell r="B4041">
            <v>652201</v>
          </cell>
          <cell r="C4041" t="str">
            <v>CARBON PACKING-SHD-DR1:100MM</v>
          </cell>
          <cell r="D4041" t="str">
            <v>L0030151                       EnggStore</v>
          </cell>
          <cell r="E4041">
            <v>0</v>
          </cell>
          <cell r="F4041" t="str">
            <v>ND No planning</v>
          </cell>
          <cell r="G4041" t="str">
            <v>ERSA Spare parts</v>
          </cell>
          <cell r="H4041" t="str">
            <v>EN038     MechanicalSeals&amp;Spar</v>
          </cell>
          <cell r="I4041" t="str">
            <v>L003 Ankleshwar</v>
          </cell>
          <cell r="J4041" t="str">
            <v>99 Input/Byprodt/Scrap</v>
          </cell>
          <cell r="K4041" t="str">
            <v>10.2012</v>
          </cell>
          <cell r="L4041">
            <v>1</v>
          </cell>
          <cell r="M4041" t="str">
            <v>EA</v>
          </cell>
          <cell r="N4041">
            <v>832</v>
          </cell>
          <cell r="O4041" t="str">
            <v>INR</v>
          </cell>
        </row>
        <row r="4042">
          <cell r="A4042" t="str">
            <v>L003 Ankleshwar</v>
          </cell>
          <cell r="B4042">
            <v>652406</v>
          </cell>
          <cell r="C4042" t="str">
            <v>OIL SEAL: 18X35X7</v>
          </cell>
          <cell r="D4042" t="str">
            <v>L0030151                       EnggStore</v>
          </cell>
          <cell r="E4042" t="str">
            <v>E34 E34</v>
          </cell>
          <cell r="F4042" t="str">
            <v>VB Manual reorder point planning</v>
          </cell>
          <cell r="G4042" t="str">
            <v>ERSA Spare parts</v>
          </cell>
          <cell r="H4042" t="str">
            <v>EN020     RubberItems&amp;Oil Seal</v>
          </cell>
          <cell r="I4042" t="str">
            <v>L003 Ankleshwar</v>
          </cell>
          <cell r="J4042" t="str">
            <v>99 Input/Byprodt/Scrap</v>
          </cell>
          <cell r="K4042" t="str">
            <v>10.2012</v>
          </cell>
          <cell r="L4042">
            <v>1</v>
          </cell>
          <cell r="M4042" t="str">
            <v>EA</v>
          </cell>
          <cell r="N4042">
            <v>12.6</v>
          </cell>
          <cell r="O4042" t="str">
            <v>INR</v>
          </cell>
        </row>
        <row r="4043">
          <cell r="A4043" t="str">
            <v>L003 Ankleshwar</v>
          </cell>
          <cell r="B4043">
            <v>652415</v>
          </cell>
          <cell r="C4043" t="str">
            <v>STUF BOX COVER-SS316:PT11 SIZE6-1-/2X1/6</v>
          </cell>
          <cell r="D4043" t="str">
            <v>L0030151                       EnggStore</v>
          </cell>
          <cell r="E4043" t="str">
            <v>E34 E34</v>
          </cell>
          <cell r="F4043" t="str">
            <v>VB Manual reorder point planning</v>
          </cell>
          <cell r="G4043" t="str">
            <v>ERSA Spare parts</v>
          </cell>
          <cell r="H4043" t="str">
            <v>EN032     Pumpspares</v>
          </cell>
          <cell r="I4043" t="str">
            <v>L003 Ankleshwar</v>
          </cell>
          <cell r="J4043" t="str">
            <v>99 Input/Byprodt/Scrap</v>
          </cell>
          <cell r="K4043" t="str">
            <v>10.2012</v>
          </cell>
          <cell r="L4043">
            <v>1</v>
          </cell>
          <cell r="M4043" t="str">
            <v>EA</v>
          </cell>
          <cell r="N4043">
            <v>9868.5</v>
          </cell>
          <cell r="O4043" t="str">
            <v>INR</v>
          </cell>
        </row>
        <row r="4044">
          <cell r="A4044" t="str">
            <v>L003 Ankleshwar</v>
          </cell>
          <cell r="B4044">
            <v>652501</v>
          </cell>
          <cell r="C4044" t="str">
            <v>CUSHYFOOT MOUNTING 'B'-SERIES</v>
          </cell>
          <cell r="D4044" t="str">
            <v>L0030151                       EnggStore</v>
          </cell>
          <cell r="E4044">
            <v>0</v>
          </cell>
          <cell r="F4044" t="str">
            <v>ND No planning</v>
          </cell>
          <cell r="G4044" t="str">
            <v>ERSA Spare parts</v>
          </cell>
          <cell r="H4044" t="str">
            <v>EN020     RubberItems&amp;Oil Seal</v>
          </cell>
          <cell r="I4044" t="str">
            <v>L003 Ankleshwar</v>
          </cell>
          <cell r="J4044" t="str">
            <v>99 Input/Byprodt/Scrap</v>
          </cell>
          <cell r="K4044" t="str">
            <v>10.2012</v>
          </cell>
          <cell r="L4044">
            <v>1</v>
          </cell>
          <cell r="M4044" t="str">
            <v>EA</v>
          </cell>
          <cell r="N4044">
            <v>1749</v>
          </cell>
          <cell r="O4044" t="str">
            <v>INR</v>
          </cell>
        </row>
        <row r="4045">
          <cell r="A4045" t="str">
            <v>L003 Ankleshwar</v>
          </cell>
          <cell r="B4045">
            <v>652511</v>
          </cell>
          <cell r="C4045" t="str">
            <v>ROATRY HEAD PACKING PT.NO.5</v>
          </cell>
          <cell r="D4045" t="str">
            <v>L0030151                       EnggStore</v>
          </cell>
          <cell r="E4045">
            <v>0</v>
          </cell>
          <cell r="F4045" t="str">
            <v>ND No planning</v>
          </cell>
          <cell r="G4045" t="str">
            <v>ERSA Spare parts</v>
          </cell>
          <cell r="H4045" t="str">
            <v>EN038     MechanicalSeals&amp;Spar</v>
          </cell>
          <cell r="I4045" t="str">
            <v>L003 Ankleshwar</v>
          </cell>
          <cell r="J4045" t="str">
            <v>99 Input/Byprodt/Scrap</v>
          </cell>
          <cell r="K4045" t="str">
            <v>10.2012</v>
          </cell>
          <cell r="L4045">
            <v>1</v>
          </cell>
          <cell r="M4045" t="str">
            <v>EA</v>
          </cell>
          <cell r="N4045">
            <v>1439.0599999999899</v>
          </cell>
          <cell r="O4045" t="str">
            <v>INR</v>
          </cell>
        </row>
        <row r="4046">
          <cell r="A4046" t="str">
            <v>L003 Ankleshwar</v>
          </cell>
          <cell r="B4046">
            <v>652531</v>
          </cell>
          <cell r="C4046" t="str">
            <v>SUCTION VALVE ASSEMBLY</v>
          </cell>
          <cell r="D4046" t="str">
            <v>L0030151                       EnggStore</v>
          </cell>
          <cell r="E4046" t="str">
            <v>E32 E32</v>
          </cell>
          <cell r="F4046" t="str">
            <v>VB Manual reorder point planning</v>
          </cell>
          <cell r="G4046" t="str">
            <v>ERSA Spare parts</v>
          </cell>
          <cell r="H4046" t="str">
            <v>EN018     UtilityEquipmentSpar</v>
          </cell>
          <cell r="I4046" t="str">
            <v>L003 Ankleshwar</v>
          </cell>
          <cell r="J4046" t="str">
            <v>99 Input/Byprodt/Scrap</v>
          </cell>
          <cell r="K4046" t="str">
            <v>10.2012</v>
          </cell>
          <cell r="L4046">
            <v>1</v>
          </cell>
          <cell r="M4046" t="str">
            <v>EA</v>
          </cell>
          <cell r="N4046">
            <v>3136.3499999999899</v>
          </cell>
          <cell r="O4046" t="str">
            <v>INR</v>
          </cell>
        </row>
        <row r="4047">
          <cell r="A4047" t="str">
            <v>L003 Ankleshwar</v>
          </cell>
          <cell r="B4047">
            <v>652538</v>
          </cell>
          <cell r="C4047" t="str">
            <v>SS-316 WEAR PLATE NDE SIDE FOR SP3L PUM</v>
          </cell>
          <cell r="D4047" t="str">
            <v>L0030151                       EnggStore</v>
          </cell>
          <cell r="E4047">
            <v>0</v>
          </cell>
          <cell r="F4047" t="str">
            <v>ND No planning</v>
          </cell>
          <cell r="G4047" t="str">
            <v>ERSA Spare parts</v>
          </cell>
          <cell r="H4047" t="str">
            <v>EN032     Pumpspares</v>
          </cell>
          <cell r="I4047" t="str">
            <v>L003 Ankleshwar</v>
          </cell>
          <cell r="J4047" t="str">
            <v>99 Input/Byprodt/Scrap</v>
          </cell>
          <cell r="K4047" t="str">
            <v>10.2012</v>
          </cell>
          <cell r="L4047">
            <v>2</v>
          </cell>
          <cell r="M4047" t="str">
            <v>EA</v>
          </cell>
          <cell r="N4047">
            <v>3727.5</v>
          </cell>
          <cell r="O4047" t="str">
            <v>INR</v>
          </cell>
        </row>
        <row r="4048">
          <cell r="A4048" t="str">
            <v>L003 Ankleshwar</v>
          </cell>
          <cell r="B4048">
            <v>652641</v>
          </cell>
          <cell r="C4048" t="str">
            <v>SPRING SS316: SSBC-Q-0349</v>
          </cell>
          <cell r="D4048" t="str">
            <v>L0030151                       EnggStore</v>
          </cell>
          <cell r="E4048" t="str">
            <v>E34 E34</v>
          </cell>
          <cell r="F4048" t="str">
            <v>VB Manual reorder point planning</v>
          </cell>
          <cell r="G4048" t="str">
            <v>ERSA Spare parts</v>
          </cell>
          <cell r="H4048" t="str">
            <v>EN038     MechanicalSeals&amp;Spar</v>
          </cell>
          <cell r="I4048" t="str">
            <v>L003 Ankleshwar</v>
          </cell>
          <cell r="J4048" t="str">
            <v>99 Input/Byprodt/Scrap</v>
          </cell>
          <cell r="K4048" t="str">
            <v>10.2012</v>
          </cell>
          <cell r="L4048">
            <v>6</v>
          </cell>
          <cell r="M4048" t="str">
            <v>SET</v>
          </cell>
          <cell r="N4048">
            <v>1005.94</v>
          </cell>
          <cell r="O4048" t="str">
            <v>INR</v>
          </cell>
        </row>
        <row r="4049">
          <cell r="A4049" t="str">
            <v>L003 Ankleshwar</v>
          </cell>
          <cell r="B4049">
            <v>652642</v>
          </cell>
          <cell r="C4049" t="str">
            <v>ROTARY FACE SIC CS SHORT:SSBC-Q-0349</v>
          </cell>
          <cell r="D4049" t="str">
            <v>L0030151                       EnggStore</v>
          </cell>
          <cell r="E4049" t="str">
            <v>E34 E34</v>
          </cell>
          <cell r="F4049" t="str">
            <v>VB Manual reorder point planning</v>
          </cell>
          <cell r="G4049" t="str">
            <v>ERSA Spare parts</v>
          </cell>
          <cell r="H4049" t="str">
            <v>EN038     MechanicalSeals&amp;Spar</v>
          </cell>
          <cell r="I4049" t="str">
            <v>L003 Ankleshwar</v>
          </cell>
          <cell r="J4049" t="str">
            <v>99 Input/Byprodt/Scrap</v>
          </cell>
          <cell r="K4049" t="str">
            <v>10.2012</v>
          </cell>
          <cell r="L4049">
            <v>1</v>
          </cell>
          <cell r="M4049" t="str">
            <v>EA</v>
          </cell>
          <cell r="N4049">
            <v>4758.0699999999897</v>
          </cell>
          <cell r="O4049" t="str">
            <v>INR</v>
          </cell>
        </row>
        <row r="4050">
          <cell r="A4050" t="str">
            <v>L003 Ankleshwar</v>
          </cell>
          <cell r="B4050">
            <v>652643</v>
          </cell>
          <cell r="C4050" t="str">
            <v>STATIONARY FACE SIC CS SHORT:SSBC-Q-0349</v>
          </cell>
          <cell r="D4050" t="str">
            <v>L0030151                       EnggStore</v>
          </cell>
          <cell r="E4050" t="str">
            <v>E34 E34</v>
          </cell>
          <cell r="F4050" t="str">
            <v>VB Manual reorder point planning</v>
          </cell>
          <cell r="G4050" t="str">
            <v>ERSA Spare parts</v>
          </cell>
          <cell r="H4050" t="str">
            <v>EN038     MechanicalSeals&amp;Spar</v>
          </cell>
          <cell r="I4050" t="str">
            <v>L003 Ankleshwar</v>
          </cell>
          <cell r="J4050" t="str">
            <v>99 Input/Byprodt/Scrap</v>
          </cell>
          <cell r="K4050" t="str">
            <v>10.2012</v>
          </cell>
          <cell r="L4050">
            <v>1</v>
          </cell>
          <cell r="M4050" t="str">
            <v>EA</v>
          </cell>
          <cell r="N4050">
            <v>4816.1199999999899</v>
          </cell>
          <cell r="O4050" t="str">
            <v>INR</v>
          </cell>
        </row>
        <row r="4051">
          <cell r="A4051" t="str">
            <v>L003 Ankleshwar</v>
          </cell>
          <cell r="B4051">
            <v>652644</v>
          </cell>
          <cell r="C4051" t="str">
            <v>GASKET PTFE: SSBC-Q-0349</v>
          </cell>
          <cell r="D4051" t="str">
            <v>L0030151                       EnggStore</v>
          </cell>
          <cell r="E4051">
            <v>0</v>
          </cell>
          <cell r="F4051" t="str">
            <v>ND No planning</v>
          </cell>
          <cell r="G4051" t="str">
            <v>ERSA Spare parts</v>
          </cell>
          <cell r="H4051" t="str">
            <v>EN038     MechanicalSeals&amp;Spar</v>
          </cell>
          <cell r="I4051" t="str">
            <v>L003 Ankleshwar</v>
          </cell>
          <cell r="J4051" t="str">
            <v>99 Input/Byprodt/Scrap</v>
          </cell>
          <cell r="K4051" t="str">
            <v>10.2012</v>
          </cell>
          <cell r="L4051">
            <v>2</v>
          </cell>
          <cell r="M4051" t="str">
            <v>EA</v>
          </cell>
          <cell r="N4051">
            <v>215.229999999999</v>
          </cell>
          <cell r="O4051" t="str">
            <v>INR</v>
          </cell>
        </row>
        <row r="4052">
          <cell r="A4052" t="str">
            <v>L003 Ankleshwar</v>
          </cell>
          <cell r="B4052">
            <v>652645</v>
          </cell>
          <cell r="C4052" t="str">
            <v>O-RING TV: QSSBC-Q-0349</v>
          </cell>
          <cell r="D4052" t="str">
            <v>L0030151                       EnggStore</v>
          </cell>
          <cell r="E4052" t="str">
            <v>E34 E34</v>
          </cell>
          <cell r="F4052" t="str">
            <v>VB Manual reorder point planning</v>
          </cell>
          <cell r="G4052" t="str">
            <v>ERSA Spare parts</v>
          </cell>
          <cell r="H4052" t="str">
            <v>EN038     MechanicalSeals&amp;Spar</v>
          </cell>
          <cell r="I4052" t="str">
            <v>L003 Ankleshwar</v>
          </cell>
          <cell r="J4052" t="str">
            <v>99 Input/Byprodt/Scrap</v>
          </cell>
          <cell r="K4052" t="str">
            <v>10.2012</v>
          </cell>
          <cell r="L4052">
            <v>5</v>
          </cell>
          <cell r="M4052" t="str">
            <v>EA</v>
          </cell>
          <cell r="N4052">
            <v>5074.8699999999899</v>
          </cell>
          <cell r="O4052" t="str">
            <v>INR</v>
          </cell>
        </row>
        <row r="4053">
          <cell r="A4053" t="str">
            <v>L003 Ankleshwar</v>
          </cell>
          <cell r="B4053">
            <v>652646</v>
          </cell>
          <cell r="C4053" t="str">
            <v>GRUB SCREW SS316: SSBC-Q-0349</v>
          </cell>
          <cell r="D4053" t="str">
            <v>L0030151                       EnggStore</v>
          </cell>
          <cell r="E4053" t="str">
            <v>E34 E34</v>
          </cell>
          <cell r="F4053" t="str">
            <v>VB Manual reorder point planning</v>
          </cell>
          <cell r="G4053" t="str">
            <v>ERSA Spare parts</v>
          </cell>
          <cell r="H4053" t="str">
            <v>EN038     MechanicalSeals&amp;Spar</v>
          </cell>
          <cell r="I4053" t="str">
            <v>L003 Ankleshwar</v>
          </cell>
          <cell r="J4053" t="str">
            <v>99 Input/Byprodt/Scrap</v>
          </cell>
          <cell r="K4053" t="str">
            <v>10.2012</v>
          </cell>
          <cell r="L4053">
            <v>2</v>
          </cell>
          <cell r="M4053" t="str">
            <v>SET</v>
          </cell>
          <cell r="N4053">
            <v>329.92</v>
          </cell>
          <cell r="O4053" t="str">
            <v>INR</v>
          </cell>
        </row>
        <row r="4054">
          <cell r="A4054" t="str">
            <v>L003 Ankleshwar</v>
          </cell>
          <cell r="B4054">
            <v>652648</v>
          </cell>
          <cell r="C4054" t="str">
            <v>O RING PTFE: SSBC-Q-0349</v>
          </cell>
          <cell r="D4054" t="str">
            <v>L0030151                       EnggStore</v>
          </cell>
          <cell r="E4054" t="str">
            <v>E34 E34</v>
          </cell>
          <cell r="F4054" t="str">
            <v>VB Manual reorder point planning</v>
          </cell>
          <cell r="G4054" t="str">
            <v>ERSA Spare parts</v>
          </cell>
          <cell r="H4054" t="str">
            <v>EN038     MechanicalSeals&amp;Spar</v>
          </cell>
          <cell r="I4054" t="str">
            <v>L003 Ankleshwar</v>
          </cell>
          <cell r="J4054" t="str">
            <v>99 Input/Byprodt/Scrap</v>
          </cell>
          <cell r="K4054" t="str">
            <v>10.2012</v>
          </cell>
          <cell r="L4054">
            <v>3</v>
          </cell>
          <cell r="M4054" t="str">
            <v>EA</v>
          </cell>
          <cell r="N4054">
            <v>323.98</v>
          </cell>
          <cell r="O4054" t="str">
            <v>INR</v>
          </cell>
        </row>
        <row r="4055">
          <cell r="A4055" t="str">
            <v>L003 Ankleshwar</v>
          </cell>
          <cell r="B4055">
            <v>652649</v>
          </cell>
          <cell r="C4055" t="str">
            <v>O RING NITRILE: SSBC-Q-0349</v>
          </cell>
          <cell r="D4055" t="str">
            <v>L0030151                       EnggStore</v>
          </cell>
          <cell r="E4055">
            <v>0</v>
          </cell>
          <cell r="F4055" t="str">
            <v>ND No planning</v>
          </cell>
          <cell r="G4055" t="str">
            <v>ERSA Spare parts</v>
          </cell>
          <cell r="H4055" t="str">
            <v>EN038     MechanicalSeals&amp;Spar</v>
          </cell>
          <cell r="I4055" t="str">
            <v>L003 Ankleshwar</v>
          </cell>
          <cell r="J4055" t="str">
            <v>99 Input/Byprodt/Scrap</v>
          </cell>
          <cell r="K4055" t="str">
            <v>10.2012</v>
          </cell>
          <cell r="L4055">
            <v>5</v>
          </cell>
          <cell r="M4055" t="str">
            <v>EA</v>
          </cell>
          <cell r="N4055">
            <v>538.41999999999905</v>
          </cell>
          <cell r="O4055" t="str">
            <v>INR</v>
          </cell>
        </row>
        <row r="4056">
          <cell r="A4056" t="str">
            <v>L003 Ankleshwar</v>
          </cell>
          <cell r="B4056">
            <v>652650</v>
          </cell>
          <cell r="C4056" t="str">
            <v>SUPPORT RING GFT: SSBC-Q-0349</v>
          </cell>
          <cell r="D4056" t="str">
            <v>L0030151                       EnggStore</v>
          </cell>
          <cell r="E4056" t="str">
            <v>E01 E01</v>
          </cell>
          <cell r="F4056" t="str">
            <v>VB Manual reorder point planning</v>
          </cell>
          <cell r="G4056" t="str">
            <v>ERSA Spare parts</v>
          </cell>
          <cell r="H4056" t="str">
            <v>EN038     MechanicalSeals&amp;Spar</v>
          </cell>
          <cell r="I4056" t="str">
            <v>L003 Ankleshwar</v>
          </cell>
          <cell r="J4056" t="str">
            <v>99 Input/Byprodt/Scrap</v>
          </cell>
          <cell r="K4056" t="str">
            <v>10.2012</v>
          </cell>
          <cell r="L4056">
            <v>2</v>
          </cell>
          <cell r="M4056" t="str">
            <v>EA</v>
          </cell>
          <cell r="N4056">
            <v>933.39999999999895</v>
          </cell>
          <cell r="O4056" t="str">
            <v>INR</v>
          </cell>
        </row>
        <row r="4057">
          <cell r="A4057" t="str">
            <v>L003 Ankleshwar</v>
          </cell>
          <cell r="B4057">
            <v>652651</v>
          </cell>
          <cell r="C4057" t="str">
            <v>ROTARY FACE SIC CS SHORT:SSBC-Q-0444</v>
          </cell>
          <cell r="D4057" t="str">
            <v>L0030151                       EnggStore</v>
          </cell>
          <cell r="E4057">
            <v>0</v>
          </cell>
          <cell r="F4057" t="str">
            <v>ND No planning</v>
          </cell>
          <cell r="G4057" t="str">
            <v>ERSA Spare parts</v>
          </cell>
          <cell r="H4057" t="str">
            <v>EN038     MechanicalSeals&amp;Spar</v>
          </cell>
          <cell r="I4057" t="str">
            <v>L003 Ankleshwar</v>
          </cell>
          <cell r="J4057" t="str">
            <v>99 Input/Byprodt/Scrap</v>
          </cell>
          <cell r="K4057" t="str">
            <v>10.2012</v>
          </cell>
          <cell r="L4057">
            <v>1</v>
          </cell>
          <cell r="M4057" t="str">
            <v>EA</v>
          </cell>
          <cell r="N4057">
            <v>6701.7399999999898</v>
          </cell>
          <cell r="O4057" t="str">
            <v>INR</v>
          </cell>
        </row>
        <row r="4058">
          <cell r="A4058" t="str">
            <v>L003 Ankleshwar</v>
          </cell>
          <cell r="B4058">
            <v>652652</v>
          </cell>
          <cell r="C4058" t="str">
            <v>STATIONARY FACE SIC CS SHORT:SSBC-Q-0444</v>
          </cell>
          <cell r="D4058" t="str">
            <v>L0030151                       EnggStore</v>
          </cell>
          <cell r="E4058">
            <v>0</v>
          </cell>
          <cell r="F4058" t="str">
            <v>ND No planning</v>
          </cell>
          <cell r="G4058" t="str">
            <v>ERSA Spare parts</v>
          </cell>
          <cell r="H4058" t="str">
            <v>EN038     MechanicalSeals&amp;Spar</v>
          </cell>
          <cell r="I4058" t="str">
            <v>L003 Ankleshwar</v>
          </cell>
          <cell r="J4058" t="str">
            <v>99 Input/Byprodt/Scrap</v>
          </cell>
          <cell r="K4058" t="str">
            <v>10.2012</v>
          </cell>
          <cell r="L4058">
            <v>1</v>
          </cell>
          <cell r="M4058" t="str">
            <v>EA</v>
          </cell>
          <cell r="N4058">
            <v>6701.7399999999898</v>
          </cell>
          <cell r="O4058" t="str">
            <v>INR</v>
          </cell>
        </row>
        <row r="4059">
          <cell r="A4059" t="str">
            <v>L003 Ankleshwar</v>
          </cell>
          <cell r="B4059">
            <v>652653</v>
          </cell>
          <cell r="C4059" t="str">
            <v>GASKET PTFE: SSBC-Q-0444</v>
          </cell>
          <cell r="D4059" t="str">
            <v>L0030151                       EnggStore</v>
          </cell>
          <cell r="E4059">
            <v>0</v>
          </cell>
          <cell r="F4059" t="str">
            <v>ND No planning</v>
          </cell>
          <cell r="G4059" t="str">
            <v>ERSA Spare parts</v>
          </cell>
          <cell r="H4059" t="str">
            <v>EN038     MechanicalSeals&amp;Spar</v>
          </cell>
          <cell r="I4059" t="str">
            <v>L003 Ankleshwar</v>
          </cell>
          <cell r="J4059" t="str">
            <v>99 Input/Byprodt/Scrap</v>
          </cell>
          <cell r="K4059" t="str">
            <v>10.2012</v>
          </cell>
          <cell r="L4059">
            <v>1</v>
          </cell>
          <cell r="M4059" t="str">
            <v>EA</v>
          </cell>
          <cell r="N4059">
            <v>159.02000000000001</v>
          </cell>
          <cell r="O4059" t="str">
            <v>INR</v>
          </cell>
        </row>
        <row r="4060">
          <cell r="A4060" t="str">
            <v>L003 Ankleshwar</v>
          </cell>
          <cell r="B4060">
            <v>652654</v>
          </cell>
          <cell r="C4060" t="str">
            <v>O-RING VITON: 5Q SSBC-Q-0444</v>
          </cell>
          <cell r="D4060" t="str">
            <v>L0030151                       EnggStore</v>
          </cell>
          <cell r="E4060">
            <v>0</v>
          </cell>
          <cell r="F4060" t="str">
            <v>ND No planning</v>
          </cell>
          <cell r="G4060" t="str">
            <v>ERSA Spare parts</v>
          </cell>
          <cell r="H4060" t="str">
            <v>EN038     MechanicalSeals&amp;Spar</v>
          </cell>
          <cell r="I4060" t="str">
            <v>L003 Ankleshwar</v>
          </cell>
          <cell r="J4060" t="str">
            <v>99 Input/Byprodt/Scrap</v>
          </cell>
          <cell r="K4060" t="str">
            <v>10.2012</v>
          </cell>
          <cell r="L4060">
            <v>1</v>
          </cell>
          <cell r="M4060" t="str">
            <v>EA</v>
          </cell>
          <cell r="N4060">
            <v>150.77000000000001</v>
          </cell>
          <cell r="O4060" t="str">
            <v>INR</v>
          </cell>
        </row>
        <row r="4061">
          <cell r="A4061" t="str">
            <v>L003 Ankleshwar</v>
          </cell>
          <cell r="B4061">
            <v>652655</v>
          </cell>
          <cell r="C4061" t="str">
            <v>O-RING VITON: 6V SSBC-Q-0444</v>
          </cell>
          <cell r="D4061" t="str">
            <v>L0030151                       EnggStore</v>
          </cell>
          <cell r="E4061">
            <v>0</v>
          </cell>
          <cell r="F4061" t="str">
            <v>ND No planning</v>
          </cell>
          <cell r="G4061" t="str">
            <v>ERSA Spare parts</v>
          </cell>
          <cell r="H4061" t="str">
            <v>EN038     MechanicalSeals&amp;Spar</v>
          </cell>
          <cell r="I4061" t="str">
            <v>L003 Ankleshwar</v>
          </cell>
          <cell r="J4061" t="str">
            <v>99 Input/Byprodt/Scrap</v>
          </cell>
          <cell r="K4061" t="str">
            <v>10.2012</v>
          </cell>
          <cell r="L4061">
            <v>2</v>
          </cell>
          <cell r="M4061" t="str">
            <v>EA</v>
          </cell>
          <cell r="N4061">
            <v>301.54000000000002</v>
          </cell>
          <cell r="O4061" t="str">
            <v>INR</v>
          </cell>
        </row>
        <row r="4062">
          <cell r="A4062" t="str">
            <v>L003 Ankleshwar</v>
          </cell>
          <cell r="B4062">
            <v>652657</v>
          </cell>
          <cell r="C4062" t="str">
            <v>SUPPORT RING GFT: SSBC-Q-0444</v>
          </cell>
          <cell r="D4062" t="str">
            <v>L0030151                       EnggStore</v>
          </cell>
          <cell r="E4062">
            <v>0</v>
          </cell>
          <cell r="F4062" t="str">
            <v>ND No planning</v>
          </cell>
          <cell r="G4062" t="str">
            <v>ERSA Spare parts</v>
          </cell>
          <cell r="H4062" t="str">
            <v>EN038     MechanicalSeals&amp;Spar</v>
          </cell>
          <cell r="I4062" t="str">
            <v>L003 Ankleshwar</v>
          </cell>
          <cell r="J4062" t="str">
            <v>99 Input/Byprodt/Scrap</v>
          </cell>
          <cell r="K4062" t="str">
            <v>10.2012</v>
          </cell>
          <cell r="L4062">
            <v>1</v>
          </cell>
          <cell r="M4062" t="str">
            <v>EA</v>
          </cell>
          <cell r="N4062">
            <v>562</v>
          </cell>
          <cell r="O4062" t="str">
            <v>INR</v>
          </cell>
        </row>
        <row r="4063">
          <cell r="A4063" t="str">
            <v>L003 Ankleshwar</v>
          </cell>
          <cell r="B4063">
            <v>652666</v>
          </cell>
          <cell r="C4063" t="str">
            <v>SS316 SPRING-HIFAB:SSDB-DIA.50MM</v>
          </cell>
          <cell r="D4063" t="str">
            <v>L0030151                       EnggStore</v>
          </cell>
          <cell r="E4063">
            <v>0</v>
          </cell>
          <cell r="F4063" t="str">
            <v>ND No planning</v>
          </cell>
          <cell r="G4063" t="str">
            <v>ERSA Spare parts</v>
          </cell>
          <cell r="H4063" t="str">
            <v>EN038     MechanicalSeals&amp;Spar</v>
          </cell>
          <cell r="I4063" t="str">
            <v>L003 Ankleshwar</v>
          </cell>
          <cell r="J4063" t="str">
            <v>99 Input/Byprodt/Scrap</v>
          </cell>
          <cell r="K4063" t="str">
            <v>10.2012</v>
          </cell>
          <cell r="L4063">
            <v>1</v>
          </cell>
          <cell r="M4063" t="str">
            <v>SET</v>
          </cell>
          <cell r="N4063">
            <v>691.64999999999895</v>
          </cell>
          <cell r="O4063" t="str">
            <v>INR</v>
          </cell>
        </row>
        <row r="4064">
          <cell r="A4064" t="str">
            <v>L003 Ankleshwar</v>
          </cell>
          <cell r="B4064">
            <v>652667</v>
          </cell>
          <cell r="C4064" t="str">
            <v>CARBON SEALRING:HIFAB-SSDB-DIA.50MM</v>
          </cell>
          <cell r="D4064" t="str">
            <v>L0030151                       EnggStore</v>
          </cell>
          <cell r="E4064">
            <v>0</v>
          </cell>
          <cell r="F4064" t="str">
            <v>ND No planning</v>
          </cell>
          <cell r="G4064" t="str">
            <v>ERSA Spare parts</v>
          </cell>
          <cell r="H4064" t="str">
            <v>EN038     MechanicalSeals&amp;Spar</v>
          </cell>
          <cell r="I4064" t="str">
            <v>L003 Ankleshwar</v>
          </cell>
          <cell r="J4064" t="str">
            <v>99 Input/Byprodt/Scrap</v>
          </cell>
          <cell r="K4064" t="str">
            <v>10.2012</v>
          </cell>
          <cell r="L4064">
            <v>1</v>
          </cell>
          <cell r="M4064" t="str">
            <v>EA</v>
          </cell>
          <cell r="N4064">
            <v>10201.790000000001</v>
          </cell>
          <cell r="O4064" t="str">
            <v>INR</v>
          </cell>
        </row>
        <row r="4065">
          <cell r="A4065" t="str">
            <v>L003 Ankleshwar</v>
          </cell>
          <cell r="B4065">
            <v>652670</v>
          </cell>
          <cell r="C4065" t="str">
            <v>O-RING TV:HIFAB-SSDB-DIA.50MM</v>
          </cell>
          <cell r="D4065" t="str">
            <v>L0030151                       EnggStore</v>
          </cell>
          <cell r="E4065">
            <v>0</v>
          </cell>
          <cell r="F4065" t="str">
            <v>ND No planning</v>
          </cell>
          <cell r="G4065" t="str">
            <v>ERSA Spare parts</v>
          </cell>
          <cell r="H4065" t="str">
            <v>EN038     MechanicalSeals&amp;Spar</v>
          </cell>
          <cell r="I4065" t="str">
            <v>L003 Ankleshwar</v>
          </cell>
          <cell r="J4065" t="str">
            <v>99 Input/Byprodt/Scrap</v>
          </cell>
          <cell r="K4065" t="str">
            <v>10.2012</v>
          </cell>
          <cell r="L4065">
            <v>1</v>
          </cell>
          <cell r="M4065" t="str">
            <v>EA</v>
          </cell>
          <cell r="N4065">
            <v>2288</v>
          </cell>
          <cell r="O4065" t="str">
            <v>INR</v>
          </cell>
        </row>
        <row r="4066">
          <cell r="A4066" t="str">
            <v>L003 Ankleshwar</v>
          </cell>
          <cell r="B4066">
            <v>652671</v>
          </cell>
          <cell r="C4066" t="str">
            <v>PTFE GASKET:HIFAB-SSDB-DIA.50MM</v>
          </cell>
          <cell r="D4066" t="str">
            <v>L0030151                       EnggStore</v>
          </cell>
          <cell r="E4066">
            <v>0</v>
          </cell>
          <cell r="F4066" t="str">
            <v>ND No planning</v>
          </cell>
          <cell r="G4066" t="str">
            <v>ERSA Spare parts</v>
          </cell>
          <cell r="H4066" t="str">
            <v>EN038     MechanicalSeals&amp;Spar</v>
          </cell>
          <cell r="I4066" t="str">
            <v>L003 Ankleshwar</v>
          </cell>
          <cell r="J4066" t="str">
            <v>99 Input/Byprodt/Scrap</v>
          </cell>
          <cell r="K4066" t="str">
            <v>10.2012</v>
          </cell>
          <cell r="L4066">
            <v>2</v>
          </cell>
          <cell r="M4066" t="str">
            <v>EA</v>
          </cell>
          <cell r="N4066">
            <v>332.8</v>
          </cell>
          <cell r="O4066" t="str">
            <v>INR</v>
          </cell>
        </row>
        <row r="4067">
          <cell r="A4067" t="str">
            <v>L003 Ankleshwar</v>
          </cell>
          <cell r="B4067">
            <v>652672</v>
          </cell>
          <cell r="C4067" t="str">
            <v>O-RING VITON:HIFAB-SSDB-DIA.50MM</v>
          </cell>
          <cell r="D4067" t="str">
            <v>L0030151                       EnggStore</v>
          </cell>
          <cell r="E4067">
            <v>0</v>
          </cell>
          <cell r="F4067" t="str">
            <v>ND No planning</v>
          </cell>
          <cell r="G4067" t="str">
            <v>ERSA Spare parts</v>
          </cell>
          <cell r="H4067" t="str">
            <v>EN038     MechanicalSeals&amp;Spar</v>
          </cell>
          <cell r="I4067" t="str">
            <v>L003 Ankleshwar</v>
          </cell>
          <cell r="J4067" t="str">
            <v>99 Input/Byprodt/Scrap</v>
          </cell>
          <cell r="K4067" t="str">
            <v>10.2012</v>
          </cell>
          <cell r="L4067">
            <v>1</v>
          </cell>
          <cell r="M4067" t="str">
            <v>EA</v>
          </cell>
          <cell r="N4067">
            <v>322.39999999999901</v>
          </cell>
          <cell r="O4067" t="str">
            <v>INR</v>
          </cell>
        </row>
        <row r="4068">
          <cell r="A4068" t="str">
            <v>L003 Ankleshwar</v>
          </cell>
          <cell r="B4068">
            <v>652673</v>
          </cell>
          <cell r="C4068" t="str">
            <v>PTFE O-RING:HIFAB-SSDB-DIA.50MM</v>
          </cell>
          <cell r="D4068" t="str">
            <v>L0030151                       EnggStore</v>
          </cell>
          <cell r="E4068">
            <v>0</v>
          </cell>
          <cell r="F4068" t="str">
            <v>ND No planning</v>
          </cell>
          <cell r="G4068" t="str">
            <v>ERSA Spare parts</v>
          </cell>
          <cell r="H4068" t="str">
            <v>EN038     MechanicalSeals&amp;Spar</v>
          </cell>
          <cell r="I4068" t="str">
            <v>L003 Ankleshwar</v>
          </cell>
          <cell r="J4068" t="str">
            <v>99 Input/Byprodt/Scrap</v>
          </cell>
          <cell r="K4068" t="str">
            <v>10.2012</v>
          </cell>
          <cell r="L4068">
            <v>1</v>
          </cell>
          <cell r="M4068" t="str">
            <v>EA</v>
          </cell>
          <cell r="N4068">
            <v>1092</v>
          </cell>
          <cell r="O4068" t="str">
            <v>INR</v>
          </cell>
        </row>
        <row r="4069">
          <cell r="A4069" t="str">
            <v>L003 Ankleshwar</v>
          </cell>
          <cell r="B4069">
            <v>652674</v>
          </cell>
          <cell r="C4069" t="str">
            <v>SS316-SNAP RING:HIFAB-SSDB-DIA.50MM</v>
          </cell>
          <cell r="D4069" t="str">
            <v>L0030151                       EnggStore</v>
          </cell>
          <cell r="E4069">
            <v>0</v>
          </cell>
          <cell r="F4069" t="str">
            <v>ND No planning</v>
          </cell>
          <cell r="G4069" t="str">
            <v>ERSA Spare parts</v>
          </cell>
          <cell r="H4069" t="str">
            <v>EN038     MechanicalSeals&amp;Spar</v>
          </cell>
          <cell r="I4069" t="str">
            <v>L003 Ankleshwar</v>
          </cell>
          <cell r="J4069" t="str">
            <v>99 Input/Byprodt/Scrap</v>
          </cell>
          <cell r="K4069" t="str">
            <v>10.2012</v>
          </cell>
          <cell r="L4069">
            <v>1</v>
          </cell>
          <cell r="M4069" t="str">
            <v>EA</v>
          </cell>
          <cell r="N4069">
            <v>404.63</v>
          </cell>
          <cell r="O4069" t="str">
            <v>INR</v>
          </cell>
        </row>
        <row r="4070">
          <cell r="A4070" t="str">
            <v>L003 Ankleshwar</v>
          </cell>
          <cell r="B4070">
            <v>652834</v>
          </cell>
          <cell r="C4070" t="str">
            <v>PVC BLOWER IMPELLER:8.5"X4"X1/2"BORE</v>
          </cell>
          <cell r="D4070" t="str">
            <v>L0030151                       EnggStore</v>
          </cell>
          <cell r="E4070" t="str">
            <v>E32 E32</v>
          </cell>
          <cell r="F4070" t="str">
            <v>VB Manual reorder point planning</v>
          </cell>
          <cell r="G4070" t="str">
            <v>ERSA Spare parts</v>
          </cell>
          <cell r="H4070" t="str">
            <v>EN018     UtilityEquipmentSpar</v>
          </cell>
          <cell r="I4070" t="str">
            <v>L003 Ankleshwar</v>
          </cell>
          <cell r="J4070" t="str">
            <v>99 Input/Byprodt/Scrap</v>
          </cell>
          <cell r="K4070" t="str">
            <v>10.2012</v>
          </cell>
          <cell r="L4070">
            <v>1</v>
          </cell>
          <cell r="M4070" t="str">
            <v>EA</v>
          </cell>
          <cell r="N4070">
            <v>237.5</v>
          </cell>
          <cell r="O4070" t="str">
            <v>INR</v>
          </cell>
        </row>
        <row r="4071">
          <cell r="A4071" t="str">
            <v>L003 Ankleshwar</v>
          </cell>
          <cell r="B4071">
            <v>652900</v>
          </cell>
          <cell r="C4071" t="str">
            <v>WIPER SET-GFT-FOR WFE: 1M²</v>
          </cell>
          <cell r="D4071" t="str">
            <v>L0030151                       EnggStore</v>
          </cell>
          <cell r="E4071">
            <v>0</v>
          </cell>
          <cell r="F4071" t="str">
            <v>ND No planning</v>
          </cell>
          <cell r="G4071" t="str">
            <v>ERSA Spare parts</v>
          </cell>
          <cell r="H4071" t="str">
            <v>EN039     PlantEquipmentSpares</v>
          </cell>
          <cell r="I4071" t="str">
            <v>L003 Ankleshwar</v>
          </cell>
          <cell r="J4071" t="str">
            <v>99 Input/Byprodt/Scrap</v>
          </cell>
          <cell r="K4071" t="str">
            <v>10.2012</v>
          </cell>
          <cell r="L4071">
            <v>2</v>
          </cell>
          <cell r="M4071" t="str">
            <v>SET</v>
          </cell>
          <cell r="N4071">
            <v>48134.8</v>
          </cell>
          <cell r="O4071" t="str">
            <v>INR</v>
          </cell>
        </row>
        <row r="4072">
          <cell r="A4072" t="str">
            <v>L003 Ankleshwar</v>
          </cell>
          <cell r="B4072">
            <v>652909</v>
          </cell>
          <cell r="C4072" t="str">
            <v>PVC FAN FOR 25HP/725RPM/ND 225 /NFLP MOT</v>
          </cell>
          <cell r="D4072" t="str">
            <v>L0030151                       EnggStore</v>
          </cell>
          <cell r="E4072">
            <v>0</v>
          </cell>
          <cell r="F4072" t="str">
            <v>ND No planning</v>
          </cell>
          <cell r="G4072" t="str">
            <v>ERSA Spare parts</v>
          </cell>
          <cell r="H4072" t="str">
            <v>EN007     Elec Motors &amp; Spares</v>
          </cell>
          <cell r="I4072" t="str">
            <v>L003 Ankleshwar</v>
          </cell>
          <cell r="J4072" t="str">
            <v>99 Input/Byprodt/Scrap</v>
          </cell>
          <cell r="K4072" t="str">
            <v>10.2012</v>
          </cell>
          <cell r="L4072">
            <v>2</v>
          </cell>
          <cell r="M4072" t="str">
            <v>EA</v>
          </cell>
          <cell r="N4072">
            <v>650</v>
          </cell>
          <cell r="O4072" t="str">
            <v>INR</v>
          </cell>
        </row>
        <row r="4073">
          <cell r="A4073" t="str">
            <v>L003 Ankleshwar</v>
          </cell>
          <cell r="B4073">
            <v>652966</v>
          </cell>
          <cell r="C4073" t="str">
            <v>FLOW CONTROL VALVE-C I-F/T: 200MM</v>
          </cell>
          <cell r="D4073" t="str">
            <v>L0030151                       EnggStore</v>
          </cell>
          <cell r="E4073">
            <v>0</v>
          </cell>
          <cell r="F4073" t="str">
            <v>ND No planning</v>
          </cell>
          <cell r="G4073" t="str">
            <v>ERSA Spare parts</v>
          </cell>
          <cell r="H4073" t="str">
            <v>EN023     Valves&amp;spares</v>
          </cell>
          <cell r="I4073" t="str">
            <v>L003 Ankleshwar</v>
          </cell>
          <cell r="J4073" t="str">
            <v>99 Input/Byprodt/Scrap</v>
          </cell>
          <cell r="K4073" t="str">
            <v>10.2012</v>
          </cell>
          <cell r="L4073">
            <v>1</v>
          </cell>
          <cell r="M4073" t="str">
            <v>EA</v>
          </cell>
          <cell r="N4073">
            <v>5534.46</v>
          </cell>
          <cell r="O4073" t="str">
            <v>INR</v>
          </cell>
        </row>
        <row r="4074">
          <cell r="A4074" t="str">
            <v>L003 Ankleshwar</v>
          </cell>
          <cell r="B4074">
            <v>652975</v>
          </cell>
          <cell r="C4074" t="str">
            <v>SUCTION VALVE SPRING: PN-HNT-N-3850/75</v>
          </cell>
          <cell r="D4074" t="str">
            <v>L0030151                       EnggStore</v>
          </cell>
          <cell r="E4074" t="str">
            <v>E34 E34</v>
          </cell>
          <cell r="F4074" t="str">
            <v>VB Manual reorder point planning</v>
          </cell>
          <cell r="G4074" t="str">
            <v>ERSA Spare parts</v>
          </cell>
          <cell r="H4074" t="str">
            <v>EN032     Pumpspares</v>
          </cell>
          <cell r="I4074" t="str">
            <v>L003 Ankleshwar</v>
          </cell>
          <cell r="J4074" t="str">
            <v>99 Input/Byprodt/Scrap</v>
          </cell>
          <cell r="K4074" t="str">
            <v>10.2012</v>
          </cell>
          <cell r="L4074">
            <v>31</v>
          </cell>
          <cell r="M4074" t="str">
            <v>EA</v>
          </cell>
          <cell r="N4074">
            <v>3766.36</v>
          </cell>
          <cell r="O4074" t="str">
            <v>INR</v>
          </cell>
        </row>
        <row r="4075">
          <cell r="A4075" t="str">
            <v>L003 Ankleshwar</v>
          </cell>
          <cell r="B4075">
            <v>652984</v>
          </cell>
          <cell r="C4075" t="str">
            <v>HARD CHROM PLATED PISTON ROD, 50MM</v>
          </cell>
          <cell r="D4075" t="str">
            <v>L0030151                       EnggStore</v>
          </cell>
          <cell r="E4075">
            <v>0</v>
          </cell>
          <cell r="F4075" t="str">
            <v>ND No planning</v>
          </cell>
          <cell r="G4075" t="str">
            <v>ERSA Spare parts</v>
          </cell>
          <cell r="H4075" t="str">
            <v>EN039     PlantEquipmentSpares</v>
          </cell>
          <cell r="I4075" t="str">
            <v>L003 Ankleshwar</v>
          </cell>
          <cell r="J4075" t="str">
            <v>99 Input/Byprodt/Scrap</v>
          </cell>
          <cell r="K4075" t="str">
            <v>10.2012</v>
          </cell>
          <cell r="L4075">
            <v>1</v>
          </cell>
          <cell r="M4075" t="str">
            <v>EA</v>
          </cell>
          <cell r="N4075">
            <v>7050</v>
          </cell>
          <cell r="O4075" t="str">
            <v>INR</v>
          </cell>
        </row>
        <row r="4076">
          <cell r="A4076" t="str">
            <v>L003 Ankleshwar</v>
          </cell>
          <cell r="B4076">
            <v>652998</v>
          </cell>
          <cell r="C4076" t="str">
            <v>SS316 CASING : CCR-25 X 160 PUMP</v>
          </cell>
          <cell r="D4076" t="str">
            <v>L0030151                       EnggStore</v>
          </cell>
          <cell r="E4076">
            <v>0</v>
          </cell>
          <cell r="F4076" t="str">
            <v>ND No planning</v>
          </cell>
          <cell r="G4076" t="str">
            <v>ERSA Spare parts</v>
          </cell>
          <cell r="H4076" t="str">
            <v>EN032     Pumpspares</v>
          </cell>
          <cell r="I4076" t="str">
            <v>L003 Ankleshwar</v>
          </cell>
          <cell r="J4076" t="str">
            <v>99 Input/Byprodt/Scrap</v>
          </cell>
          <cell r="K4076" t="str">
            <v>10.2012</v>
          </cell>
          <cell r="L4076">
            <v>1</v>
          </cell>
          <cell r="M4076" t="str">
            <v>EA</v>
          </cell>
          <cell r="N4076">
            <v>13260</v>
          </cell>
          <cell r="O4076" t="str">
            <v>INR</v>
          </cell>
        </row>
        <row r="4077">
          <cell r="A4077" t="str">
            <v>L003 Ankleshwar</v>
          </cell>
          <cell r="B4077">
            <v>653018</v>
          </cell>
          <cell r="C4077" t="str">
            <v>CRANKSHAFT ASSEMBLY KC6</v>
          </cell>
          <cell r="D4077" t="str">
            <v>L0030151                       EnggStore</v>
          </cell>
          <cell r="E4077">
            <v>0</v>
          </cell>
          <cell r="F4077" t="str">
            <v>ND No planning</v>
          </cell>
          <cell r="G4077" t="str">
            <v>ERSA Spare parts</v>
          </cell>
          <cell r="H4077" t="str">
            <v>EN018     UtilityEquipmentSpar</v>
          </cell>
          <cell r="I4077" t="str">
            <v>L003 Ankleshwar</v>
          </cell>
          <cell r="J4077" t="str">
            <v>99 Input/Byprodt/Scrap</v>
          </cell>
          <cell r="K4077" t="str">
            <v>10.2012</v>
          </cell>
          <cell r="L4077">
            <v>1</v>
          </cell>
          <cell r="M4077" t="str">
            <v>EA</v>
          </cell>
          <cell r="N4077">
            <v>55649.029999999897</v>
          </cell>
          <cell r="O4077" t="str">
            <v>INR</v>
          </cell>
        </row>
        <row r="4078">
          <cell r="A4078" t="str">
            <v>L003 Ankleshwar</v>
          </cell>
          <cell r="B4078">
            <v>653035</v>
          </cell>
          <cell r="C4078" t="str">
            <v>ROTARY FACE TC: SSBC-0285</v>
          </cell>
          <cell r="D4078" t="str">
            <v>L0030151                       EnggStore</v>
          </cell>
          <cell r="E4078">
            <v>0</v>
          </cell>
          <cell r="F4078" t="str">
            <v>ND No planning</v>
          </cell>
          <cell r="G4078" t="str">
            <v>ERSA Spare parts</v>
          </cell>
          <cell r="H4078" t="str">
            <v>EN038     MechanicalSeals&amp;Spar</v>
          </cell>
          <cell r="I4078" t="str">
            <v>L003 Ankleshwar</v>
          </cell>
          <cell r="J4078" t="str">
            <v>99 Input/Byprodt/Scrap</v>
          </cell>
          <cell r="K4078" t="str">
            <v>10.2012</v>
          </cell>
          <cell r="L4078">
            <v>1</v>
          </cell>
          <cell r="M4078" t="str">
            <v>EA</v>
          </cell>
          <cell r="N4078">
            <v>4864.5200000000004</v>
          </cell>
          <cell r="O4078" t="str">
            <v>INR</v>
          </cell>
        </row>
        <row r="4079">
          <cell r="A4079" t="str">
            <v>L003 Ankleshwar</v>
          </cell>
          <cell r="B4079">
            <v>653037</v>
          </cell>
          <cell r="C4079" t="str">
            <v>STATIONARY FACE TC: SSBC-0285</v>
          </cell>
          <cell r="D4079" t="str">
            <v>L0030151                       EnggStore</v>
          </cell>
          <cell r="E4079">
            <v>0</v>
          </cell>
          <cell r="F4079" t="str">
            <v>ND No planning</v>
          </cell>
          <cell r="G4079" t="str">
            <v>ERSA Spare parts</v>
          </cell>
          <cell r="H4079" t="str">
            <v>EN038     MechanicalSeals&amp;Spar</v>
          </cell>
          <cell r="I4079" t="str">
            <v>L003 Ankleshwar</v>
          </cell>
          <cell r="J4079" t="str">
            <v>99 Input/Byprodt/Scrap</v>
          </cell>
          <cell r="K4079" t="str">
            <v>10.2012</v>
          </cell>
          <cell r="L4079">
            <v>1</v>
          </cell>
          <cell r="M4079" t="str">
            <v>EA</v>
          </cell>
          <cell r="N4079">
            <v>4899.2799999999897</v>
          </cell>
          <cell r="O4079" t="str">
            <v>INR</v>
          </cell>
        </row>
        <row r="4080">
          <cell r="A4080" t="str">
            <v>L003 Ankleshwar</v>
          </cell>
          <cell r="B4080">
            <v>653038</v>
          </cell>
          <cell r="C4080" t="str">
            <v>SET OF ELASTOMER: SSBC-0285</v>
          </cell>
          <cell r="D4080" t="str">
            <v>L0030151                       EnggStore</v>
          </cell>
          <cell r="E4080">
            <v>0</v>
          </cell>
          <cell r="F4080" t="str">
            <v>ND No planning</v>
          </cell>
          <cell r="G4080" t="str">
            <v>ERSA Spare parts</v>
          </cell>
          <cell r="H4080" t="str">
            <v>EN038     MechanicalSeals&amp;Spar</v>
          </cell>
          <cell r="I4080" t="str">
            <v>L003 Ankleshwar</v>
          </cell>
          <cell r="J4080" t="str">
            <v>99 Input/Byprodt/Scrap</v>
          </cell>
          <cell r="K4080" t="str">
            <v>10.2012</v>
          </cell>
          <cell r="L4080">
            <v>1</v>
          </cell>
          <cell r="M4080" t="str">
            <v>SET</v>
          </cell>
          <cell r="N4080">
            <v>1531.01</v>
          </cell>
          <cell r="O4080" t="str">
            <v>INR</v>
          </cell>
        </row>
        <row r="4081">
          <cell r="A4081" t="str">
            <v>L003 Ankleshwar</v>
          </cell>
          <cell r="B4081">
            <v>653044</v>
          </cell>
          <cell r="C4081" t="str">
            <v>DIVERTER SLEEVE: SSBC-0285</v>
          </cell>
          <cell r="D4081" t="str">
            <v>L0030151                       EnggStore</v>
          </cell>
          <cell r="E4081">
            <v>0</v>
          </cell>
          <cell r="F4081" t="str">
            <v>ND No planning</v>
          </cell>
          <cell r="G4081" t="str">
            <v>ERSA Spare parts</v>
          </cell>
          <cell r="H4081" t="str">
            <v>EN038     MechanicalSeals&amp;Spar</v>
          </cell>
          <cell r="I4081" t="str">
            <v>L003 Ankleshwar</v>
          </cell>
          <cell r="J4081" t="str">
            <v>99 Input/Byprodt/Scrap</v>
          </cell>
          <cell r="K4081" t="str">
            <v>10.2012</v>
          </cell>
          <cell r="L4081">
            <v>2</v>
          </cell>
          <cell r="M4081" t="str">
            <v>EA</v>
          </cell>
          <cell r="N4081">
            <v>1224.8199999999899</v>
          </cell>
          <cell r="O4081" t="str">
            <v>INR</v>
          </cell>
        </row>
        <row r="4082">
          <cell r="A4082" t="str">
            <v>L003 Ankleshwar</v>
          </cell>
          <cell r="B4082">
            <v>653045</v>
          </cell>
          <cell r="C4082" t="str">
            <v>SS GLAND PLATE: SSBC-0285 FOR DB-40X16</v>
          </cell>
          <cell r="D4082" t="str">
            <v>L0030151                       EnggStore</v>
          </cell>
          <cell r="E4082">
            <v>0</v>
          </cell>
          <cell r="F4082" t="str">
            <v>ND No planning</v>
          </cell>
          <cell r="G4082" t="str">
            <v>ERSA Spare parts</v>
          </cell>
          <cell r="H4082" t="str">
            <v>EN038     MechanicalSeals&amp;Spar</v>
          </cell>
          <cell r="I4082" t="str">
            <v>L003 Ankleshwar</v>
          </cell>
          <cell r="J4082" t="str">
            <v>99 Input/Byprodt/Scrap</v>
          </cell>
          <cell r="K4082" t="str">
            <v>10.2012</v>
          </cell>
          <cell r="L4082">
            <v>4</v>
          </cell>
          <cell r="M4082" t="str">
            <v>EA</v>
          </cell>
          <cell r="N4082">
            <v>8459.2800000000007</v>
          </cell>
          <cell r="O4082" t="str">
            <v>INR</v>
          </cell>
        </row>
        <row r="4083">
          <cell r="A4083" t="str">
            <v>L003 Ankleshwar</v>
          </cell>
          <cell r="B4083">
            <v>653048</v>
          </cell>
          <cell r="C4083" t="str">
            <v>SEAL RING CARBON: SLUV-0317</v>
          </cell>
          <cell r="D4083" t="str">
            <v>L0030151                       EnggStore</v>
          </cell>
          <cell r="E4083">
            <v>0</v>
          </cell>
          <cell r="F4083" t="str">
            <v>ND No planning</v>
          </cell>
          <cell r="G4083" t="str">
            <v>ERSA Spare parts</v>
          </cell>
          <cell r="H4083" t="str">
            <v>EN038     MechanicalSeals&amp;Spar</v>
          </cell>
          <cell r="I4083" t="str">
            <v>L003 Ankleshwar</v>
          </cell>
          <cell r="J4083" t="str">
            <v>99 Input/Byprodt/Scrap</v>
          </cell>
          <cell r="K4083" t="str">
            <v>10.2012</v>
          </cell>
          <cell r="L4083">
            <v>1</v>
          </cell>
          <cell r="M4083" t="str">
            <v>EA</v>
          </cell>
          <cell r="N4083">
            <v>781.79999999999905</v>
          </cell>
          <cell r="O4083" t="str">
            <v>INR</v>
          </cell>
        </row>
        <row r="4084">
          <cell r="A4084" t="str">
            <v>L003 Ankleshwar</v>
          </cell>
          <cell r="B4084">
            <v>653283</v>
          </cell>
          <cell r="C4084" t="str">
            <v>HRC FUSE LINK NH TYPE 63 A</v>
          </cell>
          <cell r="D4084" t="str">
            <v>L0030151                       EnggStore</v>
          </cell>
          <cell r="E4084" t="str">
            <v>E02 E02</v>
          </cell>
          <cell r="F4084" t="str">
            <v>ND No planning</v>
          </cell>
          <cell r="G4084" t="str">
            <v>ERSA Spare parts</v>
          </cell>
          <cell r="H4084" t="str">
            <v>EN006     Elec Switchgear</v>
          </cell>
          <cell r="I4084" t="str">
            <v>L003 Ankleshwar</v>
          </cell>
          <cell r="J4084" t="str">
            <v>99 Input/Byprodt/Scrap</v>
          </cell>
          <cell r="K4084" t="str">
            <v>10.2012</v>
          </cell>
          <cell r="L4084">
            <v>12</v>
          </cell>
          <cell r="M4084" t="str">
            <v>EA</v>
          </cell>
          <cell r="N4084">
            <v>2202.2399999999898</v>
          </cell>
          <cell r="O4084" t="str">
            <v>INR</v>
          </cell>
        </row>
        <row r="4085">
          <cell r="A4085" t="str">
            <v>L003 Ankleshwar</v>
          </cell>
          <cell r="B4085">
            <v>653310</v>
          </cell>
          <cell r="C4085" t="str">
            <v>CORBON RINGSHAFT SEAL SINGLE COIL: 55 MM</v>
          </cell>
          <cell r="D4085" t="str">
            <v>L0030151                       EnggStore</v>
          </cell>
          <cell r="E4085">
            <v>0</v>
          </cell>
          <cell r="F4085" t="str">
            <v>ND No planning</v>
          </cell>
          <cell r="G4085" t="str">
            <v>ERSA Spare parts</v>
          </cell>
          <cell r="H4085" t="str">
            <v>EN028     Pipes&amp;pipefittings</v>
          </cell>
          <cell r="I4085" t="str">
            <v>L003 Ankleshwar</v>
          </cell>
          <cell r="J4085" t="str">
            <v>99 Input/Byprodt/Scrap</v>
          </cell>
          <cell r="K4085" t="str">
            <v>10.2012</v>
          </cell>
          <cell r="L4085">
            <v>1</v>
          </cell>
          <cell r="M4085" t="str">
            <v>EA</v>
          </cell>
          <cell r="N4085">
            <v>2972</v>
          </cell>
          <cell r="O4085" t="str">
            <v>INR</v>
          </cell>
        </row>
        <row r="4086">
          <cell r="A4086" t="str">
            <v>L003 Ankleshwar</v>
          </cell>
          <cell r="B4086">
            <v>653311</v>
          </cell>
          <cell r="C4086" t="str">
            <v>O-RING SET SHAFT SEAL SINGLE COIL: 55 MM</v>
          </cell>
          <cell r="D4086" t="str">
            <v>L0030151                       EnggStore</v>
          </cell>
          <cell r="E4086">
            <v>0</v>
          </cell>
          <cell r="F4086" t="str">
            <v>ND No planning</v>
          </cell>
          <cell r="G4086" t="str">
            <v>ERSA Spare parts</v>
          </cell>
          <cell r="H4086" t="str">
            <v>EN028     Pipes&amp;pipefittings</v>
          </cell>
          <cell r="I4086" t="str">
            <v>L003 Ankleshwar</v>
          </cell>
          <cell r="J4086" t="str">
            <v>99 Input/Byprodt/Scrap</v>
          </cell>
          <cell r="K4086" t="str">
            <v>10.2012</v>
          </cell>
          <cell r="L4086">
            <v>1</v>
          </cell>
          <cell r="M4086" t="str">
            <v>EA</v>
          </cell>
          <cell r="N4086">
            <v>943.82</v>
          </cell>
          <cell r="O4086" t="str">
            <v>INR</v>
          </cell>
        </row>
        <row r="4087">
          <cell r="A4087" t="str">
            <v>L003 Ankleshwar</v>
          </cell>
          <cell r="B4087">
            <v>653345</v>
          </cell>
          <cell r="C4087" t="str">
            <v>NM GASKET SHEET KLINGER OILIT: 0.5 MM</v>
          </cell>
          <cell r="D4087" t="str">
            <v>L0030151                       EnggStore</v>
          </cell>
          <cell r="E4087" t="str">
            <v>E35 E35</v>
          </cell>
          <cell r="F4087" t="str">
            <v>VB Manual reorder point planning</v>
          </cell>
          <cell r="G4087" t="str">
            <v>ERSA Spare parts</v>
          </cell>
          <cell r="H4087" t="str">
            <v>EN024     EnggConsumables</v>
          </cell>
          <cell r="I4087" t="str">
            <v>L003 Ankleshwar</v>
          </cell>
          <cell r="J4087" t="str">
            <v>99 Input/Byprodt/Scrap</v>
          </cell>
          <cell r="K4087" t="str">
            <v>10.2012</v>
          </cell>
          <cell r="L4087">
            <v>10.4</v>
          </cell>
          <cell r="M4087" t="str">
            <v>KG</v>
          </cell>
          <cell r="N4087">
            <v>3512.04</v>
          </cell>
          <cell r="O4087" t="str">
            <v>INR</v>
          </cell>
        </row>
        <row r="4088">
          <cell r="A4088" t="str">
            <v>L003 Ankleshwar</v>
          </cell>
          <cell r="B4088">
            <v>653371</v>
          </cell>
          <cell r="C4088" t="str">
            <v>VEE BELT: SPC-2500</v>
          </cell>
          <cell r="D4088" t="str">
            <v>L0030151                       EnggStore</v>
          </cell>
          <cell r="E4088" t="str">
            <v>E35 E35</v>
          </cell>
          <cell r="F4088" t="str">
            <v>VB Manual reorder point planning</v>
          </cell>
          <cell r="G4088" t="str">
            <v>ERSA Spare parts</v>
          </cell>
          <cell r="H4088" t="str">
            <v>EN021     VbeltCoupling&amp;Pulley</v>
          </cell>
          <cell r="I4088" t="str">
            <v>L003 Ankleshwar</v>
          </cell>
          <cell r="J4088" t="str">
            <v>99 Input/Byprodt/Scrap</v>
          </cell>
          <cell r="K4088" t="str">
            <v>10.2012</v>
          </cell>
          <cell r="L4088">
            <v>2</v>
          </cell>
          <cell r="M4088" t="str">
            <v>EA</v>
          </cell>
          <cell r="N4088">
            <v>1365.5999999999899</v>
          </cell>
          <cell r="O4088" t="str">
            <v>INR</v>
          </cell>
        </row>
        <row r="4089">
          <cell r="A4089" t="str">
            <v>L003 Ankleshwar</v>
          </cell>
          <cell r="B4089">
            <v>653405</v>
          </cell>
          <cell r="C4089" t="str">
            <v>BALL BEARING: 6018-ZZ-SKF</v>
          </cell>
          <cell r="D4089" t="str">
            <v>L0030151                       EnggStore</v>
          </cell>
          <cell r="E4089" t="str">
            <v>E31 E31</v>
          </cell>
          <cell r="F4089" t="str">
            <v>VB Manual reorder point planning</v>
          </cell>
          <cell r="G4089" t="str">
            <v>ERSA Spare parts</v>
          </cell>
          <cell r="H4089" t="str">
            <v>EN009     Bearings</v>
          </cell>
          <cell r="I4089" t="str">
            <v>L003 Ankleshwar</v>
          </cell>
          <cell r="J4089" t="str">
            <v>99 Input/Byprodt/Scrap</v>
          </cell>
          <cell r="K4089" t="str">
            <v>10.2012</v>
          </cell>
          <cell r="L4089">
            <v>1</v>
          </cell>
          <cell r="M4089" t="str">
            <v>EA</v>
          </cell>
          <cell r="N4089">
            <v>2771.38</v>
          </cell>
          <cell r="O4089" t="str">
            <v>INR</v>
          </cell>
        </row>
        <row r="4090">
          <cell r="A4090" t="str">
            <v>L003 Ankleshwar</v>
          </cell>
          <cell r="B4090">
            <v>653410</v>
          </cell>
          <cell r="C4090" t="str">
            <v>SUPPORT RING GFT:HIFAB-SCS0539-(0444):2K</v>
          </cell>
          <cell r="D4090" t="str">
            <v>L0030151                       EnggStore</v>
          </cell>
          <cell r="E4090">
            <v>0</v>
          </cell>
          <cell r="F4090" t="str">
            <v>ND No planning</v>
          </cell>
          <cell r="G4090" t="str">
            <v>ERSA Spare parts</v>
          </cell>
          <cell r="H4090" t="str">
            <v>EN038     MechanicalSeals&amp;Spar</v>
          </cell>
          <cell r="I4090" t="str">
            <v>L003 Ankleshwar</v>
          </cell>
          <cell r="J4090" t="str">
            <v>99 Input/Byprodt/Scrap</v>
          </cell>
          <cell r="K4090" t="str">
            <v>10.2012</v>
          </cell>
          <cell r="L4090">
            <v>1</v>
          </cell>
          <cell r="M4090" t="str">
            <v>EA</v>
          </cell>
          <cell r="N4090">
            <v>825.64999999999895</v>
          </cell>
          <cell r="O4090" t="str">
            <v>INR</v>
          </cell>
        </row>
        <row r="4091">
          <cell r="A4091" t="str">
            <v>L003 Ankleshwar</v>
          </cell>
          <cell r="B4091">
            <v>653412</v>
          </cell>
          <cell r="C4091" t="str">
            <v>SYNTHETIC GEAR OIL: SF 400/200</v>
          </cell>
          <cell r="D4091" t="str">
            <v>L0030151                       EnggStore</v>
          </cell>
          <cell r="E4091">
            <v>0</v>
          </cell>
          <cell r="F4091" t="str">
            <v>ND No planning</v>
          </cell>
          <cell r="G4091" t="str">
            <v>ERSA Spare parts</v>
          </cell>
          <cell r="H4091" t="str">
            <v>EN011     UtlChem/Lub/Fuel/Gas</v>
          </cell>
          <cell r="I4091" t="str">
            <v>L003 Ankleshwar</v>
          </cell>
          <cell r="J4091" t="str">
            <v>99 Input/Byprodt/Scrap</v>
          </cell>
          <cell r="K4091" t="str">
            <v>10.2012</v>
          </cell>
          <cell r="L4091">
            <v>30</v>
          </cell>
          <cell r="M4091" t="str">
            <v>L</v>
          </cell>
          <cell r="N4091">
            <v>8100</v>
          </cell>
          <cell r="O4091" t="str">
            <v>INR</v>
          </cell>
        </row>
        <row r="4092">
          <cell r="A4092" t="str">
            <v>L003 Ankleshwar</v>
          </cell>
          <cell r="B4092">
            <v>653438</v>
          </cell>
          <cell r="C4092" t="str">
            <v>ROLLER BEARING: 22211 EK</v>
          </cell>
          <cell r="D4092" t="str">
            <v>L0030151                       EnggStore</v>
          </cell>
          <cell r="E4092" t="str">
            <v>E31 E31</v>
          </cell>
          <cell r="F4092" t="str">
            <v>VB Manual reorder point planning</v>
          </cell>
          <cell r="G4092" t="str">
            <v>ERSA Spare parts</v>
          </cell>
          <cell r="H4092" t="str">
            <v>EN009     Bearings</v>
          </cell>
          <cell r="I4092" t="str">
            <v>L003 Ankleshwar</v>
          </cell>
          <cell r="J4092" t="str">
            <v>99 Input/Byprodt/Scrap</v>
          </cell>
          <cell r="K4092" t="str">
            <v>10.2012</v>
          </cell>
          <cell r="L4092">
            <v>1</v>
          </cell>
          <cell r="M4092" t="str">
            <v>EA</v>
          </cell>
          <cell r="N4092">
            <v>3883.36</v>
          </cell>
          <cell r="O4092" t="str">
            <v>INR</v>
          </cell>
        </row>
        <row r="4093">
          <cell r="A4093" t="str">
            <v>L003 Ankleshwar</v>
          </cell>
          <cell r="B4093">
            <v>653473</v>
          </cell>
          <cell r="C4093" t="str">
            <v>OIL SEAL: 64X90X13</v>
          </cell>
          <cell r="D4093" t="str">
            <v>L0030151                       EnggStore</v>
          </cell>
          <cell r="E4093" t="str">
            <v>E35 E35</v>
          </cell>
          <cell r="F4093" t="str">
            <v>VB Manual reorder point planning</v>
          </cell>
          <cell r="G4093" t="str">
            <v>ERSA Spare parts</v>
          </cell>
          <cell r="H4093" t="str">
            <v>EN020     RubberItems&amp;Oil Seal</v>
          </cell>
          <cell r="I4093" t="str">
            <v>L003 Ankleshwar</v>
          </cell>
          <cell r="J4093" t="str">
            <v>99 Input/Byprodt/Scrap</v>
          </cell>
          <cell r="K4093" t="str">
            <v>10.2012</v>
          </cell>
          <cell r="L4093">
            <v>6</v>
          </cell>
          <cell r="M4093" t="str">
            <v>EA</v>
          </cell>
          <cell r="N4093">
            <v>199.5</v>
          </cell>
          <cell r="O4093" t="str">
            <v>INR</v>
          </cell>
        </row>
        <row r="4094">
          <cell r="A4094" t="str">
            <v>L003 Ankleshwar</v>
          </cell>
          <cell r="B4094">
            <v>653476</v>
          </cell>
          <cell r="C4094" t="str">
            <v>O-RING NEOPRENE: 60X56X2.5 THK</v>
          </cell>
          <cell r="D4094" t="str">
            <v>L0030151                       EnggStore</v>
          </cell>
          <cell r="E4094" t="str">
            <v>E34 E34</v>
          </cell>
          <cell r="F4094" t="str">
            <v>VB Manual reorder point planning</v>
          </cell>
          <cell r="G4094" t="str">
            <v>ERSA Spare parts</v>
          </cell>
          <cell r="H4094" t="str">
            <v>EN032     Pumpspares</v>
          </cell>
          <cell r="I4094" t="str">
            <v>L003 Ankleshwar</v>
          </cell>
          <cell r="J4094" t="str">
            <v>99 Input/Byprodt/Scrap</v>
          </cell>
          <cell r="K4094" t="str">
            <v>10.2012</v>
          </cell>
          <cell r="L4094">
            <v>3</v>
          </cell>
          <cell r="M4094" t="str">
            <v>EA</v>
          </cell>
          <cell r="N4094">
            <v>108.15</v>
          </cell>
          <cell r="O4094" t="str">
            <v>INR</v>
          </cell>
        </row>
        <row r="4095">
          <cell r="A4095" t="str">
            <v>L003 Ankleshwar</v>
          </cell>
          <cell r="B4095">
            <v>653511</v>
          </cell>
          <cell r="C4095" t="str">
            <v>STAR WASHER: KM18</v>
          </cell>
          <cell r="D4095" t="str">
            <v>L0030151                       EnggStore</v>
          </cell>
          <cell r="E4095">
            <v>0</v>
          </cell>
          <cell r="F4095" t="str">
            <v>ND No planning</v>
          </cell>
          <cell r="G4095" t="str">
            <v>ERSA Spare parts</v>
          </cell>
          <cell r="H4095" t="str">
            <v>EN039     PlantEquipmentSpares</v>
          </cell>
          <cell r="I4095" t="str">
            <v>L003 Ankleshwar</v>
          </cell>
          <cell r="J4095" t="str">
            <v>99 Input/Byprodt/Scrap</v>
          </cell>
          <cell r="K4095" t="str">
            <v>10.2012</v>
          </cell>
          <cell r="L4095">
            <v>1</v>
          </cell>
          <cell r="M4095" t="str">
            <v>EA</v>
          </cell>
          <cell r="N4095">
            <v>90</v>
          </cell>
          <cell r="O4095" t="str">
            <v>INR</v>
          </cell>
        </row>
        <row r="4096">
          <cell r="A4096" t="str">
            <v>L003 Ankleshwar</v>
          </cell>
          <cell r="B4096">
            <v>653522</v>
          </cell>
          <cell r="C4096" t="str">
            <v>BEND,HDPE,SIZE- 32MM OD</v>
          </cell>
          <cell r="D4096" t="str">
            <v>L0030151                       EnggStore</v>
          </cell>
          <cell r="E4096" t="str">
            <v>E31 E31</v>
          </cell>
          <cell r="F4096" t="str">
            <v>VB Manual reorder point planning</v>
          </cell>
          <cell r="G4096" t="str">
            <v>ERSA Spare parts</v>
          </cell>
          <cell r="H4096" t="str">
            <v>EN028     Pipes&amp;pipefittings</v>
          </cell>
          <cell r="I4096" t="str">
            <v>L003 Ankleshwar</v>
          </cell>
          <cell r="J4096" t="str">
            <v>99 Input/Byprodt/Scrap</v>
          </cell>
          <cell r="K4096" t="str">
            <v>10.2012</v>
          </cell>
          <cell r="L4096">
            <v>30</v>
          </cell>
          <cell r="M4096" t="str">
            <v>EA</v>
          </cell>
          <cell r="N4096">
            <v>690</v>
          </cell>
          <cell r="O4096" t="str">
            <v>INR</v>
          </cell>
        </row>
        <row r="4097">
          <cell r="A4097" t="str">
            <v>L003 Ankleshwar</v>
          </cell>
          <cell r="B4097">
            <v>653567</v>
          </cell>
          <cell r="C4097" t="str">
            <v>UPPER COUPLING</v>
          </cell>
          <cell r="D4097" t="str">
            <v>L0030151                       EnggStore</v>
          </cell>
          <cell r="E4097" t="str">
            <v>E36 E36</v>
          </cell>
          <cell r="F4097" t="str">
            <v>VB Manual reorder point planning</v>
          </cell>
          <cell r="G4097" t="str">
            <v>ERSA Spare parts</v>
          </cell>
          <cell r="H4097" t="str">
            <v>EN032     Pumpspares</v>
          </cell>
          <cell r="I4097" t="str">
            <v>L003 Ankleshwar</v>
          </cell>
          <cell r="J4097" t="str">
            <v>99 Input/Byprodt/Scrap</v>
          </cell>
          <cell r="K4097" t="str">
            <v>10.2012</v>
          </cell>
          <cell r="L4097">
            <v>3</v>
          </cell>
          <cell r="M4097" t="str">
            <v>EA</v>
          </cell>
          <cell r="N4097">
            <v>1804.71</v>
          </cell>
          <cell r="O4097" t="str">
            <v>INR</v>
          </cell>
        </row>
        <row r="4098">
          <cell r="A4098" t="str">
            <v>L003 Ankleshwar</v>
          </cell>
          <cell r="B4098">
            <v>653595</v>
          </cell>
          <cell r="C4098" t="str">
            <v>BALL BEARING - 6317 C3</v>
          </cell>
          <cell r="D4098" t="str">
            <v>L0030151                       EnggStore</v>
          </cell>
          <cell r="E4098" t="str">
            <v>E31 E31</v>
          </cell>
          <cell r="F4098" t="str">
            <v>VB Manual reorder point planning</v>
          </cell>
          <cell r="G4098" t="str">
            <v>ERSA Spare parts</v>
          </cell>
          <cell r="H4098" t="str">
            <v>EN009     Bearings</v>
          </cell>
          <cell r="I4098" t="str">
            <v>L003 Ankleshwar</v>
          </cell>
          <cell r="J4098" t="str">
            <v>99 Input/Byprodt/Scrap</v>
          </cell>
          <cell r="K4098" t="str">
            <v>10.2012</v>
          </cell>
          <cell r="L4098">
            <v>1</v>
          </cell>
          <cell r="M4098" t="str">
            <v>EA</v>
          </cell>
          <cell r="N4098">
            <v>4822.68</v>
          </cell>
          <cell r="O4098" t="str">
            <v>INR</v>
          </cell>
        </row>
        <row r="4099">
          <cell r="A4099" t="str">
            <v>L003 Ankleshwar</v>
          </cell>
          <cell r="B4099">
            <v>653603</v>
          </cell>
          <cell r="C4099" t="str">
            <v>CYLINDRICAL ROLLER BEARING: NU-217E C/B</v>
          </cell>
          <cell r="D4099" t="str">
            <v>L0030151                       EnggStore</v>
          </cell>
          <cell r="E4099">
            <v>0</v>
          </cell>
          <cell r="F4099" t="str">
            <v>ND No planning</v>
          </cell>
          <cell r="G4099" t="str">
            <v>ERSA Spare parts</v>
          </cell>
          <cell r="H4099" t="str">
            <v>EN009     Bearings</v>
          </cell>
          <cell r="I4099" t="str">
            <v>L003 Ankleshwar</v>
          </cell>
          <cell r="J4099" t="str">
            <v>99 Input/Byprodt/Scrap</v>
          </cell>
          <cell r="K4099" t="str">
            <v>10.2012</v>
          </cell>
          <cell r="L4099">
            <v>1</v>
          </cell>
          <cell r="M4099" t="str">
            <v>EA</v>
          </cell>
          <cell r="N4099">
            <v>5015.1099999999897</v>
          </cell>
          <cell r="O4099" t="str">
            <v>INR</v>
          </cell>
        </row>
        <row r="4100">
          <cell r="A4100" t="str">
            <v>L003 Ankleshwar</v>
          </cell>
          <cell r="B4100">
            <v>653613</v>
          </cell>
          <cell r="C4100" t="str">
            <v>PTFE WEDGE-HIFAB: SSBV-E4:4.375"</v>
          </cell>
          <cell r="D4100" t="str">
            <v>L0030151                       EnggStore</v>
          </cell>
          <cell r="E4100">
            <v>0</v>
          </cell>
          <cell r="F4100" t="str">
            <v>ND No planning</v>
          </cell>
          <cell r="G4100" t="str">
            <v>ERSA Spare parts</v>
          </cell>
          <cell r="H4100" t="str">
            <v>EN038     MechanicalSeals&amp;Spar</v>
          </cell>
          <cell r="I4100" t="str">
            <v>L003 Ankleshwar</v>
          </cell>
          <cell r="J4100" t="str">
            <v>99 Input/Byprodt/Scrap</v>
          </cell>
          <cell r="K4100" t="str">
            <v>10.2012</v>
          </cell>
          <cell r="L4100">
            <v>1</v>
          </cell>
          <cell r="M4100" t="str">
            <v>EA</v>
          </cell>
          <cell r="N4100">
            <v>767.99</v>
          </cell>
          <cell r="O4100" t="str">
            <v>INR</v>
          </cell>
        </row>
        <row r="4101">
          <cell r="A4101" t="str">
            <v>L003 Ankleshwar</v>
          </cell>
          <cell r="B4101">
            <v>653614</v>
          </cell>
          <cell r="C4101" t="str">
            <v>ROTARY SEAT HAST-C-HIFAB: SSBV-E4:4.375"</v>
          </cell>
          <cell r="D4101" t="str">
            <v>L0030151                       EnggStore</v>
          </cell>
          <cell r="E4101">
            <v>0</v>
          </cell>
          <cell r="F4101" t="str">
            <v>ND No planning</v>
          </cell>
          <cell r="G4101" t="str">
            <v>ERSA Spare parts</v>
          </cell>
          <cell r="H4101" t="str">
            <v>EN038     MechanicalSeals&amp;Spar</v>
          </cell>
          <cell r="I4101" t="str">
            <v>L003 Ankleshwar</v>
          </cell>
          <cell r="J4101" t="str">
            <v>99 Input/Byprodt/Scrap</v>
          </cell>
          <cell r="K4101" t="str">
            <v>10.2012</v>
          </cell>
          <cell r="L4101">
            <v>1</v>
          </cell>
          <cell r="M4101" t="str">
            <v>EA</v>
          </cell>
          <cell r="N4101">
            <v>22224</v>
          </cell>
          <cell r="O4101" t="str">
            <v>INR</v>
          </cell>
        </row>
        <row r="4102">
          <cell r="A4102" t="str">
            <v>L003 Ankleshwar</v>
          </cell>
          <cell r="B4102">
            <v>653616</v>
          </cell>
          <cell r="C4102" t="str">
            <v>O-RING TV-HIFAB: SSBV-E4:4.375"</v>
          </cell>
          <cell r="D4102" t="str">
            <v>L0030151                       EnggStore</v>
          </cell>
          <cell r="E4102">
            <v>0</v>
          </cell>
          <cell r="F4102" t="str">
            <v>ND No planning</v>
          </cell>
          <cell r="G4102" t="str">
            <v>ERSA Spare parts</v>
          </cell>
          <cell r="H4102" t="str">
            <v>EN038     MechanicalSeals&amp;Spar</v>
          </cell>
          <cell r="I4102" t="str">
            <v>L003 Ankleshwar</v>
          </cell>
          <cell r="J4102" t="str">
            <v>99 Input/Byprodt/Scrap</v>
          </cell>
          <cell r="K4102" t="str">
            <v>10.2012</v>
          </cell>
          <cell r="L4102">
            <v>1</v>
          </cell>
          <cell r="M4102" t="str">
            <v>EA</v>
          </cell>
          <cell r="N4102">
            <v>1336.53</v>
          </cell>
          <cell r="O4102" t="str">
            <v>INR</v>
          </cell>
        </row>
        <row r="4103">
          <cell r="A4103" t="str">
            <v>L003 Ankleshwar</v>
          </cell>
          <cell r="B4103">
            <v>653617</v>
          </cell>
          <cell r="C4103" t="str">
            <v>CARBON SEAL RING-HIFAB: SSBV-E4:4.375"</v>
          </cell>
          <cell r="D4103" t="str">
            <v>L0030151                       EnggStore</v>
          </cell>
          <cell r="E4103">
            <v>0</v>
          </cell>
          <cell r="F4103" t="str">
            <v>ND No planning</v>
          </cell>
          <cell r="G4103" t="str">
            <v>ERSA Spare parts</v>
          </cell>
          <cell r="H4103" t="str">
            <v>EN038     MechanicalSeals&amp;Spar</v>
          </cell>
          <cell r="I4103" t="str">
            <v>L003 Ankleshwar</v>
          </cell>
          <cell r="J4103" t="str">
            <v>99 Input/Byprodt/Scrap</v>
          </cell>
          <cell r="K4103" t="str">
            <v>10.2012</v>
          </cell>
          <cell r="L4103">
            <v>1</v>
          </cell>
          <cell r="M4103" t="str">
            <v>EA</v>
          </cell>
          <cell r="N4103">
            <v>8584.45999999999</v>
          </cell>
          <cell r="O4103" t="str">
            <v>INR</v>
          </cell>
        </row>
        <row r="4104">
          <cell r="A4104" t="str">
            <v>L003 Ankleshwar</v>
          </cell>
          <cell r="B4104">
            <v>653619</v>
          </cell>
          <cell r="C4104" t="str">
            <v>GRUB SCREW SS316-HIFAB: SSBV-E4:4.375"</v>
          </cell>
          <cell r="D4104" t="str">
            <v>L0030151                       EnggStore</v>
          </cell>
          <cell r="E4104">
            <v>0</v>
          </cell>
          <cell r="F4104" t="str">
            <v>ND No planning</v>
          </cell>
          <cell r="G4104" t="str">
            <v>ERSA Spare parts</v>
          </cell>
          <cell r="H4104" t="str">
            <v>EN038     MechanicalSeals&amp;Spar</v>
          </cell>
          <cell r="I4104" t="str">
            <v>L003 Ankleshwar</v>
          </cell>
          <cell r="J4104" t="str">
            <v>99 Input/Byprodt/Scrap</v>
          </cell>
          <cell r="K4104" t="str">
            <v>10.2012</v>
          </cell>
          <cell r="L4104">
            <v>1</v>
          </cell>
          <cell r="M4104" t="str">
            <v>SET</v>
          </cell>
          <cell r="N4104">
            <v>509.41</v>
          </cell>
          <cell r="O4104" t="str">
            <v>INR</v>
          </cell>
        </row>
        <row r="4105">
          <cell r="A4105" t="str">
            <v>L003 Ankleshwar</v>
          </cell>
          <cell r="B4105">
            <v>653620</v>
          </cell>
          <cell r="C4105" t="str">
            <v>CUP SS316-HIFAB: SSBV-E4: 4.375"</v>
          </cell>
          <cell r="D4105" t="str">
            <v>L0030151                       EnggStore</v>
          </cell>
          <cell r="E4105">
            <v>0</v>
          </cell>
          <cell r="F4105" t="str">
            <v>ND No planning</v>
          </cell>
          <cell r="G4105" t="str">
            <v>ERSA Spare parts</v>
          </cell>
          <cell r="H4105" t="str">
            <v>EN038     MechanicalSeals&amp;Spar</v>
          </cell>
          <cell r="I4105" t="str">
            <v>L003 Ankleshwar</v>
          </cell>
          <cell r="J4105" t="str">
            <v>99 Input/Byprodt/Scrap</v>
          </cell>
          <cell r="K4105" t="str">
            <v>10.2012</v>
          </cell>
          <cell r="L4105">
            <v>1</v>
          </cell>
          <cell r="M4105" t="str">
            <v>EA</v>
          </cell>
          <cell r="N4105">
            <v>5309.59</v>
          </cell>
          <cell r="O4105" t="str">
            <v>INR</v>
          </cell>
        </row>
        <row r="4106">
          <cell r="A4106" t="str">
            <v>L003 Ankleshwar</v>
          </cell>
          <cell r="B4106">
            <v>653660</v>
          </cell>
          <cell r="C4106" t="str">
            <v>FENNER FENALEX RUBBER TYRE F-60</v>
          </cell>
          <cell r="D4106" t="str">
            <v>L0030151                       EnggStore</v>
          </cell>
          <cell r="E4106" t="str">
            <v>E35 E35</v>
          </cell>
          <cell r="F4106" t="str">
            <v>VB Manual reorder point planning</v>
          </cell>
          <cell r="G4106" t="str">
            <v>ERSA Spare parts</v>
          </cell>
          <cell r="H4106" t="str">
            <v>EN021     VbeltCoupling&amp;Pulley</v>
          </cell>
          <cell r="I4106" t="str">
            <v>L003 Ankleshwar</v>
          </cell>
          <cell r="J4106" t="str">
            <v>99 Input/Byprodt/Scrap</v>
          </cell>
          <cell r="K4106" t="str">
            <v>10.2012</v>
          </cell>
          <cell r="L4106">
            <v>1</v>
          </cell>
          <cell r="M4106" t="str">
            <v>EA</v>
          </cell>
          <cell r="N4106">
            <v>401.69999999999902</v>
          </cell>
          <cell r="O4106" t="str">
            <v>INR</v>
          </cell>
        </row>
        <row r="4107">
          <cell r="A4107" t="str">
            <v>L003 Ankleshwar</v>
          </cell>
          <cell r="B4107">
            <v>653661</v>
          </cell>
          <cell r="C4107" t="str">
            <v>OIL SEAL: 225X300X37</v>
          </cell>
          <cell r="D4107" t="str">
            <v>L0030151                       EnggStore</v>
          </cell>
          <cell r="E4107" t="str">
            <v>E35 E35</v>
          </cell>
          <cell r="F4107" t="str">
            <v>VB Manual reorder point planning</v>
          </cell>
          <cell r="G4107" t="str">
            <v>ERSA Spare parts</v>
          </cell>
          <cell r="H4107" t="str">
            <v>EN020     RubberItems&amp;Oil Seal</v>
          </cell>
          <cell r="I4107" t="str">
            <v>L003 Ankleshwar</v>
          </cell>
          <cell r="J4107" t="str">
            <v>99 Input/Byprodt/Scrap</v>
          </cell>
          <cell r="K4107" t="str">
            <v>10.2012</v>
          </cell>
          <cell r="L4107">
            <v>8</v>
          </cell>
          <cell r="M4107" t="str">
            <v>EA</v>
          </cell>
          <cell r="N4107">
            <v>240.8</v>
          </cell>
          <cell r="O4107" t="str">
            <v>INR</v>
          </cell>
        </row>
        <row r="4108">
          <cell r="A4108" t="str">
            <v>L003 Ankleshwar</v>
          </cell>
          <cell r="B4108">
            <v>653662</v>
          </cell>
          <cell r="C4108" t="str">
            <v>PH SOLUTION VISCOLYT 9848</v>
          </cell>
          <cell r="D4108" t="str">
            <v>L0030151                       EnggStore</v>
          </cell>
          <cell r="E4108" t="str">
            <v>E36 E36</v>
          </cell>
          <cell r="F4108" t="str">
            <v>VB Manual reorder point planning</v>
          </cell>
          <cell r="G4108" t="str">
            <v>ERSA Spare parts</v>
          </cell>
          <cell r="H4108" t="str">
            <v>EN017     InstrumentSpares</v>
          </cell>
          <cell r="I4108" t="str">
            <v>L003 Ankleshwar</v>
          </cell>
          <cell r="J4108" t="str">
            <v>99 Input/Byprodt/Scrap</v>
          </cell>
          <cell r="K4108" t="str">
            <v>10.2012</v>
          </cell>
          <cell r="L4108">
            <v>2</v>
          </cell>
          <cell r="M4108" t="str">
            <v>EA</v>
          </cell>
          <cell r="N4108">
            <v>2280.0599999999899</v>
          </cell>
          <cell r="O4108" t="str">
            <v>INR</v>
          </cell>
        </row>
        <row r="4109">
          <cell r="A4109" t="str">
            <v>L003 Ankleshwar</v>
          </cell>
          <cell r="B4109">
            <v>653859</v>
          </cell>
          <cell r="C4109" t="str">
            <v>SEALING RING-TBG620V12K: P.NO:01174200</v>
          </cell>
          <cell r="D4109" t="str">
            <v>L0030151                       EnggStore</v>
          </cell>
          <cell r="E4109">
            <v>0</v>
          </cell>
          <cell r="F4109" t="str">
            <v>ND No planning</v>
          </cell>
          <cell r="G4109" t="str">
            <v>ERSA Spare parts</v>
          </cell>
          <cell r="H4109" t="str">
            <v>EN029     Powerplantitems</v>
          </cell>
          <cell r="I4109" t="str">
            <v>L003 Ankleshwar</v>
          </cell>
          <cell r="J4109" t="str">
            <v>99 Input/Byprodt/Scrap</v>
          </cell>
          <cell r="K4109" t="str">
            <v>10.2012</v>
          </cell>
          <cell r="L4109">
            <v>178</v>
          </cell>
          <cell r="M4109" t="str">
            <v>EA</v>
          </cell>
          <cell r="N4109">
            <v>29879.33</v>
          </cell>
          <cell r="O4109" t="str">
            <v>INR</v>
          </cell>
        </row>
        <row r="4110">
          <cell r="A4110" t="str">
            <v>L003 Ankleshwar</v>
          </cell>
          <cell r="B4110">
            <v>653892</v>
          </cell>
          <cell r="C4110" t="str">
            <v>RADIATOR CAP,PATKAR OTL 175 VAC.PUMP</v>
          </cell>
          <cell r="D4110" t="str">
            <v>L0030151                       EnggStore</v>
          </cell>
          <cell r="E4110" t="str">
            <v>E34 E34</v>
          </cell>
          <cell r="F4110" t="str">
            <v>VB Manual reorder point planning</v>
          </cell>
          <cell r="G4110" t="str">
            <v>ERSA Spare parts</v>
          </cell>
          <cell r="H4110" t="str">
            <v>EN032     Pumpspares</v>
          </cell>
          <cell r="I4110" t="str">
            <v>L003 Ankleshwar</v>
          </cell>
          <cell r="J4110" t="str">
            <v>99 Input/Byprodt/Scrap</v>
          </cell>
          <cell r="K4110" t="str">
            <v>10.2012</v>
          </cell>
          <cell r="L4110">
            <v>9</v>
          </cell>
          <cell r="M4110" t="str">
            <v>EA</v>
          </cell>
          <cell r="N4110">
            <v>556.87</v>
          </cell>
          <cell r="O4110" t="str">
            <v>INR</v>
          </cell>
        </row>
        <row r="4111">
          <cell r="A4111" t="str">
            <v>L003 Ankleshwar</v>
          </cell>
          <cell r="B4111">
            <v>653893</v>
          </cell>
          <cell r="C4111" t="str">
            <v>OIL PLUNGER UNIT,PATKAR OTL,175 VAC.PUMP</v>
          </cell>
          <cell r="D4111" t="str">
            <v>L0030151                       EnggStore</v>
          </cell>
          <cell r="E4111" t="str">
            <v>E34 E34</v>
          </cell>
          <cell r="F4111" t="str">
            <v>VB Manual reorder point planning</v>
          </cell>
          <cell r="G4111" t="str">
            <v>ERSA Spare parts</v>
          </cell>
          <cell r="H4111" t="str">
            <v>EN032     Pumpspares</v>
          </cell>
          <cell r="I4111" t="str">
            <v>L003 Ankleshwar</v>
          </cell>
          <cell r="J4111" t="str">
            <v>99 Input/Byprodt/Scrap</v>
          </cell>
          <cell r="K4111" t="str">
            <v>10.2012</v>
          </cell>
          <cell r="L4111">
            <v>2</v>
          </cell>
          <cell r="M4111" t="str">
            <v>EA</v>
          </cell>
          <cell r="N4111">
            <v>5701.1099999999897</v>
          </cell>
          <cell r="O4111" t="str">
            <v>INR</v>
          </cell>
        </row>
        <row r="4112">
          <cell r="A4112" t="str">
            <v>L003 Ankleshwar</v>
          </cell>
          <cell r="B4112">
            <v>653894</v>
          </cell>
          <cell r="C4112" t="str">
            <v>GASKET SET FOR PATKAR OTL 175 VAC.PUMP</v>
          </cell>
          <cell r="D4112" t="str">
            <v>L0030151                       EnggStore</v>
          </cell>
          <cell r="E4112" t="str">
            <v>E34 E34</v>
          </cell>
          <cell r="F4112" t="str">
            <v>VB Manual reorder point planning</v>
          </cell>
          <cell r="G4112" t="str">
            <v>ERSA Spare parts</v>
          </cell>
          <cell r="H4112" t="str">
            <v>EN032     Pumpspares</v>
          </cell>
          <cell r="I4112" t="str">
            <v>L003 Ankleshwar</v>
          </cell>
          <cell r="J4112" t="str">
            <v>99 Input/Byprodt/Scrap</v>
          </cell>
          <cell r="K4112" t="str">
            <v>10.2012</v>
          </cell>
          <cell r="L4112">
            <v>1</v>
          </cell>
          <cell r="M4112" t="str">
            <v>SET</v>
          </cell>
          <cell r="N4112">
            <v>1226.96</v>
          </cell>
          <cell r="O4112" t="str">
            <v>INR</v>
          </cell>
        </row>
        <row r="4113">
          <cell r="A4113" t="str">
            <v>L003 Ankleshwar</v>
          </cell>
          <cell r="B4113">
            <v>653896</v>
          </cell>
          <cell r="C4113" t="str">
            <v>OIL SEAL: 80X100X10 VITON</v>
          </cell>
          <cell r="D4113" t="str">
            <v>L0030151                       EnggStore</v>
          </cell>
          <cell r="E4113" t="str">
            <v>E35 E35</v>
          </cell>
          <cell r="F4113" t="str">
            <v>VB Manual reorder point planning</v>
          </cell>
          <cell r="G4113" t="str">
            <v>ERSA Spare parts</v>
          </cell>
          <cell r="H4113" t="str">
            <v>EN020     RubberItems&amp;Oil Seal</v>
          </cell>
          <cell r="I4113" t="str">
            <v>L003 Ankleshwar</v>
          </cell>
          <cell r="J4113" t="str">
            <v>99 Input/Byprodt/Scrap</v>
          </cell>
          <cell r="K4113" t="str">
            <v>10.2012</v>
          </cell>
          <cell r="L4113">
            <v>4</v>
          </cell>
          <cell r="M4113" t="str">
            <v>EA</v>
          </cell>
          <cell r="N4113">
            <v>1360</v>
          </cell>
          <cell r="O4113" t="str">
            <v>INR</v>
          </cell>
        </row>
        <row r="4114">
          <cell r="A4114" t="str">
            <v>L003 Ankleshwar</v>
          </cell>
          <cell r="B4114">
            <v>653903</v>
          </cell>
          <cell r="C4114" t="str">
            <v>VINTON ROTARY HEAD O-RING: EPIL-DR2:2.5"</v>
          </cell>
          <cell r="D4114" t="str">
            <v>L0030151                       EnggStore</v>
          </cell>
          <cell r="E4114">
            <v>0</v>
          </cell>
          <cell r="F4114" t="str">
            <v>ND No planning</v>
          </cell>
          <cell r="G4114" t="str">
            <v>ERSA Spare parts</v>
          </cell>
          <cell r="H4114" t="str">
            <v>EN039     PlantEquipmentSpares</v>
          </cell>
          <cell r="I4114" t="str">
            <v>L003 Ankleshwar</v>
          </cell>
          <cell r="J4114" t="str">
            <v>99 Input/Byprodt/Scrap</v>
          </cell>
          <cell r="K4114" t="str">
            <v>10.2012</v>
          </cell>
          <cell r="L4114">
            <v>1</v>
          </cell>
          <cell r="M4114" t="str">
            <v>EA</v>
          </cell>
          <cell r="N4114">
            <v>1195.5599999999899</v>
          </cell>
          <cell r="O4114" t="str">
            <v>INR</v>
          </cell>
        </row>
        <row r="4115">
          <cell r="A4115" t="str">
            <v>L003 Ankleshwar</v>
          </cell>
          <cell r="B4115">
            <v>653904</v>
          </cell>
          <cell r="C4115" t="str">
            <v>VINTON SLEEVE O-RING: EPIL-DR2:2.5"</v>
          </cell>
          <cell r="D4115" t="str">
            <v>L0030151                       EnggStore</v>
          </cell>
          <cell r="E4115">
            <v>0</v>
          </cell>
          <cell r="F4115" t="str">
            <v>ND No planning</v>
          </cell>
          <cell r="G4115" t="str">
            <v>ERSA Spare parts</v>
          </cell>
          <cell r="H4115" t="str">
            <v>EN039     PlantEquipmentSpares</v>
          </cell>
          <cell r="I4115" t="str">
            <v>L003 Ankleshwar</v>
          </cell>
          <cell r="J4115" t="str">
            <v>99 Input/Byprodt/Scrap</v>
          </cell>
          <cell r="K4115" t="str">
            <v>10.2012</v>
          </cell>
          <cell r="L4115">
            <v>1</v>
          </cell>
          <cell r="M4115" t="str">
            <v>EA</v>
          </cell>
          <cell r="N4115">
            <v>640.48</v>
          </cell>
          <cell r="O4115" t="str">
            <v>INR</v>
          </cell>
        </row>
        <row r="4116">
          <cell r="A4116" t="str">
            <v>L003 Ankleshwar</v>
          </cell>
          <cell r="B4116">
            <v>653905</v>
          </cell>
          <cell r="C4116" t="str">
            <v>VINTON MATING RING O-RING: EPIL-DR2:2.5"</v>
          </cell>
          <cell r="D4116" t="str">
            <v>L0030151                       EnggStore</v>
          </cell>
          <cell r="E4116">
            <v>0</v>
          </cell>
          <cell r="F4116" t="str">
            <v>ND No planning</v>
          </cell>
          <cell r="G4116" t="str">
            <v>ERSA Spare parts</v>
          </cell>
          <cell r="H4116" t="str">
            <v>EN039     PlantEquipmentSpares</v>
          </cell>
          <cell r="I4116" t="str">
            <v>L003 Ankleshwar</v>
          </cell>
          <cell r="J4116" t="str">
            <v>99 Input/Byprodt/Scrap</v>
          </cell>
          <cell r="K4116" t="str">
            <v>10.2012</v>
          </cell>
          <cell r="L4116">
            <v>1</v>
          </cell>
          <cell r="M4116" t="str">
            <v>EA</v>
          </cell>
          <cell r="N4116">
            <v>939.38</v>
          </cell>
          <cell r="O4116" t="str">
            <v>INR</v>
          </cell>
        </row>
        <row r="4117">
          <cell r="A4117" t="str">
            <v>L003 Ankleshwar</v>
          </cell>
          <cell r="B4117">
            <v>653906</v>
          </cell>
          <cell r="C4117" t="str">
            <v>VINTON GLAND PLATE O-RING: EPIL-DR2:2.5"</v>
          </cell>
          <cell r="D4117" t="str">
            <v>L0030151                       EnggStore</v>
          </cell>
          <cell r="E4117">
            <v>0</v>
          </cell>
          <cell r="F4117" t="str">
            <v>ND No planning</v>
          </cell>
          <cell r="G4117" t="str">
            <v>ERSA Spare parts</v>
          </cell>
          <cell r="H4117" t="str">
            <v>EN039     PlantEquipmentSpares</v>
          </cell>
          <cell r="I4117" t="str">
            <v>L003 Ankleshwar</v>
          </cell>
          <cell r="J4117" t="str">
            <v>99 Input/Byprodt/Scrap</v>
          </cell>
          <cell r="K4117" t="str">
            <v>10.2012</v>
          </cell>
          <cell r="L4117">
            <v>1</v>
          </cell>
          <cell r="M4117" t="str">
            <v>EA</v>
          </cell>
          <cell r="N4117">
            <v>1067.45</v>
          </cell>
          <cell r="O4117" t="str">
            <v>INR</v>
          </cell>
        </row>
        <row r="4118">
          <cell r="A4118" t="str">
            <v>L003 Ankleshwar</v>
          </cell>
          <cell r="B4118">
            <v>653910</v>
          </cell>
          <cell r="C4118" t="str">
            <v>VINTON ROTARY HEAD O-RING: EPIL-DR2:3"</v>
          </cell>
          <cell r="D4118" t="str">
            <v>L0030151                       EnggStore</v>
          </cell>
          <cell r="E4118">
            <v>0</v>
          </cell>
          <cell r="F4118" t="str">
            <v>ND No planning</v>
          </cell>
          <cell r="G4118" t="str">
            <v>ERSA Spare parts</v>
          </cell>
          <cell r="H4118" t="str">
            <v>EN039     PlantEquipmentSpares</v>
          </cell>
          <cell r="I4118" t="str">
            <v>L003 Ankleshwar</v>
          </cell>
          <cell r="J4118" t="str">
            <v>99 Input/Byprodt/Scrap</v>
          </cell>
          <cell r="K4118" t="str">
            <v>10.2012</v>
          </cell>
          <cell r="L4118">
            <v>1</v>
          </cell>
          <cell r="M4118" t="str">
            <v>EA</v>
          </cell>
          <cell r="N4118">
            <v>770.40999999999894</v>
          </cell>
          <cell r="O4118" t="str">
            <v>INR</v>
          </cell>
        </row>
        <row r="4119">
          <cell r="A4119" t="str">
            <v>L003 Ankleshwar</v>
          </cell>
          <cell r="B4119">
            <v>653911</v>
          </cell>
          <cell r="C4119" t="str">
            <v>SLEEVE O-RING VINTON: EPIL-DR2:3"</v>
          </cell>
          <cell r="D4119" t="str">
            <v>L0030151                       EnggStore</v>
          </cell>
          <cell r="E4119">
            <v>0</v>
          </cell>
          <cell r="F4119" t="str">
            <v>ND No planning</v>
          </cell>
          <cell r="G4119" t="str">
            <v>ERSA Spare parts</v>
          </cell>
          <cell r="H4119" t="str">
            <v>EN039     PlantEquipmentSpares</v>
          </cell>
          <cell r="I4119" t="str">
            <v>L003 Ankleshwar</v>
          </cell>
          <cell r="J4119" t="str">
            <v>99 Input/Byprodt/Scrap</v>
          </cell>
          <cell r="K4119" t="str">
            <v>10.2012</v>
          </cell>
          <cell r="L4119">
            <v>1</v>
          </cell>
          <cell r="M4119" t="str">
            <v>EA</v>
          </cell>
          <cell r="N4119">
            <v>551.55999999999904</v>
          </cell>
          <cell r="O4119" t="str">
            <v>INR</v>
          </cell>
        </row>
        <row r="4120">
          <cell r="A4120" t="str">
            <v>L003 Ankleshwar</v>
          </cell>
          <cell r="B4120">
            <v>653912</v>
          </cell>
          <cell r="C4120" t="str">
            <v>VINTON MATING RING O-RING: EPIL-DR2:3"</v>
          </cell>
          <cell r="D4120" t="str">
            <v>L0030151                       EnggStore</v>
          </cell>
          <cell r="E4120">
            <v>0</v>
          </cell>
          <cell r="F4120" t="str">
            <v>ND No planning</v>
          </cell>
          <cell r="G4120" t="str">
            <v>ERSA Spare parts</v>
          </cell>
          <cell r="H4120" t="str">
            <v>EN039     PlantEquipmentSpares</v>
          </cell>
          <cell r="I4120" t="str">
            <v>L003 Ankleshwar</v>
          </cell>
          <cell r="J4120" t="str">
            <v>99 Input/Byprodt/Scrap</v>
          </cell>
          <cell r="K4120" t="str">
            <v>10.2012</v>
          </cell>
          <cell r="L4120">
            <v>1</v>
          </cell>
          <cell r="M4120" t="str">
            <v>EA</v>
          </cell>
          <cell r="N4120">
            <v>779.19</v>
          </cell>
          <cell r="O4120" t="str">
            <v>INR</v>
          </cell>
        </row>
        <row r="4121">
          <cell r="A4121" t="str">
            <v>L003 Ankleshwar</v>
          </cell>
          <cell r="B4121">
            <v>653913</v>
          </cell>
          <cell r="C4121" t="str">
            <v>VINTON GLAND PLATE O-RING: EPIL-DR2:3"</v>
          </cell>
          <cell r="D4121" t="str">
            <v>L0030151                       EnggStore</v>
          </cell>
          <cell r="E4121">
            <v>0</v>
          </cell>
          <cell r="F4121" t="str">
            <v>ND No planning</v>
          </cell>
          <cell r="G4121" t="str">
            <v>ERSA Spare parts</v>
          </cell>
          <cell r="H4121" t="str">
            <v>EN039     PlantEquipmentSpares</v>
          </cell>
          <cell r="I4121" t="str">
            <v>L003 Ankleshwar</v>
          </cell>
          <cell r="J4121" t="str">
            <v>99 Input/Byprodt/Scrap</v>
          </cell>
          <cell r="K4121" t="str">
            <v>10.2012</v>
          </cell>
          <cell r="L4121">
            <v>1</v>
          </cell>
          <cell r="M4121" t="str">
            <v>EA</v>
          </cell>
          <cell r="N4121">
            <v>744.16999999999905</v>
          </cell>
          <cell r="O4121" t="str">
            <v>INR</v>
          </cell>
        </row>
        <row r="4122">
          <cell r="A4122" t="str">
            <v>L003 Ankleshwar</v>
          </cell>
          <cell r="B4122">
            <v>653945</v>
          </cell>
          <cell r="C4122" t="str">
            <v>SHAFT-SS316: PUMP MSP:40X25-160</v>
          </cell>
          <cell r="D4122" t="str">
            <v>L0030151                       EnggStore</v>
          </cell>
          <cell r="E4122" t="str">
            <v>E34 E34</v>
          </cell>
          <cell r="F4122" t="str">
            <v>VB Manual reorder point planning</v>
          </cell>
          <cell r="G4122" t="str">
            <v>ERSA Spare parts</v>
          </cell>
          <cell r="H4122" t="str">
            <v>EN032     Pumpspares</v>
          </cell>
          <cell r="I4122" t="str">
            <v>L003 Ankleshwar</v>
          </cell>
          <cell r="J4122" t="str">
            <v>99 Input/Byprodt/Scrap</v>
          </cell>
          <cell r="K4122" t="str">
            <v>10.2012</v>
          </cell>
          <cell r="L4122">
            <v>1</v>
          </cell>
          <cell r="M4122" t="str">
            <v>EA</v>
          </cell>
          <cell r="N4122">
            <v>2649.5999999999899</v>
          </cell>
          <cell r="O4122" t="str">
            <v>INR</v>
          </cell>
        </row>
        <row r="4123">
          <cell r="A4123" t="str">
            <v>L003 Ankleshwar</v>
          </cell>
          <cell r="B4123">
            <v>654041</v>
          </cell>
          <cell r="C4123" t="str">
            <v>OIL SEAL: 74X105X10 NEOPRENE</v>
          </cell>
          <cell r="D4123" t="str">
            <v>L0030151                       EnggStore</v>
          </cell>
          <cell r="E4123" t="str">
            <v>E35 E35</v>
          </cell>
          <cell r="F4123" t="str">
            <v>VB Manual reorder point planning</v>
          </cell>
          <cell r="G4123" t="str">
            <v>ERSA Spare parts</v>
          </cell>
          <cell r="H4123" t="str">
            <v>EN020     RubberItems&amp;Oil Seal</v>
          </cell>
          <cell r="I4123" t="str">
            <v>L003 Ankleshwar</v>
          </cell>
          <cell r="J4123" t="str">
            <v>99 Input/Byprodt/Scrap</v>
          </cell>
          <cell r="K4123" t="str">
            <v>10.2012</v>
          </cell>
          <cell r="L4123">
            <v>6</v>
          </cell>
          <cell r="M4123" t="str">
            <v>EA</v>
          </cell>
          <cell r="N4123">
            <v>630</v>
          </cell>
          <cell r="O4123" t="str">
            <v>INR</v>
          </cell>
        </row>
        <row r="4124">
          <cell r="A4124" t="str">
            <v>L003 Ankleshwar</v>
          </cell>
          <cell r="B4124">
            <v>654044</v>
          </cell>
          <cell r="C4124" t="str">
            <v>BALL BEARING: 16012</v>
          </cell>
          <cell r="D4124" t="str">
            <v>L0030151                       EnggStore</v>
          </cell>
          <cell r="E4124" t="str">
            <v>E31 E31</v>
          </cell>
          <cell r="F4124" t="str">
            <v>VB Manual reorder point planning</v>
          </cell>
          <cell r="G4124" t="str">
            <v>ERSA Spare parts</v>
          </cell>
          <cell r="H4124" t="str">
            <v>EN009     Bearings</v>
          </cell>
          <cell r="I4124" t="str">
            <v>L003 Ankleshwar</v>
          </cell>
          <cell r="J4124" t="str">
            <v>99 Input/Byprodt/Scrap</v>
          </cell>
          <cell r="K4124" t="str">
            <v>10.2012</v>
          </cell>
          <cell r="L4124">
            <v>1</v>
          </cell>
          <cell r="M4124" t="str">
            <v>EA</v>
          </cell>
          <cell r="N4124">
            <v>1170.44</v>
          </cell>
          <cell r="O4124" t="str">
            <v>INR</v>
          </cell>
        </row>
        <row r="4125">
          <cell r="A4125" t="str">
            <v>L003 Ankleshwar</v>
          </cell>
          <cell r="B4125">
            <v>654071</v>
          </cell>
          <cell r="C4125" t="str">
            <v>TELEPHONE CABLE 2 PAIR</v>
          </cell>
          <cell r="D4125" t="str">
            <v>L0030151                       EnggStore</v>
          </cell>
          <cell r="E4125" t="str">
            <v>E37 E37</v>
          </cell>
          <cell r="F4125" t="str">
            <v>VB Manual reorder point planning</v>
          </cell>
          <cell r="G4125" t="str">
            <v>ERSA Spare parts</v>
          </cell>
          <cell r="H4125" t="str">
            <v>EN017     InstrumentSpares</v>
          </cell>
          <cell r="I4125" t="str">
            <v>L003 Ankleshwar</v>
          </cell>
          <cell r="J4125" t="str">
            <v>99 Input/Byprodt/Scrap</v>
          </cell>
          <cell r="K4125" t="str">
            <v>10.2012</v>
          </cell>
          <cell r="L4125">
            <v>300</v>
          </cell>
          <cell r="M4125" t="str">
            <v>M</v>
          </cell>
          <cell r="N4125">
            <v>2457</v>
          </cell>
          <cell r="O4125" t="str">
            <v>INR</v>
          </cell>
        </row>
        <row r="4126">
          <cell r="A4126" t="str">
            <v>L003 Ankleshwar</v>
          </cell>
          <cell r="B4126">
            <v>654074</v>
          </cell>
          <cell r="C4126" t="str">
            <v>BCH CONTACTOR CE-15E COIL 440 V</v>
          </cell>
          <cell r="D4126" t="str">
            <v>L0030151                       EnggStore</v>
          </cell>
          <cell r="E4126">
            <v>0</v>
          </cell>
          <cell r="F4126" t="str">
            <v>ND No planning</v>
          </cell>
          <cell r="G4126" t="str">
            <v>ERSA Spare parts</v>
          </cell>
          <cell r="H4126" t="str">
            <v>EN037     Refrigeration&amp;A/Cspa</v>
          </cell>
          <cell r="I4126" t="str">
            <v>L003 Ankleshwar</v>
          </cell>
          <cell r="J4126" t="str">
            <v>99 Input/Byprodt/Scrap</v>
          </cell>
          <cell r="K4126" t="str">
            <v>10.2012</v>
          </cell>
          <cell r="L4126">
            <v>2</v>
          </cell>
          <cell r="M4126" t="str">
            <v>EA</v>
          </cell>
          <cell r="N4126">
            <v>1526</v>
          </cell>
          <cell r="O4126" t="str">
            <v>INR</v>
          </cell>
        </row>
        <row r="4127">
          <cell r="A4127" t="str">
            <v>L003 Ankleshwar</v>
          </cell>
          <cell r="B4127">
            <v>654077</v>
          </cell>
          <cell r="C4127" t="str">
            <v>TYRE TC/K/019/3902DE UNIQUE MAKE</v>
          </cell>
          <cell r="D4127" t="str">
            <v>L0030151                       EnggStore</v>
          </cell>
          <cell r="E4127" t="str">
            <v>E32 E32</v>
          </cell>
          <cell r="F4127" t="str">
            <v>VB Manual reorder point planning</v>
          </cell>
          <cell r="G4127" t="str">
            <v>ERSA Spare parts</v>
          </cell>
          <cell r="H4127" t="str">
            <v>EN021     VbeltCoupling&amp;Pulley</v>
          </cell>
          <cell r="I4127" t="str">
            <v>L003 Ankleshwar</v>
          </cell>
          <cell r="J4127" t="str">
            <v>99 Input/Byprodt/Scrap</v>
          </cell>
          <cell r="K4127" t="str">
            <v>10.2012</v>
          </cell>
          <cell r="L4127">
            <v>1</v>
          </cell>
          <cell r="M4127" t="str">
            <v>EA</v>
          </cell>
          <cell r="N4127">
            <v>1012.5</v>
          </cell>
          <cell r="O4127" t="str">
            <v>INR</v>
          </cell>
        </row>
        <row r="4128">
          <cell r="A4128" t="str">
            <v>L003 Ankleshwar</v>
          </cell>
          <cell r="B4128">
            <v>654090</v>
          </cell>
          <cell r="C4128" t="str">
            <v>SUN PINION FOR EM: 1065/6-32608031900</v>
          </cell>
          <cell r="D4128" t="str">
            <v>L0030151                       EnggStore</v>
          </cell>
          <cell r="E4128">
            <v>0</v>
          </cell>
          <cell r="F4128" t="str">
            <v>ND No planning</v>
          </cell>
          <cell r="G4128" t="str">
            <v>ERSA Spare parts</v>
          </cell>
          <cell r="H4128" t="str">
            <v>EN039     PlantEquipmentSpares</v>
          </cell>
          <cell r="I4128" t="str">
            <v>L003 Ankleshwar</v>
          </cell>
          <cell r="J4128" t="str">
            <v>99 Input/Byprodt/Scrap</v>
          </cell>
          <cell r="K4128" t="str">
            <v>10.2012</v>
          </cell>
          <cell r="L4128">
            <v>1</v>
          </cell>
          <cell r="M4128" t="str">
            <v>EA</v>
          </cell>
          <cell r="N4128">
            <v>8082.29</v>
          </cell>
          <cell r="O4128" t="str">
            <v>INR</v>
          </cell>
        </row>
        <row r="4129">
          <cell r="A4129" t="str">
            <v>L003 Ankleshwar</v>
          </cell>
          <cell r="B4129">
            <v>654103</v>
          </cell>
          <cell r="C4129" t="str">
            <v>CONDENSER COIL:510X480X30X3R SPLIT 1.5TR</v>
          </cell>
          <cell r="D4129" t="str">
            <v>L0030151                       EnggStore</v>
          </cell>
          <cell r="E4129">
            <v>0</v>
          </cell>
          <cell r="F4129" t="str">
            <v>ND No planning</v>
          </cell>
          <cell r="G4129" t="str">
            <v>ERSA Spare parts</v>
          </cell>
          <cell r="H4129" t="str">
            <v>EN037     Refrigeration&amp;A/Cspa</v>
          </cell>
          <cell r="I4129" t="str">
            <v>L003 Ankleshwar</v>
          </cell>
          <cell r="J4129" t="str">
            <v>99 Input/Byprodt/Scrap</v>
          </cell>
          <cell r="K4129" t="str">
            <v>10.2012</v>
          </cell>
          <cell r="L4129">
            <v>2</v>
          </cell>
          <cell r="M4129" t="str">
            <v>EA</v>
          </cell>
          <cell r="N4129">
            <v>5760</v>
          </cell>
          <cell r="O4129" t="str">
            <v>INR</v>
          </cell>
        </row>
        <row r="4130">
          <cell r="A4130" t="str">
            <v>L003 Ankleshwar</v>
          </cell>
          <cell r="B4130">
            <v>654199</v>
          </cell>
          <cell r="C4130" t="str">
            <v>RUST REMOVER</v>
          </cell>
          <cell r="D4130" t="str">
            <v>L0030201                       Cons StoreKP</v>
          </cell>
          <cell r="E4130" t="str">
            <v>E35 E35</v>
          </cell>
          <cell r="F4130" t="str">
            <v>VB Manual reorder point planning</v>
          </cell>
          <cell r="G4130" t="str">
            <v>ERSA Spare parts</v>
          </cell>
          <cell r="H4130" t="str">
            <v>EN024     EnggConsumables</v>
          </cell>
          <cell r="I4130" t="str">
            <v>L003 Ankleshwar</v>
          </cell>
          <cell r="J4130" t="str">
            <v>99 Input/Byprodt/Scrap</v>
          </cell>
          <cell r="K4130" t="str">
            <v>10.2012</v>
          </cell>
          <cell r="L4130">
            <v>14</v>
          </cell>
          <cell r="M4130" t="str">
            <v>EA</v>
          </cell>
          <cell r="N4130">
            <v>2772</v>
          </cell>
          <cell r="O4130" t="str">
            <v>INR</v>
          </cell>
        </row>
        <row r="4131">
          <cell r="A4131" t="str">
            <v>L003 Ankleshwar</v>
          </cell>
          <cell r="B4131">
            <v>654228</v>
          </cell>
          <cell r="C4131" t="str">
            <v>USED EMPTY HDPE DRUMS 50 KGS CAP</v>
          </cell>
          <cell r="D4131" t="str">
            <v>L003</v>
          </cell>
          <cell r="E4131">
            <v>0</v>
          </cell>
          <cell r="F4131" t="str">
            <v>ND No planning</v>
          </cell>
          <cell r="G4131" t="str">
            <v>ERSA Spare parts</v>
          </cell>
          <cell r="H4131" t="str">
            <v>EN027     Prod&amp;OtherConsumable</v>
          </cell>
          <cell r="I4131" t="str">
            <v>L003 Ankleshwar</v>
          </cell>
          <cell r="J4131" t="str">
            <v>99 Input/Byprodt/Scrap</v>
          </cell>
          <cell r="K4131" t="str">
            <v>10.2012</v>
          </cell>
          <cell r="L4131">
            <v>1158</v>
          </cell>
          <cell r="M4131" t="str">
            <v>EA</v>
          </cell>
          <cell r="N4131">
            <v>0</v>
          </cell>
          <cell r="O4131" t="str">
            <v>INR</v>
          </cell>
        </row>
        <row r="4132">
          <cell r="A4132" t="str">
            <v>L003 Ankleshwar</v>
          </cell>
          <cell r="B4132">
            <v>654229</v>
          </cell>
          <cell r="C4132" t="str">
            <v>HAND OPERATED BARREL PUMP-SS304:</v>
          </cell>
          <cell r="D4132" t="str">
            <v>L0030151                       EnggStore</v>
          </cell>
          <cell r="E4132" t="str">
            <v>E01 E01</v>
          </cell>
          <cell r="F4132" t="str">
            <v>ND No planning</v>
          </cell>
          <cell r="G4132" t="str">
            <v>ERSA Spare parts</v>
          </cell>
          <cell r="H4132" t="str">
            <v>EN032     Pumpspares</v>
          </cell>
          <cell r="I4132" t="str">
            <v>L003 Ankleshwar</v>
          </cell>
          <cell r="J4132" t="str">
            <v>99 Input/Byprodt/Scrap</v>
          </cell>
          <cell r="K4132" t="str">
            <v>10.2012</v>
          </cell>
          <cell r="L4132">
            <v>2</v>
          </cell>
          <cell r="M4132" t="str">
            <v>EA</v>
          </cell>
          <cell r="N4132">
            <v>12470.24</v>
          </cell>
          <cell r="O4132" t="str">
            <v>INR</v>
          </cell>
        </row>
        <row r="4133">
          <cell r="A4133" t="str">
            <v>L003 Ankleshwar</v>
          </cell>
          <cell r="B4133">
            <v>654251</v>
          </cell>
          <cell r="C4133" t="str">
            <v>COIL ASCO VALVE: 11/2" P.NO:400-505-111</v>
          </cell>
          <cell r="D4133" t="str">
            <v>L0030151                       EnggStore</v>
          </cell>
          <cell r="E4133" t="str">
            <v>E36 E36</v>
          </cell>
          <cell r="F4133" t="str">
            <v>VB Manual reorder point planning</v>
          </cell>
          <cell r="G4133" t="str">
            <v>ERSA Spare parts</v>
          </cell>
          <cell r="H4133" t="str">
            <v>EN017     InstrumentSpares</v>
          </cell>
          <cell r="I4133" t="str">
            <v>L003 Ankleshwar</v>
          </cell>
          <cell r="J4133" t="str">
            <v>99 Input/Byprodt/Scrap</v>
          </cell>
          <cell r="K4133" t="str">
            <v>10.2012</v>
          </cell>
          <cell r="L4133">
            <v>1</v>
          </cell>
          <cell r="M4133" t="str">
            <v>EA</v>
          </cell>
          <cell r="N4133">
            <v>1617.25</v>
          </cell>
          <cell r="O4133" t="str">
            <v>INR</v>
          </cell>
        </row>
        <row r="4134">
          <cell r="A4134" t="str">
            <v>L003 Ankleshwar</v>
          </cell>
          <cell r="B4134">
            <v>654252</v>
          </cell>
          <cell r="C4134" t="str">
            <v>SPARE KIT ASCO VALVE:11/2" P.NO:A302-352</v>
          </cell>
          <cell r="D4134" t="str">
            <v>L0030151                       EnggStore</v>
          </cell>
          <cell r="E4134">
            <v>0</v>
          </cell>
          <cell r="F4134" t="str">
            <v>ND No planning</v>
          </cell>
          <cell r="G4134" t="str">
            <v>ERSA Spare parts</v>
          </cell>
          <cell r="H4134" t="str">
            <v>EN017     InstrumentSpares</v>
          </cell>
          <cell r="I4134" t="str">
            <v>L003 Ankleshwar</v>
          </cell>
          <cell r="J4134" t="str">
            <v>99 Input/Byprodt/Scrap</v>
          </cell>
          <cell r="K4134" t="str">
            <v>10.2012</v>
          </cell>
          <cell r="L4134">
            <v>2</v>
          </cell>
          <cell r="M4134" t="str">
            <v>EA</v>
          </cell>
          <cell r="N4134">
            <v>11864.79</v>
          </cell>
          <cell r="O4134" t="str">
            <v>INR</v>
          </cell>
        </row>
        <row r="4135">
          <cell r="A4135" t="str">
            <v>L003 Ankleshwar</v>
          </cell>
          <cell r="B4135">
            <v>654254</v>
          </cell>
          <cell r="C4135" t="str">
            <v>SPARE KIT ASCO VALVE:1/2" P.NO:A302-350</v>
          </cell>
          <cell r="D4135" t="str">
            <v>L0030151                       EnggStore</v>
          </cell>
          <cell r="E4135">
            <v>0</v>
          </cell>
          <cell r="F4135" t="str">
            <v>ND No planning</v>
          </cell>
          <cell r="G4135" t="str">
            <v>ERSA Spare parts</v>
          </cell>
          <cell r="H4135" t="str">
            <v>EN017     InstrumentSpares</v>
          </cell>
          <cell r="I4135" t="str">
            <v>L003 Ankleshwar</v>
          </cell>
          <cell r="J4135" t="str">
            <v>99 Input/Byprodt/Scrap</v>
          </cell>
          <cell r="K4135" t="str">
            <v>10.2012</v>
          </cell>
          <cell r="L4135">
            <v>1</v>
          </cell>
          <cell r="M4135" t="str">
            <v>EA</v>
          </cell>
          <cell r="N4135">
            <v>2849.55</v>
          </cell>
          <cell r="O4135" t="str">
            <v>INR</v>
          </cell>
        </row>
        <row r="4136">
          <cell r="A4136" t="str">
            <v>L003 Ankleshwar</v>
          </cell>
          <cell r="B4136">
            <v>654258</v>
          </cell>
          <cell r="C4136" t="str">
            <v>MAIN VALVE FOR MAZDA PRV: 1.5"</v>
          </cell>
          <cell r="D4136" t="str">
            <v>L0030151                       EnggStore</v>
          </cell>
          <cell r="E4136">
            <v>0</v>
          </cell>
          <cell r="F4136" t="str">
            <v>ND No planning</v>
          </cell>
          <cell r="G4136" t="str">
            <v>ERSA Spare parts</v>
          </cell>
          <cell r="H4136" t="str">
            <v>EN023     Valves&amp;spares</v>
          </cell>
          <cell r="I4136" t="str">
            <v>L003 Ankleshwar</v>
          </cell>
          <cell r="J4136" t="str">
            <v>99 Input/Byprodt/Scrap</v>
          </cell>
          <cell r="K4136" t="str">
            <v>10.2012</v>
          </cell>
          <cell r="L4136">
            <v>1</v>
          </cell>
          <cell r="M4136" t="str">
            <v>EA</v>
          </cell>
          <cell r="N4136">
            <v>2324.0700000000002</v>
          </cell>
          <cell r="O4136" t="str">
            <v>INR</v>
          </cell>
        </row>
        <row r="4137">
          <cell r="A4137" t="str">
            <v>L003 Ankleshwar</v>
          </cell>
          <cell r="B4137">
            <v>654298</v>
          </cell>
          <cell r="C4137" t="str">
            <v>PISTON RINGS FOR MAZDA PRV: 1.5"</v>
          </cell>
          <cell r="D4137" t="str">
            <v>L0030151                       EnggStore</v>
          </cell>
          <cell r="E4137">
            <v>0</v>
          </cell>
          <cell r="F4137" t="str">
            <v>ND No planning</v>
          </cell>
          <cell r="G4137" t="str">
            <v>ERSA Spare parts</v>
          </cell>
          <cell r="H4137" t="str">
            <v>EN023     Valves&amp;spares</v>
          </cell>
          <cell r="I4137" t="str">
            <v>L003 Ankleshwar</v>
          </cell>
          <cell r="J4137" t="str">
            <v>99 Input/Byprodt/Scrap</v>
          </cell>
          <cell r="K4137" t="str">
            <v>10.2012</v>
          </cell>
          <cell r="L4137">
            <v>1</v>
          </cell>
          <cell r="M4137" t="str">
            <v>SET</v>
          </cell>
          <cell r="N4137">
            <v>2031.89</v>
          </cell>
          <cell r="O4137" t="str">
            <v>INR</v>
          </cell>
        </row>
        <row r="4138">
          <cell r="A4138" t="str">
            <v>L003 Ankleshwar</v>
          </cell>
          <cell r="B4138">
            <v>654306</v>
          </cell>
          <cell r="C4138" t="str">
            <v>V-BELT: PIX-SPC-5000</v>
          </cell>
          <cell r="D4138" t="str">
            <v>L0030151                       EnggStore</v>
          </cell>
          <cell r="E4138" t="str">
            <v>E35 E35</v>
          </cell>
          <cell r="F4138" t="str">
            <v>VB Manual reorder point planning</v>
          </cell>
          <cell r="G4138" t="str">
            <v>ERSA Spare parts</v>
          </cell>
          <cell r="H4138" t="str">
            <v>EN021     VbeltCoupling&amp;Pulley</v>
          </cell>
          <cell r="I4138" t="str">
            <v>L003 Ankleshwar</v>
          </cell>
          <cell r="J4138" t="str">
            <v>99 Input/Byprodt/Scrap</v>
          </cell>
          <cell r="K4138" t="str">
            <v>10.2012</v>
          </cell>
          <cell r="L4138">
            <v>5</v>
          </cell>
          <cell r="M4138" t="str">
            <v>EA</v>
          </cell>
          <cell r="N4138">
            <v>6832.75</v>
          </cell>
          <cell r="O4138" t="str">
            <v>INR</v>
          </cell>
        </row>
        <row r="4139">
          <cell r="A4139" t="str">
            <v>L003 Ankleshwar</v>
          </cell>
          <cell r="B4139">
            <v>654428</v>
          </cell>
          <cell r="C4139" t="str">
            <v>WORMWHEEL FOR VINDIMAKE METERING PUMP</v>
          </cell>
          <cell r="D4139" t="str">
            <v>L0030151                       EnggStore</v>
          </cell>
          <cell r="E4139" t="str">
            <v>E01 E01</v>
          </cell>
          <cell r="F4139" t="str">
            <v>ND No planning</v>
          </cell>
          <cell r="G4139" t="str">
            <v>ERSA Spare parts</v>
          </cell>
          <cell r="H4139" t="str">
            <v>EN032     Pumpspares</v>
          </cell>
          <cell r="I4139" t="str">
            <v>L003 Ankleshwar</v>
          </cell>
          <cell r="J4139" t="str">
            <v>99 Input/Byprodt/Scrap</v>
          </cell>
          <cell r="K4139" t="str">
            <v>10.2012</v>
          </cell>
          <cell r="L4139">
            <v>1</v>
          </cell>
          <cell r="M4139" t="str">
            <v>EA</v>
          </cell>
          <cell r="N4139">
            <v>1967.5</v>
          </cell>
          <cell r="O4139" t="str">
            <v>INR</v>
          </cell>
        </row>
        <row r="4140">
          <cell r="A4140" t="str">
            <v>L003 Ankleshwar</v>
          </cell>
          <cell r="B4140">
            <v>654514</v>
          </cell>
          <cell r="C4140" t="str">
            <v>CI IMPELLER FOR PUMP KGEC 16-6</v>
          </cell>
          <cell r="D4140" t="str">
            <v>L0030151                       EnggStore</v>
          </cell>
          <cell r="E4140">
            <v>0</v>
          </cell>
          <cell r="F4140" t="str">
            <v>ND No planning</v>
          </cell>
          <cell r="G4140" t="str">
            <v>ERSA Spare parts</v>
          </cell>
          <cell r="H4140" t="str">
            <v>EN032     Pumpspares</v>
          </cell>
          <cell r="I4140" t="str">
            <v>L003 Ankleshwar</v>
          </cell>
          <cell r="J4140" t="str">
            <v>99 Input/Byprodt/Scrap</v>
          </cell>
          <cell r="K4140" t="str">
            <v>10.2012</v>
          </cell>
          <cell r="L4140">
            <v>2</v>
          </cell>
          <cell r="M4140" t="str">
            <v>EA</v>
          </cell>
          <cell r="N4140">
            <v>1708</v>
          </cell>
          <cell r="O4140" t="str">
            <v>INR</v>
          </cell>
        </row>
        <row r="4141">
          <cell r="A4141" t="str">
            <v>L003 Ankleshwar</v>
          </cell>
          <cell r="B4141">
            <v>654525</v>
          </cell>
          <cell r="C4141" t="str">
            <v>TERMINAL STUD FOR 2HP MOTOR REMI MAKE</v>
          </cell>
          <cell r="D4141" t="str">
            <v>L0030151                       EnggStore</v>
          </cell>
          <cell r="E4141">
            <v>0</v>
          </cell>
          <cell r="F4141" t="str">
            <v>ND No planning</v>
          </cell>
          <cell r="G4141" t="str">
            <v>ERSA Spare parts</v>
          </cell>
          <cell r="H4141" t="str">
            <v>EN006     Elec Switchgear</v>
          </cell>
          <cell r="I4141" t="str">
            <v>L003 Ankleshwar</v>
          </cell>
          <cell r="J4141" t="str">
            <v>99 Input/Byprodt/Scrap</v>
          </cell>
          <cell r="K4141" t="str">
            <v>10.2012</v>
          </cell>
          <cell r="L4141">
            <v>7</v>
          </cell>
          <cell r="M4141" t="str">
            <v>EA</v>
          </cell>
          <cell r="N4141">
            <v>665</v>
          </cell>
          <cell r="O4141" t="str">
            <v>INR</v>
          </cell>
        </row>
        <row r="4142">
          <cell r="A4142" t="str">
            <v>L003 Ankleshwar</v>
          </cell>
          <cell r="B4142">
            <v>654620</v>
          </cell>
          <cell r="C4142" t="str">
            <v>SILICON SEAT FOR B.F.VALVE 200 MM/ 8" NB</v>
          </cell>
          <cell r="D4142" t="str">
            <v>L0030151                       EnggStore</v>
          </cell>
          <cell r="E4142">
            <v>0</v>
          </cell>
          <cell r="F4142" t="str">
            <v>ND No planning</v>
          </cell>
          <cell r="G4142" t="str">
            <v>ERSA Spare parts</v>
          </cell>
          <cell r="H4142" t="str">
            <v>EN023     Valves&amp;spares</v>
          </cell>
          <cell r="I4142" t="str">
            <v>L003 Ankleshwar</v>
          </cell>
          <cell r="J4142" t="str">
            <v>99 Input/Byprodt/Scrap</v>
          </cell>
          <cell r="K4142" t="str">
            <v>10.2012</v>
          </cell>
          <cell r="L4142">
            <v>1</v>
          </cell>
          <cell r="M4142" t="str">
            <v>EA</v>
          </cell>
          <cell r="N4142">
            <v>5573.4899999999898</v>
          </cell>
          <cell r="O4142" t="str">
            <v>INR</v>
          </cell>
        </row>
        <row r="4143">
          <cell r="A4143" t="str">
            <v>L003 Ankleshwar</v>
          </cell>
          <cell r="B4143">
            <v>654624</v>
          </cell>
          <cell r="C4143" t="str">
            <v>ROTARY FACE SP-TC SSBC-QF-0286</v>
          </cell>
          <cell r="D4143" t="str">
            <v>L0030151                       EnggStore</v>
          </cell>
          <cell r="E4143">
            <v>0</v>
          </cell>
          <cell r="F4143" t="str">
            <v>ND No planning</v>
          </cell>
          <cell r="G4143" t="str">
            <v>ERSA Spare parts</v>
          </cell>
          <cell r="H4143" t="str">
            <v>EN038     MechanicalSeals&amp;Spar</v>
          </cell>
          <cell r="I4143" t="str">
            <v>L003 Ankleshwar</v>
          </cell>
          <cell r="J4143" t="str">
            <v>99 Input/Byprodt/Scrap</v>
          </cell>
          <cell r="K4143" t="str">
            <v>10.2012</v>
          </cell>
          <cell r="L4143">
            <v>1</v>
          </cell>
          <cell r="M4143" t="str">
            <v>EA</v>
          </cell>
          <cell r="N4143">
            <v>4805.67</v>
          </cell>
          <cell r="O4143" t="str">
            <v>INR</v>
          </cell>
        </row>
        <row r="4144">
          <cell r="A4144" t="str">
            <v>L003 Ankleshwar</v>
          </cell>
          <cell r="B4144">
            <v>654625</v>
          </cell>
          <cell r="C4144" t="str">
            <v>STATIONARY FACE SP-TC SSBC-QF-0286</v>
          </cell>
          <cell r="D4144" t="str">
            <v>L0030151                       EnggStore</v>
          </cell>
          <cell r="E4144">
            <v>0</v>
          </cell>
          <cell r="F4144" t="str">
            <v>ND No planning</v>
          </cell>
          <cell r="G4144" t="str">
            <v>ERSA Spare parts</v>
          </cell>
          <cell r="H4144" t="str">
            <v>EN038     MechanicalSeals&amp;Spar</v>
          </cell>
          <cell r="I4144" t="str">
            <v>L003 Ankleshwar</v>
          </cell>
          <cell r="J4144" t="str">
            <v>99 Input/Byprodt/Scrap</v>
          </cell>
          <cell r="K4144" t="str">
            <v>10.2012</v>
          </cell>
          <cell r="L4144">
            <v>1</v>
          </cell>
          <cell r="M4144" t="str">
            <v>EA</v>
          </cell>
          <cell r="N4144">
            <v>4805.67</v>
          </cell>
          <cell r="O4144" t="str">
            <v>INR</v>
          </cell>
        </row>
        <row r="4145">
          <cell r="A4145" t="str">
            <v>L003 Ankleshwar</v>
          </cell>
          <cell r="B4145">
            <v>654626</v>
          </cell>
          <cell r="C4145" t="str">
            <v>PTFE GASKET SSBC-QF-0286</v>
          </cell>
          <cell r="D4145" t="str">
            <v>L0030151                       EnggStore</v>
          </cell>
          <cell r="E4145">
            <v>0</v>
          </cell>
          <cell r="F4145" t="str">
            <v>ND No planning</v>
          </cell>
          <cell r="G4145" t="str">
            <v>ERSA Spare parts</v>
          </cell>
          <cell r="H4145" t="str">
            <v>EN038     MechanicalSeals&amp;Spar</v>
          </cell>
          <cell r="I4145" t="str">
            <v>L003 Ankleshwar</v>
          </cell>
          <cell r="J4145" t="str">
            <v>99 Input/Byprodt/Scrap</v>
          </cell>
          <cell r="K4145" t="str">
            <v>10.2012</v>
          </cell>
          <cell r="L4145">
            <v>1</v>
          </cell>
          <cell r="M4145" t="str">
            <v>EA</v>
          </cell>
          <cell r="N4145">
            <v>110.47</v>
          </cell>
          <cell r="O4145" t="str">
            <v>INR</v>
          </cell>
        </row>
        <row r="4146">
          <cell r="A4146" t="str">
            <v>L003 Ankleshwar</v>
          </cell>
          <cell r="B4146">
            <v>654627</v>
          </cell>
          <cell r="C4146" t="str">
            <v>TV O-RING SSBC-QF-0286</v>
          </cell>
          <cell r="D4146" t="str">
            <v>L0030151                       EnggStore</v>
          </cell>
          <cell r="E4146">
            <v>0</v>
          </cell>
          <cell r="F4146" t="str">
            <v>ND No planning</v>
          </cell>
          <cell r="G4146" t="str">
            <v>ERSA Spare parts</v>
          </cell>
          <cell r="H4146" t="str">
            <v>EN038     MechanicalSeals&amp;Spar</v>
          </cell>
          <cell r="I4146" t="str">
            <v>L003 Ankleshwar</v>
          </cell>
          <cell r="J4146" t="str">
            <v>99 Input/Byprodt/Scrap</v>
          </cell>
          <cell r="K4146" t="str">
            <v>10.2012</v>
          </cell>
          <cell r="L4146">
            <v>2</v>
          </cell>
          <cell r="M4146" t="str">
            <v>EA</v>
          </cell>
          <cell r="N4146">
            <v>2202.34</v>
          </cell>
          <cell r="O4146" t="str">
            <v>INR</v>
          </cell>
        </row>
        <row r="4147">
          <cell r="A4147" t="str">
            <v>L003 Ankleshwar</v>
          </cell>
          <cell r="B4147">
            <v>654628</v>
          </cell>
          <cell r="C4147" t="str">
            <v>SUPPORT RING GFT SSBC-QF-0286</v>
          </cell>
          <cell r="D4147" t="str">
            <v>L0030151                       EnggStore</v>
          </cell>
          <cell r="E4147">
            <v>0</v>
          </cell>
          <cell r="F4147" t="str">
            <v>ND No planning</v>
          </cell>
          <cell r="G4147" t="str">
            <v>ERSA Spare parts</v>
          </cell>
          <cell r="H4147" t="str">
            <v>EN038     MechanicalSeals&amp;Spar</v>
          </cell>
          <cell r="I4147" t="str">
            <v>L003 Ankleshwar</v>
          </cell>
          <cell r="J4147" t="str">
            <v>99 Input/Byprodt/Scrap</v>
          </cell>
          <cell r="K4147" t="str">
            <v>10.2012</v>
          </cell>
          <cell r="L4147">
            <v>1</v>
          </cell>
          <cell r="M4147" t="str">
            <v>EA</v>
          </cell>
          <cell r="N4147">
            <v>432.70999999999901</v>
          </cell>
          <cell r="O4147" t="str">
            <v>INR</v>
          </cell>
        </row>
        <row r="4148">
          <cell r="A4148" t="str">
            <v>L003 Ankleshwar</v>
          </cell>
          <cell r="B4148">
            <v>654629</v>
          </cell>
          <cell r="C4148" t="str">
            <v>PTFE O-RING 6V SSBC-QF-0286</v>
          </cell>
          <cell r="D4148" t="str">
            <v>L0030151                       EnggStore</v>
          </cell>
          <cell r="E4148">
            <v>0</v>
          </cell>
          <cell r="F4148" t="str">
            <v>ND No planning</v>
          </cell>
          <cell r="G4148" t="str">
            <v>ERSA Spare parts</v>
          </cell>
          <cell r="H4148" t="str">
            <v>EN038     MechanicalSeals&amp;Spar</v>
          </cell>
          <cell r="I4148" t="str">
            <v>L003 Ankleshwar</v>
          </cell>
          <cell r="J4148" t="str">
            <v>99 Input/Byprodt/Scrap</v>
          </cell>
          <cell r="K4148" t="str">
            <v>10.2012</v>
          </cell>
          <cell r="L4148">
            <v>1</v>
          </cell>
          <cell r="M4148" t="str">
            <v>EA</v>
          </cell>
          <cell r="N4148">
            <v>114.02</v>
          </cell>
          <cell r="O4148" t="str">
            <v>INR</v>
          </cell>
        </row>
        <row r="4149">
          <cell r="A4149" t="str">
            <v>L003 Ankleshwar</v>
          </cell>
          <cell r="B4149">
            <v>654630</v>
          </cell>
          <cell r="C4149" t="str">
            <v>PTFE O-RING 6W SSBC-QF-0286</v>
          </cell>
          <cell r="D4149" t="str">
            <v>L0030151                       EnggStore</v>
          </cell>
          <cell r="E4149">
            <v>0</v>
          </cell>
          <cell r="F4149" t="str">
            <v>ND No planning</v>
          </cell>
          <cell r="G4149" t="str">
            <v>ERSA Spare parts</v>
          </cell>
          <cell r="H4149" t="str">
            <v>EN038     MechanicalSeals&amp;Spar</v>
          </cell>
          <cell r="I4149" t="str">
            <v>L003 Ankleshwar</v>
          </cell>
          <cell r="J4149" t="str">
            <v>99 Input/Byprodt/Scrap</v>
          </cell>
          <cell r="K4149" t="str">
            <v>10.2012</v>
          </cell>
          <cell r="L4149">
            <v>1</v>
          </cell>
          <cell r="M4149" t="str">
            <v>EA</v>
          </cell>
          <cell r="N4149">
            <v>117.849999999999</v>
          </cell>
          <cell r="O4149" t="str">
            <v>INR</v>
          </cell>
        </row>
        <row r="4150">
          <cell r="A4150" t="str">
            <v>L003 Ankleshwar</v>
          </cell>
          <cell r="B4150">
            <v>654631</v>
          </cell>
          <cell r="C4150" t="str">
            <v>SPRING SET SSBC-QF-0286</v>
          </cell>
          <cell r="D4150" t="str">
            <v>L0030151                       EnggStore</v>
          </cell>
          <cell r="E4150" t="str">
            <v>E35 E35</v>
          </cell>
          <cell r="F4150" t="str">
            <v>VB Manual reorder point planning</v>
          </cell>
          <cell r="G4150" t="str">
            <v>ERSA Spare parts</v>
          </cell>
          <cell r="H4150" t="str">
            <v>EN038     MechanicalSeals&amp;Spar</v>
          </cell>
          <cell r="I4150" t="str">
            <v>L003 Ankleshwar</v>
          </cell>
          <cell r="J4150" t="str">
            <v>99 Input/Byprodt/Scrap</v>
          </cell>
          <cell r="K4150" t="str">
            <v>10.2012</v>
          </cell>
          <cell r="L4150">
            <v>1</v>
          </cell>
          <cell r="M4150" t="str">
            <v>SET</v>
          </cell>
          <cell r="N4150">
            <v>148.5</v>
          </cell>
          <cell r="O4150" t="str">
            <v>INR</v>
          </cell>
        </row>
        <row r="4151">
          <cell r="A4151" t="str">
            <v>L003 Ankleshwar</v>
          </cell>
          <cell r="B4151">
            <v>654632</v>
          </cell>
          <cell r="C4151" t="str">
            <v>O-RING PTFE 6W-SSBC-Q-0349</v>
          </cell>
          <cell r="D4151" t="str">
            <v>L0030151                       EnggStore</v>
          </cell>
          <cell r="E4151" t="str">
            <v>E34 E34</v>
          </cell>
          <cell r="F4151" t="str">
            <v>VB Manual reorder point planning</v>
          </cell>
          <cell r="G4151" t="str">
            <v>ERSA Spare parts</v>
          </cell>
          <cell r="H4151" t="str">
            <v>EN038     MechanicalSeals&amp;Spar</v>
          </cell>
          <cell r="I4151" t="str">
            <v>L003 Ankleshwar</v>
          </cell>
          <cell r="J4151" t="str">
            <v>99 Input/Byprodt/Scrap</v>
          </cell>
          <cell r="K4151" t="str">
            <v>10.2012</v>
          </cell>
          <cell r="L4151">
            <v>4</v>
          </cell>
          <cell r="M4151" t="str">
            <v>EA</v>
          </cell>
          <cell r="N4151">
            <v>483.50999999999902</v>
          </cell>
          <cell r="O4151" t="str">
            <v>INR</v>
          </cell>
        </row>
        <row r="4152">
          <cell r="A4152" t="str">
            <v>L003 Ankleshwar</v>
          </cell>
          <cell r="B4152">
            <v>654634</v>
          </cell>
          <cell r="C4152" t="str">
            <v>TEF.FLEX.HOSE ASSLY 3/8"X1.5M CON 5/8"</v>
          </cell>
          <cell r="D4152" t="str">
            <v>L0030151                       EnggStore</v>
          </cell>
          <cell r="E4152" t="str">
            <v>E01 E01</v>
          </cell>
          <cell r="F4152" t="str">
            <v>ND No planning</v>
          </cell>
          <cell r="G4152" t="str">
            <v>ERSA Spare parts</v>
          </cell>
          <cell r="H4152" t="str">
            <v>EN028     Pipes&amp;pipefittings</v>
          </cell>
          <cell r="I4152" t="str">
            <v>L003 Ankleshwar</v>
          </cell>
          <cell r="J4152" t="str">
            <v>99 Input/Byprodt/Scrap</v>
          </cell>
          <cell r="K4152" t="str">
            <v>10.2012</v>
          </cell>
          <cell r="L4152">
            <v>1</v>
          </cell>
          <cell r="M4152" t="str">
            <v>EA</v>
          </cell>
          <cell r="N4152">
            <v>735.59</v>
          </cell>
          <cell r="O4152" t="str">
            <v>INR</v>
          </cell>
        </row>
        <row r="4153">
          <cell r="A4153" t="str">
            <v>L003 Ankleshwar</v>
          </cell>
          <cell r="B4153">
            <v>654916</v>
          </cell>
          <cell r="C4153" t="str">
            <v>40X3 MM EXPANDED PTFE ROPE</v>
          </cell>
          <cell r="D4153" t="str">
            <v>L0030151                       EnggStore</v>
          </cell>
          <cell r="E4153">
            <v>0</v>
          </cell>
          <cell r="F4153" t="str">
            <v>ND No planning</v>
          </cell>
          <cell r="G4153" t="str">
            <v>ERSA Spare parts</v>
          </cell>
          <cell r="H4153" t="str">
            <v>EN024     EnggConsumables</v>
          </cell>
          <cell r="I4153" t="str">
            <v>L003 Ankleshwar</v>
          </cell>
          <cell r="J4153" t="str">
            <v>99 Input/Byprodt/Scrap</v>
          </cell>
          <cell r="K4153" t="str">
            <v>10.2012</v>
          </cell>
          <cell r="L4153">
            <v>1</v>
          </cell>
          <cell r="M4153" t="str">
            <v>M</v>
          </cell>
          <cell r="N4153">
            <v>511.02999999999901</v>
          </cell>
          <cell r="O4153" t="str">
            <v>INR</v>
          </cell>
        </row>
        <row r="4154">
          <cell r="A4154" t="str">
            <v>L003 Ankleshwar</v>
          </cell>
          <cell r="B4154">
            <v>654973</v>
          </cell>
          <cell r="C4154" t="str">
            <v>CI ENDSHIELD DESIDE-NFLP MOTOR 180M</v>
          </cell>
          <cell r="D4154" t="str">
            <v>L0030151                       EnggStore</v>
          </cell>
          <cell r="E4154">
            <v>0</v>
          </cell>
          <cell r="F4154" t="str">
            <v>ND No planning</v>
          </cell>
          <cell r="G4154" t="str">
            <v>ERSA Spare parts</v>
          </cell>
          <cell r="H4154" t="str">
            <v>EN007     Elec Motors &amp; Spares</v>
          </cell>
          <cell r="I4154" t="str">
            <v>L003 Ankleshwar</v>
          </cell>
          <cell r="J4154" t="str">
            <v>99 Input/Byprodt/Scrap</v>
          </cell>
          <cell r="K4154" t="str">
            <v>10.2012</v>
          </cell>
          <cell r="L4154">
            <v>1</v>
          </cell>
          <cell r="M4154" t="str">
            <v>EA</v>
          </cell>
          <cell r="N4154">
            <v>1269</v>
          </cell>
          <cell r="O4154" t="str">
            <v>INR</v>
          </cell>
        </row>
        <row r="4155">
          <cell r="A4155" t="str">
            <v>L003 Ankleshwar</v>
          </cell>
          <cell r="B4155">
            <v>655027</v>
          </cell>
          <cell r="C4155" t="str">
            <v>CONT.SIEMENS 3TH-30-22-0B 24V DC</v>
          </cell>
          <cell r="D4155" t="str">
            <v>L0030151                       EnggStore</v>
          </cell>
          <cell r="E4155" t="str">
            <v>E36 E36</v>
          </cell>
          <cell r="F4155" t="str">
            <v>VB Manual reorder point planning</v>
          </cell>
          <cell r="G4155" t="str">
            <v>ERSA Spare parts</v>
          </cell>
          <cell r="H4155" t="str">
            <v>EN006     Elec Switchgear</v>
          </cell>
          <cell r="I4155" t="str">
            <v>L003 Ankleshwar</v>
          </cell>
          <cell r="J4155" t="str">
            <v>99 Input/Byprodt/Scrap</v>
          </cell>
          <cell r="K4155" t="str">
            <v>10.2012</v>
          </cell>
          <cell r="L4155">
            <v>1</v>
          </cell>
          <cell r="M4155" t="str">
            <v>EA</v>
          </cell>
          <cell r="N4155">
            <v>624.35</v>
          </cell>
          <cell r="O4155" t="str">
            <v>INR</v>
          </cell>
        </row>
        <row r="4156">
          <cell r="A4156" t="str">
            <v>L003 Ankleshwar</v>
          </cell>
          <cell r="B4156">
            <v>655097</v>
          </cell>
          <cell r="C4156" t="str">
            <v>MS FAN COVER E225 MD FOR CROMPTON MOTOR</v>
          </cell>
          <cell r="D4156" t="str">
            <v>L0030151                       EnggStore</v>
          </cell>
          <cell r="E4156">
            <v>0</v>
          </cell>
          <cell r="F4156" t="str">
            <v>ND No planning</v>
          </cell>
          <cell r="G4156" t="str">
            <v>ERSA Spare parts</v>
          </cell>
          <cell r="H4156" t="str">
            <v>EN007     Elec Motors &amp; Spares</v>
          </cell>
          <cell r="I4156" t="str">
            <v>L003 Ankleshwar</v>
          </cell>
          <cell r="J4156" t="str">
            <v>99 Input/Byprodt/Scrap</v>
          </cell>
          <cell r="K4156" t="str">
            <v>10.2012</v>
          </cell>
          <cell r="L4156">
            <v>1</v>
          </cell>
          <cell r="M4156" t="str">
            <v>EA</v>
          </cell>
          <cell r="N4156">
            <v>2956</v>
          </cell>
          <cell r="O4156" t="str">
            <v>INR</v>
          </cell>
        </row>
        <row r="4157">
          <cell r="A4157" t="str">
            <v>L003 Ankleshwar</v>
          </cell>
          <cell r="B4157">
            <v>655103</v>
          </cell>
          <cell r="C4157" t="str">
            <v>MS SHAFT KPD: 50X16 QF</v>
          </cell>
          <cell r="D4157" t="str">
            <v>L0030151                       EnggStore</v>
          </cell>
          <cell r="E4157" t="str">
            <v>E34 E34</v>
          </cell>
          <cell r="F4157" t="str">
            <v>VB Manual reorder point planning</v>
          </cell>
          <cell r="G4157" t="str">
            <v>ERSA Spare parts</v>
          </cell>
          <cell r="H4157" t="str">
            <v>EN032     Pumpspares</v>
          </cell>
          <cell r="I4157" t="str">
            <v>L003 Ankleshwar</v>
          </cell>
          <cell r="J4157" t="str">
            <v>99 Input/Byprodt/Scrap</v>
          </cell>
          <cell r="K4157" t="str">
            <v>10.2012</v>
          </cell>
          <cell r="L4157">
            <v>1</v>
          </cell>
          <cell r="M4157" t="str">
            <v>EA</v>
          </cell>
          <cell r="N4157">
            <v>2705.63</v>
          </cell>
          <cell r="O4157" t="str">
            <v>INR</v>
          </cell>
        </row>
        <row r="4158">
          <cell r="A4158" t="str">
            <v>L003 Ankleshwar</v>
          </cell>
          <cell r="B4158">
            <v>655105</v>
          </cell>
          <cell r="C4158" t="str">
            <v>SS316 WEAR PLATE KPD: 50X16 OF</v>
          </cell>
          <cell r="D4158" t="str">
            <v>L0030151                       EnggStore</v>
          </cell>
          <cell r="E4158">
            <v>0</v>
          </cell>
          <cell r="F4158" t="str">
            <v>ND No planning</v>
          </cell>
          <cell r="G4158" t="str">
            <v>ERSA Spare parts</v>
          </cell>
          <cell r="H4158" t="str">
            <v>EN032     Pumpspares</v>
          </cell>
          <cell r="I4158" t="str">
            <v>L003 Ankleshwar</v>
          </cell>
          <cell r="J4158" t="str">
            <v>99 Input/Byprodt/Scrap</v>
          </cell>
          <cell r="K4158" t="str">
            <v>10.2012</v>
          </cell>
          <cell r="L4158">
            <v>1</v>
          </cell>
          <cell r="M4158" t="str">
            <v>EA</v>
          </cell>
          <cell r="N4158">
            <v>42309</v>
          </cell>
          <cell r="O4158" t="str">
            <v>INR</v>
          </cell>
        </row>
        <row r="4159">
          <cell r="A4159" t="str">
            <v>L003 Ankleshwar</v>
          </cell>
          <cell r="B4159">
            <v>655146</v>
          </cell>
          <cell r="C4159" t="str">
            <v>DIRECTIONAL CONTROL VALVE</v>
          </cell>
          <cell r="D4159" t="str">
            <v>L0030151                       EnggStore</v>
          </cell>
          <cell r="E4159" t="str">
            <v>E01 E01</v>
          </cell>
          <cell r="F4159" t="str">
            <v>VB Manual reorder point planning</v>
          </cell>
          <cell r="G4159" t="str">
            <v>ERSA Spare parts</v>
          </cell>
          <cell r="H4159" t="str">
            <v>EN023     Valves&amp;spares</v>
          </cell>
          <cell r="I4159" t="str">
            <v>L003 Ankleshwar</v>
          </cell>
          <cell r="J4159" t="str">
            <v>99 Input/Byprodt/Scrap</v>
          </cell>
          <cell r="K4159" t="str">
            <v>10.2012</v>
          </cell>
          <cell r="L4159">
            <v>1</v>
          </cell>
          <cell r="M4159" t="str">
            <v>EA</v>
          </cell>
          <cell r="N4159">
            <v>2400</v>
          </cell>
          <cell r="O4159" t="str">
            <v>INR</v>
          </cell>
        </row>
        <row r="4160">
          <cell r="A4160" t="str">
            <v>L003 Ankleshwar</v>
          </cell>
          <cell r="B4160">
            <v>655176</v>
          </cell>
          <cell r="C4160" t="str">
            <v>STEEL WIRE ROPE: 6MM</v>
          </cell>
          <cell r="D4160" t="str">
            <v>L0030151                       EnggStore</v>
          </cell>
          <cell r="E4160" t="str">
            <v>E01 E01</v>
          </cell>
          <cell r="F4160" t="str">
            <v>VB Manual reorder point planning</v>
          </cell>
          <cell r="G4160" t="str">
            <v>ERSA Spare parts</v>
          </cell>
          <cell r="H4160" t="str">
            <v>EN015     MaterialHandlingspar</v>
          </cell>
          <cell r="I4160" t="str">
            <v>L003 Ankleshwar</v>
          </cell>
          <cell r="J4160" t="str">
            <v>99 Input/Byprodt/Scrap</v>
          </cell>
          <cell r="K4160" t="str">
            <v>10.2012</v>
          </cell>
          <cell r="L4160">
            <v>114</v>
          </cell>
          <cell r="M4160" t="str">
            <v>M</v>
          </cell>
          <cell r="N4160">
            <v>6333.3</v>
          </cell>
          <cell r="O4160" t="str">
            <v>INR</v>
          </cell>
        </row>
        <row r="4161">
          <cell r="A4161" t="str">
            <v>L003 Ankleshwar</v>
          </cell>
          <cell r="B4161">
            <v>655237</v>
          </cell>
          <cell r="C4161" t="str">
            <v>CONTACTOR: 3TF51</v>
          </cell>
          <cell r="D4161" t="str">
            <v>L0030151                       EnggStore</v>
          </cell>
          <cell r="E4161" t="str">
            <v>E36 E36</v>
          </cell>
          <cell r="F4161" t="str">
            <v>VB Manual reorder point planning</v>
          </cell>
          <cell r="G4161" t="str">
            <v>ERSA Spare parts</v>
          </cell>
          <cell r="H4161" t="str">
            <v>EN006     Elec Switchgear</v>
          </cell>
          <cell r="I4161" t="str">
            <v>L003 Ankleshwar</v>
          </cell>
          <cell r="J4161" t="str">
            <v>99 Input/Byprodt/Scrap</v>
          </cell>
          <cell r="K4161" t="str">
            <v>10.2012</v>
          </cell>
          <cell r="L4161">
            <v>1</v>
          </cell>
          <cell r="M4161" t="str">
            <v>EA</v>
          </cell>
          <cell r="N4161">
            <v>9914.1599999999908</v>
          </cell>
          <cell r="O4161" t="str">
            <v>INR</v>
          </cell>
        </row>
        <row r="4162">
          <cell r="A4162" t="str">
            <v>L003 Ankleshwar</v>
          </cell>
          <cell r="B4162">
            <v>655266</v>
          </cell>
          <cell r="C4162" t="str">
            <v>CAP SCREW C/PIN W21297</v>
          </cell>
          <cell r="D4162" t="str">
            <v>L0030151                       EnggStore</v>
          </cell>
          <cell r="E4162">
            <v>0</v>
          </cell>
          <cell r="F4162" t="str">
            <v>ND No planning</v>
          </cell>
          <cell r="G4162" t="str">
            <v>ERSA Spare parts</v>
          </cell>
          <cell r="H4162" t="str">
            <v>EN037     Refrigeration&amp;A/Cspa</v>
          </cell>
          <cell r="I4162" t="str">
            <v>L003 Ankleshwar</v>
          </cell>
          <cell r="J4162" t="str">
            <v>99 Input/Byprodt/Scrap</v>
          </cell>
          <cell r="K4162" t="str">
            <v>10.2012</v>
          </cell>
          <cell r="L4162">
            <v>2</v>
          </cell>
          <cell r="M4162" t="str">
            <v>EA</v>
          </cell>
          <cell r="N4162">
            <v>32.619999999999898</v>
          </cell>
          <cell r="O4162" t="str">
            <v>INR</v>
          </cell>
        </row>
        <row r="4163">
          <cell r="A4163" t="str">
            <v>L003 Ankleshwar</v>
          </cell>
          <cell r="B4163">
            <v>655267</v>
          </cell>
          <cell r="C4163" t="str">
            <v>SCREW CHEESE 87A2C142P</v>
          </cell>
          <cell r="D4163" t="str">
            <v>L0030151                       EnggStore</v>
          </cell>
          <cell r="E4163">
            <v>0</v>
          </cell>
          <cell r="F4163" t="str">
            <v>ND No planning</v>
          </cell>
          <cell r="G4163" t="str">
            <v>ERSA Spare parts</v>
          </cell>
          <cell r="H4163" t="str">
            <v>EN037     Refrigeration&amp;A/Cspa</v>
          </cell>
          <cell r="I4163" t="str">
            <v>L003 Ankleshwar</v>
          </cell>
          <cell r="J4163" t="str">
            <v>99 Input/Byprodt/Scrap</v>
          </cell>
          <cell r="K4163" t="str">
            <v>10.2012</v>
          </cell>
          <cell r="L4163">
            <v>2</v>
          </cell>
          <cell r="M4163" t="str">
            <v>EA</v>
          </cell>
          <cell r="N4163">
            <v>13.43</v>
          </cell>
          <cell r="O4163" t="str">
            <v>INR</v>
          </cell>
        </row>
        <row r="4164">
          <cell r="A4164" t="str">
            <v>L003 Ankleshwar</v>
          </cell>
          <cell r="B4164">
            <v>655276</v>
          </cell>
          <cell r="C4164" t="str">
            <v>CI CASING KPD 50/16 QF</v>
          </cell>
          <cell r="D4164" t="str">
            <v>L0030151                       EnggStore</v>
          </cell>
          <cell r="E4164">
            <v>0</v>
          </cell>
          <cell r="F4164" t="str">
            <v>ND No planning</v>
          </cell>
          <cell r="G4164" t="str">
            <v>ERSA Spare parts</v>
          </cell>
          <cell r="H4164" t="str">
            <v>EN032     Pumpspares</v>
          </cell>
          <cell r="I4164" t="str">
            <v>L003 Ankleshwar</v>
          </cell>
          <cell r="J4164" t="str">
            <v>99 Input/Byprodt/Scrap</v>
          </cell>
          <cell r="K4164" t="str">
            <v>10.2012</v>
          </cell>
          <cell r="L4164">
            <v>1</v>
          </cell>
          <cell r="M4164" t="str">
            <v>EA</v>
          </cell>
          <cell r="N4164">
            <v>6071.21</v>
          </cell>
          <cell r="O4164" t="str">
            <v>INR</v>
          </cell>
        </row>
        <row r="4165">
          <cell r="A4165" t="str">
            <v>L003 Ankleshwar</v>
          </cell>
          <cell r="B4165">
            <v>655277</v>
          </cell>
          <cell r="C4165" t="str">
            <v>PISTON RING SET: X1457T16A</v>
          </cell>
          <cell r="D4165" t="str">
            <v>L0030151                       EnggStore</v>
          </cell>
          <cell r="E4165" t="str">
            <v>E32 E32</v>
          </cell>
          <cell r="F4165" t="str">
            <v>VB Manual reorder point planning</v>
          </cell>
          <cell r="G4165" t="str">
            <v>ERSA Spare parts</v>
          </cell>
          <cell r="H4165" t="str">
            <v>EN037     Refrigeration&amp;A/Cspa</v>
          </cell>
          <cell r="I4165" t="str">
            <v>L003 Ankleshwar</v>
          </cell>
          <cell r="J4165" t="str">
            <v>99 Input/Byprodt/Scrap</v>
          </cell>
          <cell r="K4165" t="str">
            <v>10.2012</v>
          </cell>
          <cell r="L4165">
            <v>2</v>
          </cell>
          <cell r="M4165" t="str">
            <v>SET</v>
          </cell>
          <cell r="N4165">
            <v>3104.3</v>
          </cell>
          <cell r="O4165" t="str">
            <v>INR</v>
          </cell>
        </row>
        <row r="4166">
          <cell r="A4166" t="str">
            <v>L003 Ankleshwar</v>
          </cell>
          <cell r="B4166">
            <v>655279</v>
          </cell>
          <cell r="C4166" t="str">
            <v>CRANK PIN W75288T30</v>
          </cell>
          <cell r="D4166" t="str">
            <v>L0030151                       EnggStore</v>
          </cell>
          <cell r="E4166">
            <v>0</v>
          </cell>
          <cell r="F4166" t="str">
            <v>ND No planning</v>
          </cell>
          <cell r="G4166" t="str">
            <v>ERSA Spare parts</v>
          </cell>
          <cell r="H4166" t="str">
            <v>EN037     Refrigeration&amp;A/Cspa</v>
          </cell>
          <cell r="I4166" t="str">
            <v>L003 Ankleshwar</v>
          </cell>
          <cell r="J4166" t="str">
            <v>99 Input/Byprodt/Scrap</v>
          </cell>
          <cell r="K4166" t="str">
            <v>10.2012</v>
          </cell>
          <cell r="L4166">
            <v>1</v>
          </cell>
          <cell r="M4166" t="str">
            <v>EA</v>
          </cell>
          <cell r="N4166">
            <v>771.44</v>
          </cell>
          <cell r="O4166" t="str">
            <v>INR</v>
          </cell>
        </row>
        <row r="4167">
          <cell r="A4167" t="str">
            <v>L003 Ankleshwar</v>
          </cell>
          <cell r="B4167">
            <v>655302</v>
          </cell>
          <cell r="C4167" t="str">
            <v>SAFETY VALVE-NH3 20KG/CM²: 3/4"</v>
          </cell>
          <cell r="D4167" t="str">
            <v>L0030151                       EnggStore</v>
          </cell>
          <cell r="E4167">
            <v>0</v>
          </cell>
          <cell r="F4167" t="str">
            <v>ND No planning</v>
          </cell>
          <cell r="G4167" t="str">
            <v>ERSA Spare parts</v>
          </cell>
          <cell r="H4167" t="str">
            <v>EN037     Refrigeration&amp;A/Cspa</v>
          </cell>
          <cell r="I4167" t="str">
            <v>L003 Ankleshwar</v>
          </cell>
          <cell r="J4167" t="str">
            <v>99 Input/Byprodt/Scrap</v>
          </cell>
          <cell r="K4167" t="str">
            <v>10.2012</v>
          </cell>
          <cell r="L4167">
            <v>1</v>
          </cell>
          <cell r="M4167" t="str">
            <v>EA</v>
          </cell>
          <cell r="N4167">
            <v>740</v>
          </cell>
          <cell r="O4167" t="str">
            <v>INR</v>
          </cell>
        </row>
        <row r="4168">
          <cell r="A4168" t="str">
            <v>L003 Ankleshwar</v>
          </cell>
          <cell r="B4168">
            <v>655338</v>
          </cell>
          <cell r="C4168" t="str">
            <v>A-MO-L-WELDING STAINTRODE RODS: 2.5MM</v>
          </cell>
          <cell r="D4168" t="str">
            <v>L0030151                       EnggStore</v>
          </cell>
          <cell r="E4168">
            <v>0</v>
          </cell>
          <cell r="F4168" t="str">
            <v>ND No planning</v>
          </cell>
          <cell r="G4168" t="str">
            <v>ERSA Spare parts</v>
          </cell>
          <cell r="H4168" t="str">
            <v>EN024     EnggConsumables</v>
          </cell>
          <cell r="I4168" t="str">
            <v>L003 Ankleshwar</v>
          </cell>
          <cell r="J4168" t="str">
            <v>99 Input/Byprodt/Scrap</v>
          </cell>
          <cell r="K4168" t="str">
            <v>10.2012</v>
          </cell>
          <cell r="L4168">
            <v>0.433</v>
          </cell>
          <cell r="M4168" t="str">
            <v>PAC</v>
          </cell>
          <cell r="N4168">
            <v>3115.8099999999899</v>
          </cell>
          <cell r="O4168" t="str">
            <v>INR</v>
          </cell>
        </row>
        <row r="4169">
          <cell r="A4169" t="str">
            <v>L003 Ankleshwar</v>
          </cell>
          <cell r="B4169">
            <v>655356</v>
          </cell>
          <cell r="C4169" t="str">
            <v>SS SCRAPER BLADE-ANUP-HZ125 C/F</v>
          </cell>
          <cell r="D4169" t="str">
            <v>L0030151                       EnggStore</v>
          </cell>
          <cell r="E4169">
            <v>0</v>
          </cell>
          <cell r="F4169" t="str">
            <v>ND No planning</v>
          </cell>
          <cell r="G4169" t="str">
            <v>ERSA Spare parts</v>
          </cell>
          <cell r="H4169" t="str">
            <v>EN039     PlantEquipmentSpares</v>
          </cell>
          <cell r="I4169" t="str">
            <v>L003 Ankleshwar</v>
          </cell>
          <cell r="J4169" t="str">
            <v>99 Input/Byprodt/Scrap</v>
          </cell>
          <cell r="K4169" t="str">
            <v>10.2012</v>
          </cell>
          <cell r="L4169">
            <v>1</v>
          </cell>
          <cell r="M4169" t="str">
            <v>EA</v>
          </cell>
          <cell r="N4169">
            <v>4077.88</v>
          </cell>
          <cell r="O4169" t="str">
            <v>INR</v>
          </cell>
        </row>
        <row r="4170">
          <cell r="A4170" t="str">
            <v>L003 Ankleshwar</v>
          </cell>
          <cell r="B4170">
            <v>655357</v>
          </cell>
          <cell r="C4170" t="str">
            <v>O-RING VITON: 6W SSBC-Q-0444</v>
          </cell>
          <cell r="D4170" t="str">
            <v>L0030151                       EnggStore</v>
          </cell>
          <cell r="E4170">
            <v>0</v>
          </cell>
          <cell r="F4170" t="str">
            <v>ND No planning</v>
          </cell>
          <cell r="G4170" t="str">
            <v>ERSA Spare parts</v>
          </cell>
          <cell r="H4170" t="str">
            <v>EN032     Pumpspares</v>
          </cell>
          <cell r="I4170" t="str">
            <v>L003 Ankleshwar</v>
          </cell>
          <cell r="J4170" t="str">
            <v>99 Input/Byprodt/Scrap</v>
          </cell>
          <cell r="K4170" t="str">
            <v>10.2012</v>
          </cell>
          <cell r="L4170">
            <v>2</v>
          </cell>
          <cell r="M4170" t="str">
            <v>EA</v>
          </cell>
          <cell r="N4170">
            <v>377.36</v>
          </cell>
          <cell r="O4170" t="str">
            <v>INR</v>
          </cell>
        </row>
        <row r="4171">
          <cell r="A4171" t="str">
            <v>L003 Ankleshwar</v>
          </cell>
          <cell r="B4171">
            <v>655435</v>
          </cell>
          <cell r="C4171" t="str">
            <v>GASKET FOR TOP COVER BEARING COVER</v>
          </cell>
          <cell r="D4171" t="str">
            <v>L0030151                       EnggStore</v>
          </cell>
          <cell r="E4171">
            <v>0</v>
          </cell>
          <cell r="F4171" t="str">
            <v>ND No planning</v>
          </cell>
          <cell r="G4171" t="str">
            <v>ERSA Spare parts</v>
          </cell>
          <cell r="H4171" t="str">
            <v>EN037     Refrigeration&amp;A/Cspa</v>
          </cell>
          <cell r="I4171" t="str">
            <v>L003 Ankleshwar</v>
          </cell>
          <cell r="J4171" t="str">
            <v>99 Input/Byprodt/Scrap</v>
          </cell>
          <cell r="K4171" t="str">
            <v>10.2012</v>
          </cell>
          <cell r="L4171">
            <v>1</v>
          </cell>
          <cell r="M4171" t="str">
            <v>EA</v>
          </cell>
          <cell r="N4171">
            <v>50.6099999999999</v>
          </cell>
          <cell r="O4171" t="str">
            <v>INR</v>
          </cell>
        </row>
        <row r="4172">
          <cell r="A4172" t="str">
            <v>L003 Ankleshwar</v>
          </cell>
          <cell r="B4172">
            <v>655436</v>
          </cell>
          <cell r="C4172" t="str">
            <v>GASKET FOR BOTTOM CASING OUT LET FLANGE</v>
          </cell>
          <cell r="D4172" t="str">
            <v>L0030151                       EnggStore</v>
          </cell>
          <cell r="E4172">
            <v>0</v>
          </cell>
          <cell r="F4172" t="str">
            <v>ND No planning</v>
          </cell>
          <cell r="G4172" t="str">
            <v>ERSA Spare parts</v>
          </cell>
          <cell r="H4172" t="str">
            <v>EN037     Refrigeration&amp;A/Cspa</v>
          </cell>
          <cell r="I4172" t="str">
            <v>L003 Ankleshwar</v>
          </cell>
          <cell r="J4172" t="str">
            <v>99 Input/Byprodt/Scrap</v>
          </cell>
          <cell r="K4172" t="str">
            <v>10.2012</v>
          </cell>
          <cell r="L4172">
            <v>1</v>
          </cell>
          <cell r="M4172" t="str">
            <v>EA</v>
          </cell>
          <cell r="N4172">
            <v>59.5399999999999</v>
          </cell>
          <cell r="O4172" t="str">
            <v>INR</v>
          </cell>
        </row>
        <row r="4173">
          <cell r="A4173" t="str">
            <v>L003 Ankleshwar</v>
          </cell>
          <cell r="B4173">
            <v>655437</v>
          </cell>
          <cell r="C4173" t="str">
            <v>FELT SEAL: PART NO.1140422050</v>
          </cell>
          <cell r="D4173" t="str">
            <v>L0030151                       EnggStore</v>
          </cell>
          <cell r="E4173">
            <v>0</v>
          </cell>
          <cell r="F4173" t="str">
            <v>ND No planning</v>
          </cell>
          <cell r="G4173" t="str">
            <v>ERSA Spare parts</v>
          </cell>
          <cell r="H4173" t="str">
            <v>EN037     Refrigeration&amp;A/Cspa</v>
          </cell>
          <cell r="I4173" t="str">
            <v>L003 Ankleshwar</v>
          </cell>
          <cell r="J4173" t="str">
            <v>99 Input/Byprodt/Scrap</v>
          </cell>
          <cell r="K4173" t="str">
            <v>10.2012</v>
          </cell>
          <cell r="L4173">
            <v>1</v>
          </cell>
          <cell r="M4173" t="str">
            <v>EA</v>
          </cell>
          <cell r="N4173">
            <v>50.6099999999999</v>
          </cell>
          <cell r="O4173" t="str">
            <v>INR</v>
          </cell>
        </row>
        <row r="4174">
          <cell r="A4174" t="str">
            <v>L003 Ankleshwar</v>
          </cell>
          <cell r="B4174">
            <v>655438</v>
          </cell>
          <cell r="C4174" t="str">
            <v>FELT SEAL: PART NO.1140406050</v>
          </cell>
          <cell r="D4174" t="str">
            <v>L0030151                       EnggStore</v>
          </cell>
          <cell r="E4174">
            <v>0</v>
          </cell>
          <cell r="F4174" t="str">
            <v>ND No planning</v>
          </cell>
          <cell r="G4174" t="str">
            <v>ERSA Spare parts</v>
          </cell>
          <cell r="H4174" t="str">
            <v>EN037     Refrigeration&amp;A/Cspa</v>
          </cell>
          <cell r="I4174" t="str">
            <v>L003 Ankleshwar</v>
          </cell>
          <cell r="J4174" t="str">
            <v>99 Input/Byprodt/Scrap</v>
          </cell>
          <cell r="K4174" t="str">
            <v>10.2012</v>
          </cell>
          <cell r="L4174">
            <v>1</v>
          </cell>
          <cell r="M4174" t="str">
            <v>EA</v>
          </cell>
          <cell r="N4174">
            <v>50.6099999999999</v>
          </cell>
          <cell r="O4174" t="str">
            <v>INR</v>
          </cell>
        </row>
        <row r="4175">
          <cell r="A4175" t="str">
            <v>L003 Ankleshwar</v>
          </cell>
          <cell r="B4175">
            <v>655454</v>
          </cell>
          <cell r="C4175" t="str">
            <v>OIL SEAL: PART NO.1140211050</v>
          </cell>
          <cell r="D4175" t="str">
            <v>L0030151                       EnggStore</v>
          </cell>
          <cell r="E4175">
            <v>0</v>
          </cell>
          <cell r="F4175" t="str">
            <v>ND No planning</v>
          </cell>
          <cell r="G4175" t="str">
            <v>ERSA Spare parts</v>
          </cell>
          <cell r="H4175" t="str">
            <v>EN037     Refrigeration&amp;A/Cspa</v>
          </cell>
          <cell r="I4175" t="str">
            <v>L003 Ankleshwar</v>
          </cell>
          <cell r="J4175" t="str">
            <v>99 Input/Byprodt/Scrap</v>
          </cell>
          <cell r="K4175" t="str">
            <v>10.2012</v>
          </cell>
          <cell r="L4175">
            <v>1</v>
          </cell>
          <cell r="M4175" t="str">
            <v>EA</v>
          </cell>
          <cell r="N4175">
            <v>107.15</v>
          </cell>
          <cell r="O4175" t="str">
            <v>INR</v>
          </cell>
        </row>
        <row r="4176">
          <cell r="A4176" t="str">
            <v>L003 Ankleshwar</v>
          </cell>
          <cell r="B4176">
            <v>655455</v>
          </cell>
          <cell r="C4176" t="str">
            <v>SHIM: PART NO.1140234050</v>
          </cell>
          <cell r="D4176" t="str">
            <v>L0030151                       EnggStore</v>
          </cell>
          <cell r="E4176">
            <v>0</v>
          </cell>
          <cell r="F4176" t="str">
            <v>ND No planning</v>
          </cell>
          <cell r="G4176" t="str">
            <v>ERSA Spare parts</v>
          </cell>
          <cell r="H4176" t="str">
            <v>EN037     Refrigeration&amp;A/Cspa</v>
          </cell>
          <cell r="I4176" t="str">
            <v>L003 Ankleshwar</v>
          </cell>
          <cell r="J4176" t="str">
            <v>99 Input/Byprodt/Scrap</v>
          </cell>
          <cell r="K4176" t="str">
            <v>10.2012</v>
          </cell>
          <cell r="L4176">
            <v>1</v>
          </cell>
          <cell r="M4176" t="str">
            <v>EA</v>
          </cell>
          <cell r="N4176">
            <v>50.6099999999999</v>
          </cell>
          <cell r="O4176" t="str">
            <v>INR</v>
          </cell>
        </row>
        <row r="4177">
          <cell r="A4177" t="str">
            <v>L003 Ankleshwar</v>
          </cell>
          <cell r="B4177">
            <v>655456</v>
          </cell>
          <cell r="C4177" t="str">
            <v>SHIM: PART NO.1140233050</v>
          </cell>
          <cell r="D4177" t="str">
            <v>L0030151                       EnggStore</v>
          </cell>
          <cell r="E4177">
            <v>0</v>
          </cell>
          <cell r="F4177" t="str">
            <v>ND No planning</v>
          </cell>
          <cell r="G4177" t="str">
            <v>ERSA Spare parts</v>
          </cell>
          <cell r="H4177" t="str">
            <v>EN037     Refrigeration&amp;A/Cspa</v>
          </cell>
          <cell r="I4177" t="str">
            <v>L003 Ankleshwar</v>
          </cell>
          <cell r="J4177" t="str">
            <v>99 Input/Byprodt/Scrap</v>
          </cell>
          <cell r="K4177" t="str">
            <v>10.2012</v>
          </cell>
          <cell r="L4177">
            <v>1</v>
          </cell>
          <cell r="M4177" t="str">
            <v>EA</v>
          </cell>
          <cell r="N4177">
            <v>50.6099999999999</v>
          </cell>
          <cell r="O4177" t="str">
            <v>INR</v>
          </cell>
        </row>
        <row r="4178">
          <cell r="A4178" t="str">
            <v>L003 Ankleshwar</v>
          </cell>
          <cell r="B4178">
            <v>655457</v>
          </cell>
          <cell r="C4178" t="str">
            <v>CIRCLIP: PART NO.9991360550</v>
          </cell>
          <cell r="D4178" t="str">
            <v>L0030151                       EnggStore</v>
          </cell>
          <cell r="E4178">
            <v>0</v>
          </cell>
          <cell r="F4178" t="str">
            <v>ND No planning</v>
          </cell>
          <cell r="G4178" t="str">
            <v>ERSA Spare parts</v>
          </cell>
          <cell r="H4178" t="str">
            <v>EN037     Refrigeration&amp;A/Cspa</v>
          </cell>
          <cell r="I4178" t="str">
            <v>L003 Ankleshwar</v>
          </cell>
          <cell r="J4178" t="str">
            <v>99 Input/Byprodt/Scrap</v>
          </cell>
          <cell r="K4178" t="str">
            <v>10.2012</v>
          </cell>
          <cell r="L4178">
            <v>1</v>
          </cell>
          <cell r="M4178" t="str">
            <v>EA</v>
          </cell>
          <cell r="N4178">
            <v>50.6099999999999</v>
          </cell>
          <cell r="O4178" t="str">
            <v>INR</v>
          </cell>
        </row>
        <row r="4179">
          <cell r="A4179" t="str">
            <v>L003 Ankleshwar</v>
          </cell>
          <cell r="B4179">
            <v>655665</v>
          </cell>
          <cell r="C4179" t="str">
            <v>POWER ELEMENT TE VALVE: TEA-20 NH3</v>
          </cell>
          <cell r="D4179" t="str">
            <v>L0030151                       EnggStore</v>
          </cell>
          <cell r="E4179">
            <v>0</v>
          </cell>
          <cell r="F4179" t="str">
            <v>ND No planning</v>
          </cell>
          <cell r="G4179" t="str">
            <v>ERSA Spare parts</v>
          </cell>
          <cell r="H4179" t="str">
            <v>EN037     Refrigeration&amp;A/Cspa</v>
          </cell>
          <cell r="I4179" t="str">
            <v>L003 Ankleshwar</v>
          </cell>
          <cell r="J4179" t="str">
            <v>99 Input/Byprodt/Scrap</v>
          </cell>
          <cell r="K4179" t="str">
            <v>10.2012</v>
          </cell>
          <cell r="L4179">
            <v>1</v>
          </cell>
          <cell r="M4179" t="str">
            <v>EA</v>
          </cell>
          <cell r="N4179">
            <v>12000</v>
          </cell>
          <cell r="O4179" t="str">
            <v>INR</v>
          </cell>
        </row>
        <row r="4180">
          <cell r="A4180" t="str">
            <v>L003 Ankleshwar</v>
          </cell>
          <cell r="B4180">
            <v>655680</v>
          </cell>
          <cell r="C4180" t="str">
            <v>HSS TAP SET 8MM</v>
          </cell>
          <cell r="D4180" t="str">
            <v>L0030151                       EnggStore</v>
          </cell>
          <cell r="E4180">
            <v>0</v>
          </cell>
          <cell r="F4180" t="str">
            <v>ND No planning</v>
          </cell>
          <cell r="G4180" t="str">
            <v>ERSA Spare parts</v>
          </cell>
          <cell r="H4180" t="str">
            <v>EN036     Tools&amp;tackles</v>
          </cell>
          <cell r="I4180" t="str">
            <v>L003 Ankleshwar</v>
          </cell>
          <cell r="J4180" t="str">
            <v>99 Input/Byprodt/Scrap</v>
          </cell>
          <cell r="K4180" t="str">
            <v>10.2012</v>
          </cell>
          <cell r="L4180">
            <v>1</v>
          </cell>
          <cell r="M4180" t="str">
            <v>EA</v>
          </cell>
          <cell r="N4180">
            <v>637.98</v>
          </cell>
          <cell r="O4180" t="str">
            <v>INR</v>
          </cell>
        </row>
        <row r="4181">
          <cell r="A4181" t="str">
            <v>L003 Ankleshwar</v>
          </cell>
          <cell r="B4181">
            <v>655704</v>
          </cell>
          <cell r="C4181" t="str">
            <v>CABLE JOINTING KIT: 3.5CX185 MM²</v>
          </cell>
          <cell r="D4181" t="str">
            <v>L0030151                       EnggStore</v>
          </cell>
          <cell r="E4181">
            <v>0</v>
          </cell>
          <cell r="F4181" t="str">
            <v>ND No planning</v>
          </cell>
          <cell r="G4181" t="str">
            <v>ERSA Spare parts</v>
          </cell>
          <cell r="H4181" t="str">
            <v>EN004     Cable &amp; Cable Acc.</v>
          </cell>
          <cell r="I4181" t="str">
            <v>L003 Ankleshwar</v>
          </cell>
          <cell r="J4181" t="str">
            <v>99 Input/Byprodt/Scrap</v>
          </cell>
          <cell r="K4181" t="str">
            <v>10.2012</v>
          </cell>
          <cell r="L4181">
            <v>1</v>
          </cell>
          <cell r="M4181" t="str">
            <v>EA</v>
          </cell>
          <cell r="N4181">
            <v>2282.8699999999899</v>
          </cell>
          <cell r="O4181" t="str">
            <v>INR</v>
          </cell>
        </row>
        <row r="4182">
          <cell r="A4182" t="str">
            <v>L003 Ankleshwar</v>
          </cell>
          <cell r="B4182">
            <v>655706</v>
          </cell>
          <cell r="C4182" t="str">
            <v>BRASS DOUBLE NIPPLE</v>
          </cell>
          <cell r="D4182" t="str">
            <v>L0030151                       EnggStore</v>
          </cell>
          <cell r="E4182">
            <v>0</v>
          </cell>
          <cell r="F4182" t="str">
            <v>ND No planning</v>
          </cell>
          <cell r="G4182" t="str">
            <v>ERSA Spare parts</v>
          </cell>
          <cell r="H4182" t="str">
            <v>EN032     Pumpspares</v>
          </cell>
          <cell r="I4182" t="str">
            <v>L003 Ankleshwar</v>
          </cell>
          <cell r="J4182" t="str">
            <v>99 Input/Byprodt/Scrap</v>
          </cell>
          <cell r="K4182" t="str">
            <v>10.2012</v>
          </cell>
          <cell r="L4182">
            <v>4</v>
          </cell>
          <cell r="M4182" t="str">
            <v>EA</v>
          </cell>
          <cell r="N4182">
            <v>114.3</v>
          </cell>
          <cell r="O4182" t="str">
            <v>INR</v>
          </cell>
        </row>
        <row r="4183">
          <cell r="A4183" t="str">
            <v>L003 Ankleshwar</v>
          </cell>
          <cell r="B4183">
            <v>655707</v>
          </cell>
          <cell r="C4183" t="str">
            <v>OIL SEAL: 62X45X10 VITON</v>
          </cell>
          <cell r="D4183" t="str">
            <v>L0030151                       EnggStore</v>
          </cell>
          <cell r="E4183" t="str">
            <v>E35 E35</v>
          </cell>
          <cell r="F4183" t="str">
            <v>VB Manual reorder point planning</v>
          </cell>
          <cell r="G4183" t="str">
            <v>ERSA Spare parts</v>
          </cell>
          <cell r="H4183" t="str">
            <v>EN020     RubberItems&amp;Oil Seal</v>
          </cell>
          <cell r="I4183" t="str">
            <v>L003 Ankleshwar</v>
          </cell>
          <cell r="J4183" t="str">
            <v>99 Input/Byprodt/Scrap</v>
          </cell>
          <cell r="K4183" t="str">
            <v>10.2012</v>
          </cell>
          <cell r="L4183">
            <v>8</v>
          </cell>
          <cell r="M4183" t="str">
            <v>EA</v>
          </cell>
          <cell r="N4183">
            <v>3166.0799999999899</v>
          </cell>
          <cell r="O4183" t="str">
            <v>INR</v>
          </cell>
        </row>
        <row r="4184">
          <cell r="A4184" t="str">
            <v>L003 Ankleshwar</v>
          </cell>
          <cell r="B4184">
            <v>655708</v>
          </cell>
          <cell r="C4184" t="str">
            <v>CYLINDRICAL ROLLER BEARING N-206</v>
          </cell>
          <cell r="D4184" t="str">
            <v>L0030151                       EnggStore</v>
          </cell>
          <cell r="E4184">
            <v>0</v>
          </cell>
          <cell r="F4184" t="str">
            <v>ND No planning</v>
          </cell>
          <cell r="G4184" t="str">
            <v>ERSA Spare parts</v>
          </cell>
          <cell r="H4184" t="str">
            <v>EN009     Bearings</v>
          </cell>
          <cell r="I4184" t="str">
            <v>L003 Ankleshwar</v>
          </cell>
          <cell r="J4184" t="str">
            <v>99 Input/Byprodt/Scrap</v>
          </cell>
          <cell r="K4184" t="str">
            <v>10.2012</v>
          </cell>
          <cell r="L4184">
            <v>1</v>
          </cell>
          <cell r="M4184" t="str">
            <v>EA</v>
          </cell>
          <cell r="N4184">
            <v>1312.98</v>
          </cell>
          <cell r="O4184" t="str">
            <v>INR</v>
          </cell>
        </row>
        <row r="4185">
          <cell r="A4185" t="str">
            <v>L003 Ankleshwar</v>
          </cell>
          <cell r="B4185">
            <v>655709</v>
          </cell>
          <cell r="C4185" t="str">
            <v>OIL SEAL 28X52X10</v>
          </cell>
          <cell r="D4185" t="str">
            <v>L0030151                       EnggStore</v>
          </cell>
          <cell r="E4185" t="str">
            <v>E35 E35</v>
          </cell>
          <cell r="F4185" t="str">
            <v>VB Manual reorder point planning</v>
          </cell>
          <cell r="G4185" t="str">
            <v>ERSA Spare parts</v>
          </cell>
          <cell r="H4185" t="str">
            <v>EN020     RubberItems&amp;Oil Seal</v>
          </cell>
          <cell r="I4185" t="str">
            <v>L003 Ankleshwar</v>
          </cell>
          <cell r="J4185" t="str">
            <v>99 Input/Byprodt/Scrap</v>
          </cell>
          <cell r="K4185" t="str">
            <v>10.2012</v>
          </cell>
          <cell r="L4185">
            <v>2</v>
          </cell>
          <cell r="M4185" t="str">
            <v>EA</v>
          </cell>
          <cell r="N4185">
            <v>27.1999999999999</v>
          </cell>
          <cell r="O4185" t="str">
            <v>INR</v>
          </cell>
        </row>
        <row r="4186">
          <cell r="A4186" t="str">
            <v>L003 Ankleshwar</v>
          </cell>
          <cell r="B4186">
            <v>655736</v>
          </cell>
          <cell r="C4186" t="str">
            <v>MS PTFE LINING PIPE PIECE: 1"X500MM</v>
          </cell>
          <cell r="D4186" t="str">
            <v>L0030201                       Cons StoreKP</v>
          </cell>
          <cell r="E4186">
            <v>0</v>
          </cell>
          <cell r="F4186" t="str">
            <v>ND No planning</v>
          </cell>
          <cell r="G4186" t="str">
            <v>ERSA Spare parts</v>
          </cell>
          <cell r="H4186" t="str">
            <v>EN028     Pipes&amp;pipefittings</v>
          </cell>
          <cell r="I4186" t="str">
            <v>L003 Ankleshwar</v>
          </cell>
          <cell r="J4186" t="str">
            <v>99 Input/Byprodt/Scrap</v>
          </cell>
          <cell r="K4186" t="str">
            <v>10.2012</v>
          </cell>
          <cell r="L4186">
            <v>2</v>
          </cell>
          <cell r="M4186" t="str">
            <v>EA</v>
          </cell>
          <cell r="N4186">
            <v>2294.42</v>
          </cell>
          <cell r="O4186" t="str">
            <v>INR</v>
          </cell>
        </row>
        <row r="4187">
          <cell r="A4187" t="str">
            <v>L003 Ankleshwar</v>
          </cell>
          <cell r="B4187">
            <v>655741</v>
          </cell>
          <cell r="C4187" t="str">
            <v>MS PTFE LINING PIPE PIECE: 2"X700MM</v>
          </cell>
          <cell r="D4187" t="str">
            <v>L0030151                       EnggStore</v>
          </cell>
          <cell r="E4187">
            <v>0</v>
          </cell>
          <cell r="F4187" t="str">
            <v>ND No planning</v>
          </cell>
          <cell r="G4187" t="str">
            <v>ERSA Spare parts</v>
          </cell>
          <cell r="H4187" t="str">
            <v>EN028     Pipes&amp;pipefittings</v>
          </cell>
          <cell r="I4187" t="str">
            <v>L003 Ankleshwar</v>
          </cell>
          <cell r="J4187" t="str">
            <v>99 Input/Byprodt/Scrap</v>
          </cell>
          <cell r="K4187" t="str">
            <v>10.2012</v>
          </cell>
          <cell r="L4187">
            <v>1</v>
          </cell>
          <cell r="M4187" t="str">
            <v>EA</v>
          </cell>
          <cell r="N4187">
            <v>1777.8599999999899</v>
          </cell>
          <cell r="O4187" t="str">
            <v>INR</v>
          </cell>
        </row>
        <row r="4188">
          <cell r="A4188" t="str">
            <v>L003 Ankleshwar</v>
          </cell>
          <cell r="B4188">
            <v>655752</v>
          </cell>
          <cell r="C4188" t="str">
            <v>REDUCER MS PTFE LINING: 2"X1</v>
          </cell>
          <cell r="D4188" t="str">
            <v>L0030201                       Cons StoreKP</v>
          </cell>
          <cell r="E4188">
            <v>0</v>
          </cell>
          <cell r="F4188" t="str">
            <v>ND No planning</v>
          </cell>
          <cell r="G4188" t="str">
            <v>ERSA Spare parts</v>
          </cell>
          <cell r="H4188" t="str">
            <v>EN028     Pipes&amp;pipefittings</v>
          </cell>
          <cell r="I4188" t="str">
            <v>L003 Ankleshwar</v>
          </cell>
          <cell r="J4188" t="str">
            <v>99 Input/Byprodt/Scrap</v>
          </cell>
          <cell r="K4188" t="str">
            <v>10.2012</v>
          </cell>
          <cell r="L4188">
            <v>1</v>
          </cell>
          <cell r="M4188" t="str">
            <v>EA</v>
          </cell>
          <cell r="N4188">
            <v>1411.02</v>
          </cell>
          <cell r="O4188" t="str">
            <v>INR</v>
          </cell>
        </row>
        <row r="4189">
          <cell r="A4189" t="str">
            <v>L003 Ankleshwar</v>
          </cell>
          <cell r="B4189">
            <v>655779</v>
          </cell>
          <cell r="C4189" t="str">
            <v>MS PTFE LINING PIPE PIECE: 1"X100MM</v>
          </cell>
          <cell r="D4189" t="str">
            <v>L0030201                       Cons StoreKP</v>
          </cell>
          <cell r="E4189">
            <v>0</v>
          </cell>
          <cell r="F4189" t="str">
            <v>ND No planning</v>
          </cell>
          <cell r="G4189" t="str">
            <v>ERSA Spare parts</v>
          </cell>
          <cell r="H4189" t="str">
            <v>EN028     Pipes&amp;pipefittings</v>
          </cell>
          <cell r="I4189" t="str">
            <v>L003 Ankleshwar</v>
          </cell>
          <cell r="J4189" t="str">
            <v>99 Input/Byprodt/Scrap</v>
          </cell>
          <cell r="K4189" t="str">
            <v>10.2012</v>
          </cell>
          <cell r="L4189">
            <v>6</v>
          </cell>
          <cell r="M4189" t="str">
            <v>EA</v>
          </cell>
          <cell r="N4189">
            <v>3231.84</v>
          </cell>
          <cell r="O4189" t="str">
            <v>INR</v>
          </cell>
        </row>
        <row r="4190">
          <cell r="A4190" t="str">
            <v>L003 Ankleshwar</v>
          </cell>
          <cell r="B4190">
            <v>655816</v>
          </cell>
          <cell r="C4190" t="str">
            <v>NON METALLIC GASKET-K80: 1050X1103MM</v>
          </cell>
          <cell r="D4190" t="str">
            <v>L0030151                       EnggStore</v>
          </cell>
          <cell r="E4190" t="str">
            <v>E35 E35</v>
          </cell>
          <cell r="F4190" t="str">
            <v>VB Manual reorder point planning</v>
          </cell>
          <cell r="G4190" t="str">
            <v>ERSA Spare parts</v>
          </cell>
          <cell r="H4190" t="str">
            <v>EN024     EnggConsumables</v>
          </cell>
          <cell r="I4190" t="str">
            <v>L003 Ankleshwar</v>
          </cell>
          <cell r="J4190" t="str">
            <v>99 Input/Byprodt/Scrap</v>
          </cell>
          <cell r="K4190" t="str">
            <v>10.2012</v>
          </cell>
          <cell r="L4190">
            <v>2</v>
          </cell>
          <cell r="M4190" t="str">
            <v>EA</v>
          </cell>
          <cell r="N4190">
            <v>1493.8</v>
          </cell>
          <cell r="O4190" t="str">
            <v>INR</v>
          </cell>
        </row>
        <row r="4191">
          <cell r="A4191" t="str">
            <v>L003 Ankleshwar</v>
          </cell>
          <cell r="B4191">
            <v>655820</v>
          </cell>
          <cell r="C4191" t="str">
            <v>RADIATOR HOSE-PIPE: PATKAR-OTL 175</v>
          </cell>
          <cell r="D4191" t="str">
            <v>L0030151                       EnggStore</v>
          </cell>
          <cell r="E4191" t="str">
            <v>E34 E34</v>
          </cell>
          <cell r="F4191" t="str">
            <v>VB Manual reorder point planning</v>
          </cell>
          <cell r="G4191" t="str">
            <v>ERSA Spare parts</v>
          </cell>
          <cell r="H4191" t="str">
            <v>EN032     Pumpspares</v>
          </cell>
          <cell r="I4191" t="str">
            <v>L003 Ankleshwar</v>
          </cell>
          <cell r="J4191" t="str">
            <v>99 Input/Byprodt/Scrap</v>
          </cell>
          <cell r="K4191" t="str">
            <v>10.2012</v>
          </cell>
          <cell r="L4191">
            <v>7</v>
          </cell>
          <cell r="M4191" t="str">
            <v>EA</v>
          </cell>
          <cell r="N4191">
            <v>351.36</v>
          </cell>
          <cell r="O4191" t="str">
            <v>INR</v>
          </cell>
        </row>
        <row r="4192">
          <cell r="A4192" t="str">
            <v>L003 Ankleshwar</v>
          </cell>
          <cell r="B4192">
            <v>655846</v>
          </cell>
          <cell r="C4192" t="str">
            <v>MOVING ARC CONTACT SL-93892 4000A HO ACB</v>
          </cell>
          <cell r="D4192" t="str">
            <v>L0030151                       EnggStore</v>
          </cell>
          <cell r="E4192">
            <v>0</v>
          </cell>
          <cell r="F4192" t="str">
            <v>ND No planning</v>
          </cell>
          <cell r="G4192" t="str">
            <v>ERSA Spare parts</v>
          </cell>
          <cell r="H4192" t="str">
            <v>EN006     Elec Switchgear</v>
          </cell>
          <cell r="I4192" t="str">
            <v>L003 Ankleshwar</v>
          </cell>
          <cell r="J4192" t="str">
            <v>99 Input/Byprodt/Scrap</v>
          </cell>
          <cell r="K4192" t="str">
            <v>10.2012</v>
          </cell>
          <cell r="L4192">
            <v>1</v>
          </cell>
          <cell r="M4192" t="str">
            <v>SET</v>
          </cell>
          <cell r="N4192">
            <v>1225.6199999999899</v>
          </cell>
          <cell r="O4192" t="str">
            <v>INR</v>
          </cell>
        </row>
        <row r="4193">
          <cell r="A4193" t="str">
            <v>L003 Ankleshwar</v>
          </cell>
          <cell r="B4193">
            <v>655847</v>
          </cell>
          <cell r="C4193" t="str">
            <v>FIXED ARC CONTACT SL-93040 4000A HO ACB</v>
          </cell>
          <cell r="D4193" t="str">
            <v>L0030151                       EnggStore</v>
          </cell>
          <cell r="E4193">
            <v>0</v>
          </cell>
          <cell r="F4193" t="str">
            <v>ND No planning</v>
          </cell>
          <cell r="G4193" t="str">
            <v>ERSA Spare parts</v>
          </cell>
          <cell r="H4193" t="str">
            <v>EN006     Elec Switchgear</v>
          </cell>
          <cell r="I4193" t="str">
            <v>L003 Ankleshwar</v>
          </cell>
          <cell r="J4193" t="str">
            <v>99 Input/Byprodt/Scrap</v>
          </cell>
          <cell r="K4193" t="str">
            <v>10.2012</v>
          </cell>
          <cell r="L4193">
            <v>3</v>
          </cell>
          <cell r="M4193" t="str">
            <v>EA</v>
          </cell>
          <cell r="N4193">
            <v>1680</v>
          </cell>
          <cell r="O4193" t="str">
            <v>INR</v>
          </cell>
        </row>
        <row r="4194">
          <cell r="A4194" t="str">
            <v>L003 Ankleshwar</v>
          </cell>
          <cell r="B4194">
            <v>655893</v>
          </cell>
          <cell r="C4194" t="str">
            <v>PISTON-TRIPLEX PLUNG: PUMP-HNT/N/3850/75</v>
          </cell>
          <cell r="D4194" t="str">
            <v>L0030151                       EnggStore</v>
          </cell>
          <cell r="E4194">
            <v>0</v>
          </cell>
          <cell r="F4194" t="str">
            <v>ND No planning</v>
          </cell>
          <cell r="G4194" t="str">
            <v>ERSA Spare parts</v>
          </cell>
          <cell r="H4194" t="str">
            <v>EN032     Pumpspares</v>
          </cell>
          <cell r="I4194" t="str">
            <v>L003 Ankleshwar</v>
          </cell>
          <cell r="J4194" t="str">
            <v>99 Input/Byprodt/Scrap</v>
          </cell>
          <cell r="K4194" t="str">
            <v>10.2012</v>
          </cell>
          <cell r="L4194">
            <v>1</v>
          </cell>
          <cell r="M4194" t="str">
            <v>EA</v>
          </cell>
          <cell r="N4194">
            <v>2476.88</v>
          </cell>
          <cell r="O4194" t="str">
            <v>INR</v>
          </cell>
        </row>
        <row r="4195">
          <cell r="A4195" t="str">
            <v>L003 Ankleshwar</v>
          </cell>
          <cell r="B4195">
            <v>655912</v>
          </cell>
          <cell r="C4195" t="str">
            <v>O-RING SILICON RUBBER: 219MM ID X 6MM</v>
          </cell>
          <cell r="D4195" t="str">
            <v>L0030151                       EnggStore</v>
          </cell>
          <cell r="E4195" t="str">
            <v>E35 E35</v>
          </cell>
          <cell r="F4195" t="str">
            <v>VB Manual reorder point planning</v>
          </cell>
          <cell r="G4195" t="str">
            <v>ERSA Spare parts</v>
          </cell>
          <cell r="H4195" t="str">
            <v>EN020     RubberItems&amp;Oil Seal</v>
          </cell>
          <cell r="I4195" t="str">
            <v>L003 Ankleshwar</v>
          </cell>
          <cell r="J4195" t="str">
            <v>99 Input/Byprodt/Scrap</v>
          </cell>
          <cell r="K4195" t="str">
            <v>10.2012</v>
          </cell>
          <cell r="L4195">
            <v>4</v>
          </cell>
          <cell r="M4195" t="str">
            <v>EA</v>
          </cell>
          <cell r="N4195">
            <v>344</v>
          </cell>
          <cell r="O4195" t="str">
            <v>INR</v>
          </cell>
        </row>
        <row r="4196">
          <cell r="A4196" t="str">
            <v>L003 Ankleshwar</v>
          </cell>
          <cell r="B4196">
            <v>655913</v>
          </cell>
          <cell r="C4196" t="str">
            <v>O-RING SILICON RUBBER: 51MM ID X 3.5MM</v>
          </cell>
          <cell r="D4196" t="str">
            <v>L0030151                       EnggStore</v>
          </cell>
          <cell r="E4196" t="str">
            <v>E35 E35</v>
          </cell>
          <cell r="F4196" t="str">
            <v>VB Manual reorder point planning</v>
          </cell>
          <cell r="G4196" t="str">
            <v>ERSA Spare parts</v>
          </cell>
          <cell r="H4196" t="str">
            <v>EN020     RubberItems&amp;Oil Seal</v>
          </cell>
          <cell r="I4196" t="str">
            <v>L003 Ankleshwar</v>
          </cell>
          <cell r="J4196" t="str">
            <v>99 Input/Byprodt/Scrap</v>
          </cell>
          <cell r="K4196" t="str">
            <v>10.2012</v>
          </cell>
          <cell r="L4196">
            <v>34</v>
          </cell>
          <cell r="M4196" t="str">
            <v>EA</v>
          </cell>
          <cell r="N4196">
            <v>704.89999999999895</v>
          </cell>
          <cell r="O4196" t="str">
            <v>INR</v>
          </cell>
        </row>
        <row r="4197">
          <cell r="A4197" t="str">
            <v>L003 Ankleshwar</v>
          </cell>
          <cell r="B4197">
            <v>655914</v>
          </cell>
          <cell r="C4197" t="str">
            <v>O-RING NITRILE RUBBER: 60MM ID X 2.75MM</v>
          </cell>
          <cell r="D4197" t="str">
            <v>L0030151                       EnggStore</v>
          </cell>
          <cell r="E4197">
            <v>0</v>
          </cell>
          <cell r="F4197" t="str">
            <v>ND No planning</v>
          </cell>
          <cell r="G4197" t="str">
            <v>ERSA Spare parts</v>
          </cell>
          <cell r="H4197" t="str">
            <v>EN020     RubberItems&amp;Oil Seal</v>
          </cell>
          <cell r="I4197" t="str">
            <v>L003 Ankleshwar</v>
          </cell>
          <cell r="J4197" t="str">
            <v>99 Input/Byprodt/Scrap</v>
          </cell>
          <cell r="K4197" t="str">
            <v>10.2012</v>
          </cell>
          <cell r="L4197">
            <v>10</v>
          </cell>
          <cell r="M4197" t="str">
            <v>EA</v>
          </cell>
          <cell r="N4197">
            <v>70</v>
          </cell>
          <cell r="O4197" t="str">
            <v>INR</v>
          </cell>
        </row>
        <row r="4198">
          <cell r="A4198" t="str">
            <v>L003 Ankleshwar</v>
          </cell>
          <cell r="B4198">
            <v>655929</v>
          </cell>
          <cell r="C4198" t="str">
            <v>BUTTERFLY VALVE TEFLONE COATED: 200MM</v>
          </cell>
          <cell r="D4198" t="str">
            <v>L0030151                       EnggStore</v>
          </cell>
          <cell r="E4198">
            <v>0</v>
          </cell>
          <cell r="F4198" t="str">
            <v>ND No planning</v>
          </cell>
          <cell r="G4198" t="str">
            <v>ERSA Spare parts</v>
          </cell>
          <cell r="H4198" t="str">
            <v>EN023     Valves&amp;spares</v>
          </cell>
          <cell r="I4198" t="str">
            <v>L003 Ankleshwar</v>
          </cell>
          <cell r="J4198" t="str">
            <v>99 Input/Byprodt/Scrap</v>
          </cell>
          <cell r="K4198" t="str">
            <v>10.2012</v>
          </cell>
          <cell r="L4198">
            <v>2</v>
          </cell>
          <cell r="M4198" t="str">
            <v>EA</v>
          </cell>
          <cell r="N4198">
            <v>39000</v>
          </cell>
          <cell r="O4198" t="str">
            <v>INR</v>
          </cell>
        </row>
        <row r="4199">
          <cell r="A4199" t="str">
            <v>L003 Ankleshwar</v>
          </cell>
          <cell r="B4199">
            <v>655951</v>
          </cell>
          <cell r="C4199" t="str">
            <v>O/L RELAY-COMPRESSOR MLA 4445</v>
          </cell>
          <cell r="D4199" t="str">
            <v>L0030151                       EnggStore</v>
          </cell>
          <cell r="E4199" t="str">
            <v>E32 E32</v>
          </cell>
          <cell r="F4199" t="str">
            <v>VB Manual reorder point planning</v>
          </cell>
          <cell r="G4199" t="str">
            <v>ERSA Spare parts</v>
          </cell>
          <cell r="H4199" t="str">
            <v>EN037     Refrigeration&amp;A/Cspa</v>
          </cell>
          <cell r="I4199" t="str">
            <v>L003 Ankleshwar</v>
          </cell>
          <cell r="J4199" t="str">
            <v>99 Input/Byprodt/Scrap</v>
          </cell>
          <cell r="K4199" t="str">
            <v>10.2012</v>
          </cell>
          <cell r="L4199">
            <v>1</v>
          </cell>
          <cell r="M4199" t="str">
            <v>EA</v>
          </cell>
          <cell r="N4199">
            <v>250</v>
          </cell>
          <cell r="O4199" t="str">
            <v>INR</v>
          </cell>
        </row>
        <row r="4200">
          <cell r="A4200" t="str">
            <v>L003 Ankleshwar</v>
          </cell>
          <cell r="B4200">
            <v>655973</v>
          </cell>
          <cell r="C4200" t="str">
            <v>GIC J648B1 AUTO/MANUAK TIME SWITCH 0-24</v>
          </cell>
          <cell r="D4200" t="str">
            <v>L0030151                       EnggStore</v>
          </cell>
          <cell r="E4200" t="str">
            <v>E36 E36</v>
          </cell>
          <cell r="F4200" t="str">
            <v>VB Manual reorder point planning</v>
          </cell>
          <cell r="G4200" t="str">
            <v>ERSA Spare parts</v>
          </cell>
          <cell r="H4200" t="str">
            <v>EN006     Elec Switchgear</v>
          </cell>
          <cell r="I4200" t="str">
            <v>L003 Ankleshwar</v>
          </cell>
          <cell r="J4200" t="str">
            <v>99 Input/Byprodt/Scrap</v>
          </cell>
          <cell r="K4200" t="str">
            <v>10.2012</v>
          </cell>
          <cell r="L4200">
            <v>4</v>
          </cell>
          <cell r="M4200" t="str">
            <v>EA</v>
          </cell>
          <cell r="N4200">
            <v>6890.6899999999896</v>
          </cell>
          <cell r="O4200" t="str">
            <v>INR</v>
          </cell>
        </row>
        <row r="4201">
          <cell r="A4201" t="str">
            <v>L003 Ankleshwar</v>
          </cell>
          <cell r="B4201">
            <v>656036</v>
          </cell>
          <cell r="C4201" t="str">
            <v>CRANK SHAFT COMPLETE: KC31</v>
          </cell>
          <cell r="D4201" t="str">
            <v>L0030151                       EnggStore</v>
          </cell>
          <cell r="E4201" t="str">
            <v>E32 E32</v>
          </cell>
          <cell r="F4201" t="str">
            <v>VB Manual reorder point planning</v>
          </cell>
          <cell r="G4201" t="str">
            <v>ERSA Spare parts</v>
          </cell>
          <cell r="H4201" t="str">
            <v>EN018     UtilityEquipmentSpar</v>
          </cell>
          <cell r="I4201" t="str">
            <v>L003 Ankleshwar</v>
          </cell>
          <cell r="J4201" t="str">
            <v>99 Input/Byprodt/Scrap</v>
          </cell>
          <cell r="K4201" t="str">
            <v>10.2012</v>
          </cell>
          <cell r="L4201">
            <v>1</v>
          </cell>
          <cell r="M4201" t="str">
            <v>EA</v>
          </cell>
          <cell r="N4201">
            <v>41649.199999999903</v>
          </cell>
          <cell r="O4201" t="str">
            <v>INR</v>
          </cell>
        </row>
        <row r="4202">
          <cell r="A4202" t="str">
            <v>L003 Ankleshwar</v>
          </cell>
          <cell r="B4202">
            <v>656041</v>
          </cell>
          <cell r="C4202" t="str">
            <v>CI-CLOSE IMPELLER: PT-NO:15100-CE32/16</v>
          </cell>
          <cell r="D4202" t="str">
            <v>L0030151                       EnggStore</v>
          </cell>
          <cell r="E4202">
            <v>0</v>
          </cell>
          <cell r="F4202" t="str">
            <v>ND No planning</v>
          </cell>
          <cell r="G4202" t="str">
            <v>ERSA Spare parts</v>
          </cell>
          <cell r="H4202" t="str">
            <v>EN032     Pumpspares</v>
          </cell>
          <cell r="I4202" t="str">
            <v>L003 Ankleshwar</v>
          </cell>
          <cell r="J4202" t="str">
            <v>99 Input/Byprodt/Scrap</v>
          </cell>
          <cell r="K4202" t="str">
            <v>10.2012</v>
          </cell>
          <cell r="L4202">
            <v>1</v>
          </cell>
          <cell r="M4202" t="str">
            <v>EA</v>
          </cell>
          <cell r="N4202">
            <v>3649.1199999999899</v>
          </cell>
          <cell r="O4202" t="str">
            <v>INR</v>
          </cell>
        </row>
        <row r="4203">
          <cell r="A4203" t="str">
            <v>L003 Ankleshwar</v>
          </cell>
          <cell r="B4203">
            <v>656043</v>
          </cell>
          <cell r="C4203" t="str">
            <v>C-40 PUMP SHAFT: PT-NO:18000-CE32/16</v>
          </cell>
          <cell r="D4203" t="str">
            <v>L0030151                       EnggStore</v>
          </cell>
          <cell r="E4203">
            <v>0</v>
          </cell>
          <cell r="F4203" t="str">
            <v>ND No planning</v>
          </cell>
          <cell r="G4203" t="str">
            <v>ERSA Spare parts</v>
          </cell>
          <cell r="H4203" t="str">
            <v>EN032     Pumpspares</v>
          </cell>
          <cell r="I4203" t="str">
            <v>L003 Ankleshwar</v>
          </cell>
          <cell r="J4203" t="str">
            <v>99 Input/Byprodt/Scrap</v>
          </cell>
          <cell r="K4203" t="str">
            <v>10.2012</v>
          </cell>
          <cell r="L4203">
            <v>2</v>
          </cell>
          <cell r="M4203" t="str">
            <v>EA</v>
          </cell>
          <cell r="N4203">
            <v>1831.5</v>
          </cell>
          <cell r="O4203" t="str">
            <v>INR</v>
          </cell>
        </row>
        <row r="4204">
          <cell r="A4204" t="str">
            <v>L003 Ankleshwar</v>
          </cell>
          <cell r="B4204">
            <v>656048</v>
          </cell>
          <cell r="C4204" t="str">
            <v>CI-PUMP CASING: PT-NO:10500-CE32/16</v>
          </cell>
          <cell r="D4204" t="str">
            <v>L0030151                       EnggStore</v>
          </cell>
          <cell r="E4204">
            <v>0</v>
          </cell>
          <cell r="F4204" t="str">
            <v>ND No planning</v>
          </cell>
          <cell r="G4204" t="str">
            <v>ERSA Spare parts</v>
          </cell>
          <cell r="H4204" t="str">
            <v>EN032     Pumpspares</v>
          </cell>
          <cell r="I4204" t="str">
            <v>L003 Ankleshwar</v>
          </cell>
          <cell r="J4204" t="str">
            <v>99 Input/Byprodt/Scrap</v>
          </cell>
          <cell r="K4204" t="str">
            <v>10.2012</v>
          </cell>
          <cell r="L4204">
            <v>1</v>
          </cell>
          <cell r="M4204" t="str">
            <v>EA</v>
          </cell>
          <cell r="N4204">
            <v>8306.5</v>
          </cell>
          <cell r="O4204" t="str">
            <v>INR</v>
          </cell>
        </row>
        <row r="4205">
          <cell r="A4205" t="str">
            <v>L003 Ankleshwar</v>
          </cell>
          <cell r="B4205">
            <v>656130</v>
          </cell>
          <cell r="C4205" t="str">
            <v>TIE ROD ASLY PT.NO: 02047449</v>
          </cell>
          <cell r="D4205" t="str">
            <v>L0030151                       EnggStore</v>
          </cell>
          <cell r="E4205">
            <v>0</v>
          </cell>
          <cell r="F4205" t="str">
            <v>ND No planning</v>
          </cell>
          <cell r="G4205" t="str">
            <v>ERSA Spare parts</v>
          </cell>
          <cell r="H4205" t="str">
            <v>EN015     MaterialHandlingspar</v>
          </cell>
          <cell r="I4205" t="str">
            <v>L003 Ankleshwar</v>
          </cell>
          <cell r="J4205" t="str">
            <v>99 Input/Byprodt/Scrap</v>
          </cell>
          <cell r="K4205" t="str">
            <v>10.2012</v>
          </cell>
          <cell r="L4205">
            <v>1</v>
          </cell>
          <cell r="M4205" t="str">
            <v>EA</v>
          </cell>
          <cell r="N4205">
            <v>3426</v>
          </cell>
          <cell r="O4205" t="str">
            <v>INR</v>
          </cell>
        </row>
        <row r="4206">
          <cell r="A4206" t="str">
            <v>L003 Ankleshwar</v>
          </cell>
          <cell r="B4206">
            <v>656152</v>
          </cell>
          <cell r="C4206" t="str">
            <v>CR OIL SEAL: 28X38X7</v>
          </cell>
          <cell r="D4206" t="str">
            <v>L0030151                       EnggStore</v>
          </cell>
          <cell r="E4206">
            <v>0</v>
          </cell>
          <cell r="F4206" t="str">
            <v>ND No planning</v>
          </cell>
          <cell r="G4206" t="str">
            <v>ERSA Spare parts</v>
          </cell>
          <cell r="H4206" t="str">
            <v>EN020     RubberItems&amp;Oil Seal</v>
          </cell>
          <cell r="I4206" t="str">
            <v>L003 Ankleshwar</v>
          </cell>
          <cell r="J4206" t="str">
            <v>99 Input/Byprodt/Scrap</v>
          </cell>
          <cell r="K4206" t="str">
            <v>10.2012</v>
          </cell>
          <cell r="L4206">
            <v>2</v>
          </cell>
          <cell r="M4206" t="str">
            <v>EA</v>
          </cell>
          <cell r="N4206">
            <v>144</v>
          </cell>
          <cell r="O4206" t="str">
            <v>INR</v>
          </cell>
        </row>
        <row r="4207">
          <cell r="A4207" t="str">
            <v>L003 Ankleshwar</v>
          </cell>
          <cell r="B4207">
            <v>656153</v>
          </cell>
          <cell r="C4207" t="str">
            <v>CR OIL SEAL: 25X35X7</v>
          </cell>
          <cell r="D4207" t="str">
            <v>L0030151                       EnggStore</v>
          </cell>
          <cell r="E4207" t="str">
            <v>E35 E35</v>
          </cell>
          <cell r="F4207" t="str">
            <v>VB Manual reorder point planning</v>
          </cell>
          <cell r="G4207" t="str">
            <v>ERSA Spare parts</v>
          </cell>
          <cell r="H4207" t="str">
            <v>EN020     RubberItems&amp;Oil Seal</v>
          </cell>
          <cell r="I4207" t="str">
            <v>L003 Ankleshwar</v>
          </cell>
          <cell r="J4207" t="str">
            <v>99 Input/Byprodt/Scrap</v>
          </cell>
          <cell r="K4207" t="str">
            <v>10.2012</v>
          </cell>
          <cell r="L4207">
            <v>2</v>
          </cell>
          <cell r="M4207" t="str">
            <v>EA</v>
          </cell>
          <cell r="N4207">
            <v>102.959999999999</v>
          </cell>
          <cell r="O4207" t="str">
            <v>INR</v>
          </cell>
        </row>
        <row r="4208">
          <cell r="A4208" t="str">
            <v>L003 Ankleshwar</v>
          </cell>
          <cell r="B4208">
            <v>656154</v>
          </cell>
          <cell r="C4208" t="str">
            <v>CR OIL SEAL: 225X300X37</v>
          </cell>
          <cell r="D4208" t="str">
            <v>L0030151                       EnggStore</v>
          </cell>
          <cell r="E4208" t="str">
            <v>E35 E35</v>
          </cell>
          <cell r="F4208" t="str">
            <v>VB Manual reorder point planning</v>
          </cell>
          <cell r="G4208" t="str">
            <v>ERSA Spare parts</v>
          </cell>
          <cell r="H4208" t="str">
            <v>EN020     RubberItems&amp;Oil Seal</v>
          </cell>
          <cell r="I4208" t="str">
            <v>L003 Ankleshwar</v>
          </cell>
          <cell r="J4208" t="str">
            <v>99 Input/Byprodt/Scrap</v>
          </cell>
          <cell r="K4208" t="str">
            <v>10.2012</v>
          </cell>
          <cell r="L4208">
            <v>3</v>
          </cell>
          <cell r="M4208" t="str">
            <v>EA</v>
          </cell>
          <cell r="N4208">
            <v>805.79999999999905</v>
          </cell>
          <cell r="O4208" t="str">
            <v>INR</v>
          </cell>
        </row>
        <row r="4209">
          <cell r="A4209" t="str">
            <v>L003 Ankleshwar</v>
          </cell>
          <cell r="B4209">
            <v>656156</v>
          </cell>
          <cell r="C4209" t="str">
            <v>CR OIL SEAL: 35X54X8</v>
          </cell>
          <cell r="D4209" t="str">
            <v>L0030151                       EnggStore</v>
          </cell>
          <cell r="E4209" t="str">
            <v>E35 E35</v>
          </cell>
          <cell r="F4209" t="str">
            <v>VB Manual reorder point planning</v>
          </cell>
          <cell r="G4209" t="str">
            <v>ERSA Spare parts</v>
          </cell>
          <cell r="H4209" t="str">
            <v>EN020     RubberItems&amp;Oil Seal</v>
          </cell>
          <cell r="I4209" t="str">
            <v>L003 Ankleshwar</v>
          </cell>
          <cell r="J4209" t="str">
            <v>99 Input/Byprodt/Scrap</v>
          </cell>
          <cell r="K4209" t="str">
            <v>10.2012</v>
          </cell>
          <cell r="L4209">
            <v>4</v>
          </cell>
          <cell r="M4209" t="str">
            <v>EA</v>
          </cell>
          <cell r="N4209">
            <v>1224</v>
          </cell>
          <cell r="O4209" t="str">
            <v>INR</v>
          </cell>
        </row>
        <row r="4210">
          <cell r="A4210" t="str">
            <v>L003 Ankleshwar</v>
          </cell>
          <cell r="B4210">
            <v>656157</v>
          </cell>
          <cell r="C4210" t="str">
            <v>CR OIL SEAL: 22X35X7</v>
          </cell>
          <cell r="D4210" t="str">
            <v>L0030151                       EnggStore</v>
          </cell>
          <cell r="E4210">
            <v>0</v>
          </cell>
          <cell r="F4210" t="str">
            <v>ND No planning</v>
          </cell>
          <cell r="G4210" t="str">
            <v>ERSA Spare parts</v>
          </cell>
          <cell r="H4210" t="str">
            <v>EN020     RubberItems&amp;Oil Seal</v>
          </cell>
          <cell r="I4210" t="str">
            <v>L003 Ankleshwar</v>
          </cell>
          <cell r="J4210" t="str">
            <v>99 Input/Byprodt/Scrap</v>
          </cell>
          <cell r="K4210" t="str">
            <v>10.2012</v>
          </cell>
          <cell r="L4210">
            <v>4</v>
          </cell>
          <cell r="M4210" t="str">
            <v>EA</v>
          </cell>
          <cell r="N4210">
            <v>1296</v>
          </cell>
          <cell r="O4210" t="str">
            <v>INR</v>
          </cell>
        </row>
        <row r="4211">
          <cell r="A4211" t="str">
            <v>L003 Ankleshwar</v>
          </cell>
          <cell r="B4211">
            <v>656160</v>
          </cell>
          <cell r="C4211" t="str">
            <v>CR OIL SEAL: 50X90X8</v>
          </cell>
          <cell r="D4211" t="str">
            <v>L0030151                       EnggStore</v>
          </cell>
          <cell r="E4211" t="str">
            <v>E35 E35</v>
          </cell>
          <cell r="F4211" t="str">
            <v>VB Manual reorder point planning</v>
          </cell>
          <cell r="G4211" t="str">
            <v>ERSA Spare parts</v>
          </cell>
          <cell r="H4211" t="str">
            <v>EN020     RubberItems&amp;Oil Seal</v>
          </cell>
          <cell r="I4211" t="str">
            <v>L003 Ankleshwar</v>
          </cell>
          <cell r="J4211" t="str">
            <v>99 Input/Byprodt/Scrap</v>
          </cell>
          <cell r="K4211" t="str">
            <v>10.2012</v>
          </cell>
          <cell r="L4211">
            <v>2</v>
          </cell>
          <cell r="M4211" t="str">
            <v>EA</v>
          </cell>
          <cell r="N4211">
            <v>1020.6</v>
          </cell>
          <cell r="O4211" t="str">
            <v>INR</v>
          </cell>
        </row>
        <row r="4212">
          <cell r="A4212" t="str">
            <v>L003 Ankleshwar</v>
          </cell>
          <cell r="B4212">
            <v>656161</v>
          </cell>
          <cell r="C4212" t="str">
            <v>CR OIL SEAL: 45X65X8</v>
          </cell>
          <cell r="D4212" t="str">
            <v>L0030151                       EnggStore</v>
          </cell>
          <cell r="E4212" t="str">
            <v>E01 E01</v>
          </cell>
          <cell r="F4212" t="str">
            <v>VB Manual reorder point planning</v>
          </cell>
          <cell r="G4212" t="str">
            <v>ERSA Spare parts</v>
          </cell>
          <cell r="H4212" t="str">
            <v>EN020     RubberItems&amp;Oil Seal</v>
          </cell>
          <cell r="I4212" t="str">
            <v>L003 Ankleshwar</v>
          </cell>
          <cell r="J4212" t="str">
            <v>99 Input/Byprodt/Scrap</v>
          </cell>
          <cell r="K4212" t="str">
            <v>10.2012</v>
          </cell>
          <cell r="L4212">
            <v>9</v>
          </cell>
          <cell r="M4212" t="str">
            <v>EA</v>
          </cell>
          <cell r="N4212">
            <v>3109.54</v>
          </cell>
          <cell r="O4212" t="str">
            <v>INR</v>
          </cell>
        </row>
        <row r="4213">
          <cell r="A4213" t="str">
            <v>L003 Ankleshwar</v>
          </cell>
          <cell r="B4213">
            <v>656168</v>
          </cell>
          <cell r="C4213" t="str">
            <v>CR OIL SEAL: 70X100X10</v>
          </cell>
          <cell r="D4213" t="str">
            <v>L0030151                       EnggStore</v>
          </cell>
          <cell r="E4213" t="str">
            <v>E35 E35</v>
          </cell>
          <cell r="F4213" t="str">
            <v>VB Manual reorder point planning</v>
          </cell>
          <cell r="G4213" t="str">
            <v>ERSA Spare parts</v>
          </cell>
          <cell r="H4213" t="str">
            <v>EN020     RubberItems&amp;Oil Seal</v>
          </cell>
          <cell r="I4213" t="str">
            <v>L003 Ankleshwar</v>
          </cell>
          <cell r="J4213" t="str">
            <v>99 Input/Byprodt/Scrap</v>
          </cell>
          <cell r="K4213" t="str">
            <v>10.2012</v>
          </cell>
          <cell r="L4213">
            <v>1</v>
          </cell>
          <cell r="M4213" t="str">
            <v>EA</v>
          </cell>
          <cell r="N4213">
            <v>153.84</v>
          </cell>
          <cell r="O4213" t="str">
            <v>INR</v>
          </cell>
        </row>
        <row r="4214">
          <cell r="A4214" t="str">
            <v>L003 Ankleshwar</v>
          </cell>
          <cell r="B4214">
            <v>656169</v>
          </cell>
          <cell r="C4214" t="str">
            <v>CR OIL SEAL: 50X70X8</v>
          </cell>
          <cell r="D4214" t="str">
            <v>L0030151                       EnggStore</v>
          </cell>
          <cell r="E4214" t="str">
            <v>E35 E35</v>
          </cell>
          <cell r="F4214" t="str">
            <v>VB Manual reorder point planning</v>
          </cell>
          <cell r="G4214" t="str">
            <v>ERSA Spare parts</v>
          </cell>
          <cell r="H4214" t="str">
            <v>EN020     RubberItems&amp;Oil Seal</v>
          </cell>
          <cell r="I4214" t="str">
            <v>L003 Ankleshwar</v>
          </cell>
          <cell r="J4214" t="str">
            <v>99 Input/Byprodt/Scrap</v>
          </cell>
          <cell r="K4214" t="str">
            <v>10.2012</v>
          </cell>
          <cell r="L4214">
            <v>2</v>
          </cell>
          <cell r="M4214" t="str">
            <v>EA</v>
          </cell>
          <cell r="N4214">
            <v>795.6</v>
          </cell>
          <cell r="O4214" t="str">
            <v>INR</v>
          </cell>
        </row>
        <row r="4215">
          <cell r="A4215" t="str">
            <v>L003 Ankleshwar</v>
          </cell>
          <cell r="B4215">
            <v>656212</v>
          </cell>
          <cell r="C4215" t="str">
            <v>OIL SEAL: 55X75X9</v>
          </cell>
          <cell r="D4215" t="str">
            <v>L0030151                       EnggStore</v>
          </cell>
          <cell r="E4215" t="str">
            <v>E35 E35</v>
          </cell>
          <cell r="F4215" t="str">
            <v>VB Manual reorder point planning</v>
          </cell>
          <cell r="G4215" t="str">
            <v>ERSA Spare parts</v>
          </cell>
          <cell r="H4215" t="str">
            <v>EN020     RubberItems&amp;Oil Seal</v>
          </cell>
          <cell r="I4215" t="str">
            <v>L003 Ankleshwar</v>
          </cell>
          <cell r="J4215" t="str">
            <v>99 Input/Byprodt/Scrap</v>
          </cell>
          <cell r="K4215" t="str">
            <v>10.2012</v>
          </cell>
          <cell r="L4215">
            <v>5</v>
          </cell>
          <cell r="M4215" t="str">
            <v>EA</v>
          </cell>
          <cell r="N4215">
            <v>128.80000000000001</v>
          </cell>
          <cell r="O4215" t="str">
            <v>INR</v>
          </cell>
        </row>
        <row r="4216">
          <cell r="A4216" t="str">
            <v>L003 Ankleshwar</v>
          </cell>
          <cell r="B4216">
            <v>656217</v>
          </cell>
          <cell r="C4216" t="str">
            <v>MICRO SWITCH-5A: 250VAC MODEL-GK-301</v>
          </cell>
          <cell r="D4216" t="str">
            <v>L0030151                       EnggStore</v>
          </cell>
          <cell r="E4216" t="str">
            <v>E36 E36</v>
          </cell>
          <cell r="F4216" t="str">
            <v>VB Manual reorder point planning</v>
          </cell>
          <cell r="G4216" t="str">
            <v>ERSA Spare parts</v>
          </cell>
          <cell r="H4216" t="str">
            <v>EN017     InstrumentSpares</v>
          </cell>
          <cell r="I4216" t="str">
            <v>L003 Ankleshwar</v>
          </cell>
          <cell r="J4216" t="str">
            <v>99 Input/Byprodt/Scrap</v>
          </cell>
          <cell r="K4216" t="str">
            <v>10.2012</v>
          </cell>
          <cell r="L4216">
            <v>3</v>
          </cell>
          <cell r="M4216" t="str">
            <v>EA</v>
          </cell>
          <cell r="N4216">
            <v>375</v>
          </cell>
          <cell r="O4216" t="str">
            <v>INR</v>
          </cell>
        </row>
        <row r="4217">
          <cell r="A4217" t="str">
            <v>L003 Ankleshwar</v>
          </cell>
          <cell r="B4217">
            <v>656307</v>
          </cell>
          <cell r="C4217" t="str">
            <v>L&amp;T MNX9 CONTACTOR CAT NO.CS94009</v>
          </cell>
          <cell r="D4217" t="str">
            <v>L0030151                       EnggStore</v>
          </cell>
          <cell r="E4217">
            <v>0</v>
          </cell>
          <cell r="F4217" t="str">
            <v>ND No planning</v>
          </cell>
          <cell r="G4217" t="str">
            <v>ERSA Spare parts</v>
          </cell>
          <cell r="H4217" t="str">
            <v>EN006     Elec Switchgear</v>
          </cell>
          <cell r="I4217" t="str">
            <v>L003 Ankleshwar</v>
          </cell>
          <cell r="J4217" t="str">
            <v>99 Input/Byprodt/Scrap</v>
          </cell>
          <cell r="K4217" t="str">
            <v>10.2012</v>
          </cell>
          <cell r="L4217">
            <v>1</v>
          </cell>
          <cell r="M4217" t="str">
            <v>EA</v>
          </cell>
          <cell r="N4217">
            <v>485.1</v>
          </cell>
          <cell r="O4217" t="str">
            <v>INR</v>
          </cell>
        </row>
        <row r="4218">
          <cell r="A4218" t="str">
            <v>L003 Ankleshwar</v>
          </cell>
          <cell r="B4218">
            <v>656350</v>
          </cell>
          <cell r="C4218" t="str">
            <v>NILE J0 6300 LTR MSGL BAFFLE-THERMOWELL</v>
          </cell>
          <cell r="D4218" t="str">
            <v>L0030151                       EnggStore</v>
          </cell>
          <cell r="E4218">
            <v>0</v>
          </cell>
          <cell r="F4218" t="str">
            <v>ND No planning</v>
          </cell>
          <cell r="G4218" t="str">
            <v>ERSA Spare parts</v>
          </cell>
          <cell r="H4218" t="str">
            <v>EN033     Reactors/vessels/fer</v>
          </cell>
          <cell r="I4218" t="str">
            <v>L003 Ankleshwar</v>
          </cell>
          <cell r="J4218" t="str">
            <v>99 Input/Byprodt/Scrap</v>
          </cell>
          <cell r="K4218" t="str">
            <v>10.2012</v>
          </cell>
          <cell r="L4218">
            <v>1</v>
          </cell>
          <cell r="M4218" t="str">
            <v>EA</v>
          </cell>
          <cell r="N4218">
            <v>99184.399999999907</v>
          </cell>
          <cell r="O4218" t="str">
            <v>INR</v>
          </cell>
        </row>
        <row r="4219">
          <cell r="A4219" t="str">
            <v>L003 Ankleshwar</v>
          </cell>
          <cell r="B4219">
            <v>656359</v>
          </cell>
          <cell r="C4219" t="str">
            <v>O-RING: 36X3-PATKAR OTL175</v>
          </cell>
          <cell r="D4219" t="str">
            <v>L0030151                       EnggStore</v>
          </cell>
          <cell r="E4219" t="str">
            <v>E34 E34</v>
          </cell>
          <cell r="F4219" t="str">
            <v>VB Manual reorder point planning</v>
          </cell>
          <cell r="G4219" t="str">
            <v>ERSA Spare parts</v>
          </cell>
          <cell r="H4219" t="str">
            <v>EN032     Pumpspares</v>
          </cell>
          <cell r="I4219" t="str">
            <v>L003 Ankleshwar</v>
          </cell>
          <cell r="J4219" t="str">
            <v>99 Input/Byprodt/Scrap</v>
          </cell>
          <cell r="K4219" t="str">
            <v>10.2012</v>
          </cell>
          <cell r="L4219">
            <v>2</v>
          </cell>
          <cell r="M4219" t="str">
            <v>EA</v>
          </cell>
          <cell r="N4219">
            <v>476.05</v>
          </cell>
          <cell r="O4219" t="str">
            <v>INR</v>
          </cell>
        </row>
        <row r="4220">
          <cell r="A4220" t="str">
            <v>L003 Ankleshwar</v>
          </cell>
          <cell r="B4220">
            <v>656360</v>
          </cell>
          <cell r="C4220" t="str">
            <v>GRUB SCREW: M6X6</v>
          </cell>
          <cell r="D4220" t="str">
            <v>L0030151                       EnggStore</v>
          </cell>
          <cell r="E4220">
            <v>0</v>
          </cell>
          <cell r="F4220" t="str">
            <v>ND No planning</v>
          </cell>
          <cell r="G4220" t="str">
            <v>ERSA Spare parts</v>
          </cell>
          <cell r="H4220" t="str">
            <v>EN022     Hardwareitems</v>
          </cell>
          <cell r="I4220" t="str">
            <v>L003 Ankleshwar</v>
          </cell>
          <cell r="J4220" t="str">
            <v>99 Input/Byprodt/Scrap</v>
          </cell>
          <cell r="K4220" t="str">
            <v>10.2012</v>
          </cell>
          <cell r="L4220">
            <v>3</v>
          </cell>
          <cell r="M4220" t="str">
            <v>EA</v>
          </cell>
          <cell r="N4220">
            <v>67.650000000000006</v>
          </cell>
          <cell r="O4220" t="str">
            <v>INR</v>
          </cell>
        </row>
        <row r="4221">
          <cell r="A4221" t="str">
            <v>L003 Ankleshwar</v>
          </cell>
          <cell r="B4221">
            <v>656371</v>
          </cell>
          <cell r="C4221" t="str">
            <v>OIL SEAL: 85X55X10</v>
          </cell>
          <cell r="D4221" t="str">
            <v>L0030151                       EnggStore</v>
          </cell>
          <cell r="E4221" t="str">
            <v>E33 E33</v>
          </cell>
          <cell r="F4221" t="str">
            <v>VB Manual reorder point planning</v>
          </cell>
          <cell r="G4221" t="str">
            <v>ERSA Spare parts</v>
          </cell>
          <cell r="H4221" t="str">
            <v>EN020     RubberItems&amp;Oil Seal</v>
          </cell>
          <cell r="I4221" t="str">
            <v>L003 Ankleshwar</v>
          </cell>
          <cell r="J4221" t="str">
            <v>99 Input/Byprodt/Scrap</v>
          </cell>
          <cell r="K4221" t="str">
            <v>10.2012</v>
          </cell>
          <cell r="L4221">
            <v>3</v>
          </cell>
          <cell r="M4221" t="str">
            <v>EA</v>
          </cell>
          <cell r="N4221">
            <v>718.03999999999905</v>
          </cell>
          <cell r="O4221" t="str">
            <v>INR</v>
          </cell>
        </row>
        <row r="4222">
          <cell r="A4222" t="str">
            <v>L003 Ankleshwar</v>
          </cell>
          <cell r="B4222">
            <v>656375</v>
          </cell>
          <cell r="C4222" t="str">
            <v>SICOP CONTACTOR:3TF50-02-0A: COIL-240V</v>
          </cell>
          <cell r="D4222" t="str">
            <v>L0030151                       EnggStore</v>
          </cell>
          <cell r="E4222" t="str">
            <v>E36 E36</v>
          </cell>
          <cell r="F4222" t="str">
            <v>VB Manual reorder point planning</v>
          </cell>
          <cell r="G4222" t="str">
            <v>ERSA Spare parts</v>
          </cell>
          <cell r="H4222" t="str">
            <v>EN006     Elec Switchgear</v>
          </cell>
          <cell r="I4222" t="str">
            <v>L003 Ankleshwar</v>
          </cell>
          <cell r="J4222" t="str">
            <v>99 Input/Byprodt/Scrap</v>
          </cell>
          <cell r="K4222" t="str">
            <v>10.2012</v>
          </cell>
          <cell r="L4222">
            <v>1</v>
          </cell>
          <cell r="M4222" t="str">
            <v>EA</v>
          </cell>
          <cell r="N4222">
            <v>7286.3999999999896</v>
          </cell>
          <cell r="O4222" t="str">
            <v>INR</v>
          </cell>
        </row>
        <row r="4223">
          <cell r="A4223" t="str">
            <v>L003 Ankleshwar</v>
          </cell>
          <cell r="B4223">
            <v>656377</v>
          </cell>
          <cell r="C4223" t="str">
            <v>GUN METAL BUSH: 60 W WATER COOLER MOTOR</v>
          </cell>
          <cell r="D4223" t="str">
            <v>L0030151                       EnggStore</v>
          </cell>
          <cell r="E4223">
            <v>0</v>
          </cell>
          <cell r="F4223" t="str">
            <v>ND No planning</v>
          </cell>
          <cell r="G4223" t="str">
            <v>ERSA Spare parts</v>
          </cell>
          <cell r="H4223" t="str">
            <v>EN007     Elec Motors &amp; Spares</v>
          </cell>
          <cell r="I4223" t="str">
            <v>L003 Ankleshwar</v>
          </cell>
          <cell r="J4223" t="str">
            <v>99 Input/Byprodt/Scrap</v>
          </cell>
          <cell r="K4223" t="str">
            <v>10.2012</v>
          </cell>
          <cell r="L4223">
            <v>10</v>
          </cell>
          <cell r="M4223" t="str">
            <v>EA</v>
          </cell>
          <cell r="N4223">
            <v>220</v>
          </cell>
          <cell r="O4223" t="str">
            <v>INR</v>
          </cell>
        </row>
        <row r="4224">
          <cell r="A4224" t="str">
            <v>L003 Ankleshwar</v>
          </cell>
          <cell r="B4224">
            <v>656378</v>
          </cell>
          <cell r="C4224" t="str">
            <v>FIBRE WASHER: 60 W WATER COOLER MOTOR</v>
          </cell>
          <cell r="D4224" t="str">
            <v>L0030151                       EnggStore</v>
          </cell>
          <cell r="E4224">
            <v>0</v>
          </cell>
          <cell r="F4224" t="str">
            <v>ND No planning</v>
          </cell>
          <cell r="G4224" t="str">
            <v>ERSA Spare parts</v>
          </cell>
          <cell r="H4224" t="str">
            <v>EN007     Elec Motors &amp; Spares</v>
          </cell>
          <cell r="I4224" t="str">
            <v>L003 Ankleshwar</v>
          </cell>
          <cell r="J4224" t="str">
            <v>99 Input/Byprodt/Scrap</v>
          </cell>
          <cell r="K4224" t="str">
            <v>10.2012</v>
          </cell>
          <cell r="L4224">
            <v>32</v>
          </cell>
          <cell r="M4224" t="str">
            <v>EA</v>
          </cell>
          <cell r="N4224">
            <v>16</v>
          </cell>
          <cell r="O4224" t="str">
            <v>INR</v>
          </cell>
        </row>
        <row r="4225">
          <cell r="A4225" t="str">
            <v>L003 Ankleshwar</v>
          </cell>
          <cell r="B4225">
            <v>656401</v>
          </cell>
          <cell r="C4225" t="str">
            <v>NM GASKET K-ACIDIT KLINGER: 710X755X3MM</v>
          </cell>
          <cell r="D4225" t="str">
            <v>L0030151                       EnggStore</v>
          </cell>
          <cell r="E4225" t="str">
            <v>E35 E35</v>
          </cell>
          <cell r="F4225" t="str">
            <v>VB Manual reorder point planning</v>
          </cell>
          <cell r="G4225" t="str">
            <v>ERSA Spare parts</v>
          </cell>
          <cell r="H4225" t="str">
            <v>EN024     EnggConsumables</v>
          </cell>
          <cell r="I4225" t="str">
            <v>L003 Ankleshwar</v>
          </cell>
          <cell r="J4225" t="str">
            <v>99 Input/Byprodt/Scrap</v>
          </cell>
          <cell r="K4225" t="str">
            <v>10.2012</v>
          </cell>
          <cell r="L4225">
            <v>14</v>
          </cell>
          <cell r="M4225" t="str">
            <v>EA</v>
          </cell>
          <cell r="N4225">
            <v>9877</v>
          </cell>
          <cell r="O4225" t="str">
            <v>INR</v>
          </cell>
        </row>
        <row r="4226">
          <cell r="A4226" t="str">
            <v>L003 Ankleshwar</v>
          </cell>
          <cell r="B4226">
            <v>656429</v>
          </cell>
          <cell r="C4226" t="str">
            <v>GASKET CYLINDER HEAD TO CYL.:PNOH0693125</v>
          </cell>
          <cell r="D4226" t="str">
            <v>L0030151                       EnggStore</v>
          </cell>
          <cell r="E4226" t="str">
            <v>E32 E32</v>
          </cell>
          <cell r="F4226" t="str">
            <v>VB Manual reorder point planning</v>
          </cell>
          <cell r="G4226" t="str">
            <v>ERSA Spare parts</v>
          </cell>
          <cell r="H4226" t="str">
            <v>EN037     Refrigeration&amp;A/Cspa</v>
          </cell>
          <cell r="I4226" t="str">
            <v>L003 Ankleshwar</v>
          </cell>
          <cell r="J4226" t="str">
            <v>99 Input/Byprodt/Scrap</v>
          </cell>
          <cell r="K4226" t="str">
            <v>10.2012</v>
          </cell>
          <cell r="L4226">
            <v>4</v>
          </cell>
          <cell r="M4226" t="str">
            <v>EA</v>
          </cell>
          <cell r="N4226">
            <v>4902.5</v>
          </cell>
          <cell r="O4226" t="str">
            <v>INR</v>
          </cell>
        </row>
        <row r="4227">
          <cell r="A4227" t="str">
            <v>L003 Ankleshwar</v>
          </cell>
          <cell r="B4227">
            <v>656451</v>
          </cell>
          <cell r="C4227" t="str">
            <v>GASKET FOR CYLINDER HEAD TO CROSS SLIDE</v>
          </cell>
          <cell r="D4227" t="str">
            <v>L0030151                       EnggStore</v>
          </cell>
          <cell r="E4227">
            <v>0</v>
          </cell>
          <cell r="F4227" t="str">
            <v>ND No planning</v>
          </cell>
          <cell r="G4227" t="str">
            <v>ERSA Spare parts</v>
          </cell>
          <cell r="H4227" t="str">
            <v>EN037     Refrigeration&amp;A/Cspa</v>
          </cell>
          <cell r="I4227" t="str">
            <v>L003 Ankleshwar</v>
          </cell>
          <cell r="J4227" t="str">
            <v>99 Input/Byprodt/Scrap</v>
          </cell>
          <cell r="K4227" t="str">
            <v>10.2012</v>
          </cell>
          <cell r="L4227">
            <v>3</v>
          </cell>
          <cell r="M4227" t="str">
            <v>EA</v>
          </cell>
          <cell r="N4227">
            <v>268.27999999999901</v>
          </cell>
          <cell r="O4227" t="str">
            <v>INR</v>
          </cell>
        </row>
        <row r="4228">
          <cell r="A4228" t="str">
            <v>L003 Ankleshwar</v>
          </cell>
          <cell r="B4228">
            <v>656453</v>
          </cell>
          <cell r="C4228" t="str">
            <v>GASKET FOR SUCT.&amp; DIS.FLANGE: H0766156</v>
          </cell>
          <cell r="D4228" t="str">
            <v>L0030151                       EnggStore</v>
          </cell>
          <cell r="E4228">
            <v>0</v>
          </cell>
          <cell r="F4228" t="str">
            <v>ND No planning</v>
          </cell>
          <cell r="G4228" t="str">
            <v>ERSA Spare parts</v>
          </cell>
          <cell r="H4228" t="str">
            <v>EN037     Refrigeration&amp;A/Cspa</v>
          </cell>
          <cell r="I4228" t="str">
            <v>L003 Ankleshwar</v>
          </cell>
          <cell r="J4228" t="str">
            <v>99 Input/Byprodt/Scrap</v>
          </cell>
          <cell r="K4228" t="str">
            <v>10.2012</v>
          </cell>
          <cell r="L4228">
            <v>1</v>
          </cell>
          <cell r="M4228" t="str">
            <v>EA</v>
          </cell>
          <cell r="N4228">
            <v>206</v>
          </cell>
          <cell r="O4228" t="str">
            <v>INR</v>
          </cell>
        </row>
        <row r="4229">
          <cell r="A4229" t="str">
            <v>L003 Ankleshwar</v>
          </cell>
          <cell r="B4229">
            <v>656455</v>
          </cell>
          <cell r="C4229" t="str">
            <v>THERMOSTATIC CONTROL VALVE</v>
          </cell>
          <cell r="D4229" t="str">
            <v>L0030151                       EnggStore</v>
          </cell>
          <cell r="E4229">
            <v>0</v>
          </cell>
          <cell r="F4229" t="str">
            <v>ND No planning</v>
          </cell>
          <cell r="G4229" t="str">
            <v>ERSA Spare parts</v>
          </cell>
          <cell r="H4229" t="str">
            <v>EN017     InstrumentSpares</v>
          </cell>
          <cell r="I4229" t="str">
            <v>L003 Ankleshwar</v>
          </cell>
          <cell r="J4229" t="str">
            <v>99 Input/Byprodt/Scrap</v>
          </cell>
          <cell r="K4229" t="str">
            <v>10.2012</v>
          </cell>
          <cell r="L4229">
            <v>1</v>
          </cell>
          <cell r="M4229" t="str">
            <v>EA</v>
          </cell>
          <cell r="N4229">
            <v>8550</v>
          </cell>
          <cell r="O4229" t="str">
            <v>INR</v>
          </cell>
        </row>
        <row r="4230">
          <cell r="A4230" t="str">
            <v>L003 Ankleshwar</v>
          </cell>
          <cell r="B4230">
            <v>656456</v>
          </cell>
          <cell r="C4230" t="str">
            <v>SS316 COUPLING THREADED SCH-10 SIZE:1-½"</v>
          </cell>
          <cell r="D4230" t="str">
            <v>L0030151                       EnggStore</v>
          </cell>
          <cell r="E4230" t="str">
            <v>E35 E35</v>
          </cell>
          <cell r="F4230" t="str">
            <v>VB Manual reorder point planning</v>
          </cell>
          <cell r="G4230" t="str">
            <v>ERSA Spare parts</v>
          </cell>
          <cell r="H4230" t="str">
            <v>EN022     Hardwareitems</v>
          </cell>
          <cell r="I4230" t="str">
            <v>L003 Ankleshwar</v>
          </cell>
          <cell r="J4230" t="str">
            <v>99 Input/Byprodt/Scrap</v>
          </cell>
          <cell r="K4230" t="str">
            <v>10.2012</v>
          </cell>
          <cell r="L4230">
            <v>2</v>
          </cell>
          <cell r="M4230" t="str">
            <v>EA</v>
          </cell>
          <cell r="N4230">
            <v>306</v>
          </cell>
          <cell r="O4230" t="str">
            <v>INR</v>
          </cell>
        </row>
        <row r="4231">
          <cell r="A4231" t="str">
            <v>L003 Ankleshwar</v>
          </cell>
          <cell r="B4231">
            <v>656480</v>
          </cell>
          <cell r="C4231" t="str">
            <v>BEARING BUSH-D/E: 0.25MM</v>
          </cell>
          <cell r="D4231" t="str">
            <v>L0030151                       EnggStore</v>
          </cell>
          <cell r="E4231">
            <v>0</v>
          </cell>
          <cell r="F4231" t="str">
            <v>ND No planning</v>
          </cell>
          <cell r="G4231" t="str">
            <v>ERSA Spare parts</v>
          </cell>
          <cell r="H4231" t="str">
            <v>EN018     UtilityEquipmentSpar</v>
          </cell>
          <cell r="I4231" t="str">
            <v>L003 Ankleshwar</v>
          </cell>
          <cell r="J4231" t="str">
            <v>99 Input/Byprodt/Scrap</v>
          </cell>
          <cell r="K4231" t="str">
            <v>10.2012</v>
          </cell>
          <cell r="L4231">
            <v>1</v>
          </cell>
          <cell r="M4231" t="str">
            <v>EA</v>
          </cell>
          <cell r="N4231">
            <v>2744.8</v>
          </cell>
          <cell r="O4231" t="str">
            <v>INR</v>
          </cell>
        </row>
        <row r="4232">
          <cell r="A4232" t="str">
            <v>L003 Ankleshwar</v>
          </cell>
          <cell r="B4232">
            <v>656500</v>
          </cell>
          <cell r="C4232" t="str">
            <v>SUCTION FILTER: W0849 801</v>
          </cell>
          <cell r="D4232" t="str">
            <v>L0030151                       EnggStore</v>
          </cell>
          <cell r="E4232" t="str">
            <v>E32 E32</v>
          </cell>
          <cell r="F4232" t="str">
            <v>VB Manual reorder point planning</v>
          </cell>
          <cell r="G4232" t="str">
            <v>ERSA Spare parts</v>
          </cell>
          <cell r="H4232" t="str">
            <v>EN018     UtilityEquipmentSpar</v>
          </cell>
          <cell r="I4232" t="str">
            <v>L003 Ankleshwar</v>
          </cell>
          <cell r="J4232" t="str">
            <v>99 Input/Byprodt/Scrap</v>
          </cell>
          <cell r="K4232" t="str">
            <v>10.2012</v>
          </cell>
          <cell r="L4232">
            <v>2</v>
          </cell>
          <cell r="M4232" t="str">
            <v>EA</v>
          </cell>
          <cell r="N4232">
            <v>8053.64</v>
          </cell>
          <cell r="O4232" t="str">
            <v>INR</v>
          </cell>
        </row>
        <row r="4233">
          <cell r="A4233" t="str">
            <v>L003 Ankleshwar</v>
          </cell>
          <cell r="B4233">
            <v>656543</v>
          </cell>
          <cell r="C4233" t="str">
            <v>SEAL KIT SET: P.NO.SRV00018</v>
          </cell>
          <cell r="D4233" t="str">
            <v>L0030151                       EnggStore</v>
          </cell>
          <cell r="E4233">
            <v>0</v>
          </cell>
          <cell r="F4233" t="str">
            <v>ND No planning</v>
          </cell>
          <cell r="G4233" t="str">
            <v>ERSA Spare parts</v>
          </cell>
          <cell r="H4233" t="str">
            <v>EN039     PlantEquipmentSpares</v>
          </cell>
          <cell r="I4233" t="str">
            <v>L003 Ankleshwar</v>
          </cell>
          <cell r="J4233" t="str">
            <v>99 Input/Byprodt/Scrap</v>
          </cell>
          <cell r="K4233" t="str">
            <v>10.2012</v>
          </cell>
          <cell r="L4233">
            <v>2</v>
          </cell>
          <cell r="M4233" t="str">
            <v>EA</v>
          </cell>
          <cell r="N4233">
            <v>850</v>
          </cell>
          <cell r="O4233" t="str">
            <v>INR</v>
          </cell>
        </row>
        <row r="4234">
          <cell r="A4234" t="str">
            <v>L003 Ankleshwar</v>
          </cell>
          <cell r="B4234">
            <v>656551</v>
          </cell>
          <cell r="C4234" t="str">
            <v>AUXILIARY CONTACT BLOCK: 3TX4001-2A 1NC</v>
          </cell>
          <cell r="D4234" t="str">
            <v>L0030151                       EnggStore</v>
          </cell>
          <cell r="E4234" t="str">
            <v>E36 E36</v>
          </cell>
          <cell r="F4234" t="str">
            <v>VB Manual reorder point planning</v>
          </cell>
          <cell r="G4234" t="str">
            <v>ERSA Spare parts</v>
          </cell>
          <cell r="H4234" t="str">
            <v>EN006     Elec Switchgear</v>
          </cell>
          <cell r="I4234" t="str">
            <v>L003 Ankleshwar</v>
          </cell>
          <cell r="J4234" t="str">
            <v>99 Input/Byprodt/Scrap</v>
          </cell>
          <cell r="K4234" t="str">
            <v>10.2012</v>
          </cell>
          <cell r="L4234">
            <v>5</v>
          </cell>
          <cell r="M4234" t="str">
            <v>EA</v>
          </cell>
          <cell r="N4234">
            <v>329.25</v>
          </cell>
          <cell r="O4234" t="str">
            <v>INR</v>
          </cell>
        </row>
        <row r="4235">
          <cell r="A4235" t="str">
            <v>L003 Ankleshwar</v>
          </cell>
          <cell r="B4235">
            <v>656552</v>
          </cell>
          <cell r="C4235" t="str">
            <v>AUXILIARY CONTACT BLOCK: 3TX4010-2A 1NO</v>
          </cell>
          <cell r="D4235" t="str">
            <v>L0030151                       EnggStore</v>
          </cell>
          <cell r="E4235" t="str">
            <v>E36 E36</v>
          </cell>
          <cell r="F4235" t="str">
            <v>VB Manual reorder point planning</v>
          </cell>
          <cell r="G4235" t="str">
            <v>ERSA Spare parts</v>
          </cell>
          <cell r="H4235" t="str">
            <v>EN006     Elec Switchgear</v>
          </cell>
          <cell r="I4235" t="str">
            <v>L003 Ankleshwar</v>
          </cell>
          <cell r="J4235" t="str">
            <v>99 Input/Byprodt/Scrap</v>
          </cell>
          <cell r="K4235" t="str">
            <v>10.2012</v>
          </cell>
          <cell r="L4235">
            <v>10</v>
          </cell>
          <cell r="M4235" t="str">
            <v>EA</v>
          </cell>
          <cell r="N4235">
            <v>635.5</v>
          </cell>
          <cell r="O4235" t="str">
            <v>INR</v>
          </cell>
        </row>
        <row r="4236">
          <cell r="A4236" t="str">
            <v>L003 Ankleshwar</v>
          </cell>
          <cell r="B4236">
            <v>656553</v>
          </cell>
          <cell r="C4236" t="str">
            <v>SICOP CONTACTOR: 3TF35-00-0A: COIL-240V</v>
          </cell>
          <cell r="D4236" t="str">
            <v>L0030151                       EnggStore</v>
          </cell>
          <cell r="E4236" t="str">
            <v>E36 E36</v>
          </cell>
          <cell r="F4236" t="str">
            <v>VB Manual reorder point planning</v>
          </cell>
          <cell r="G4236" t="str">
            <v>ERSA Spare parts</v>
          </cell>
          <cell r="H4236" t="str">
            <v>EN006     Elec Switchgear</v>
          </cell>
          <cell r="I4236" t="str">
            <v>L003 Ankleshwar</v>
          </cell>
          <cell r="J4236" t="str">
            <v>99 Input/Byprodt/Scrap</v>
          </cell>
          <cell r="K4236" t="str">
            <v>10.2012</v>
          </cell>
          <cell r="L4236">
            <v>4</v>
          </cell>
          <cell r="M4236" t="str">
            <v>EA</v>
          </cell>
          <cell r="N4236">
            <v>9403.3199999999906</v>
          </cell>
          <cell r="O4236" t="str">
            <v>INR</v>
          </cell>
        </row>
        <row r="4237">
          <cell r="A4237" t="str">
            <v>L003 Ankleshwar</v>
          </cell>
          <cell r="B4237">
            <v>656565</v>
          </cell>
          <cell r="C4237" t="str">
            <v>BRASS GREASE NIPPLE: 1/4</v>
          </cell>
          <cell r="D4237" t="str">
            <v>L0030151                       EnggStore</v>
          </cell>
          <cell r="E4237">
            <v>0</v>
          </cell>
          <cell r="F4237" t="str">
            <v>ND No planning</v>
          </cell>
          <cell r="G4237" t="str">
            <v>ERSA Spare parts</v>
          </cell>
          <cell r="H4237" t="str">
            <v>EN039     PlantEquipmentSpares</v>
          </cell>
          <cell r="I4237" t="str">
            <v>L003 Ankleshwar</v>
          </cell>
          <cell r="J4237" t="str">
            <v>99 Input/Byprodt/Scrap</v>
          </cell>
          <cell r="K4237" t="str">
            <v>10.2012</v>
          </cell>
          <cell r="L4237">
            <v>2</v>
          </cell>
          <cell r="M4237" t="str">
            <v>EA</v>
          </cell>
          <cell r="N4237">
            <v>7.79</v>
          </cell>
          <cell r="O4237" t="str">
            <v>INR</v>
          </cell>
        </row>
        <row r="4238">
          <cell r="A4238" t="str">
            <v>L003 Ankleshwar</v>
          </cell>
          <cell r="B4238">
            <v>656566</v>
          </cell>
          <cell r="C4238" t="str">
            <v>FLAT BELT &amp; PLY: 100MM WX10MM THK</v>
          </cell>
          <cell r="D4238" t="str">
            <v>L0030151                       EnggStore</v>
          </cell>
          <cell r="E4238">
            <v>0</v>
          </cell>
          <cell r="F4238" t="str">
            <v>ND No planning</v>
          </cell>
          <cell r="G4238" t="str">
            <v>ERSA Spare parts</v>
          </cell>
          <cell r="H4238" t="str">
            <v>EN039     PlantEquipmentSpares</v>
          </cell>
          <cell r="I4238" t="str">
            <v>L003 Ankleshwar</v>
          </cell>
          <cell r="J4238" t="str">
            <v>99 Input/Byprodt/Scrap</v>
          </cell>
          <cell r="K4238" t="str">
            <v>10.2012</v>
          </cell>
          <cell r="L4238">
            <v>6</v>
          </cell>
          <cell r="M4238" t="str">
            <v>M</v>
          </cell>
          <cell r="N4238">
            <v>2166</v>
          </cell>
          <cell r="O4238" t="str">
            <v>INR</v>
          </cell>
        </row>
        <row r="4239">
          <cell r="A4239" t="str">
            <v>L003 Ankleshwar</v>
          </cell>
          <cell r="B4239">
            <v>656572</v>
          </cell>
          <cell r="C4239" t="str">
            <v>CI-LOVE JOY COUPLING: L-190</v>
          </cell>
          <cell r="D4239" t="str">
            <v>L0030151                       EnggStore</v>
          </cell>
          <cell r="E4239" t="str">
            <v>E35 E35</v>
          </cell>
          <cell r="F4239" t="str">
            <v>VB Manual reorder point planning</v>
          </cell>
          <cell r="G4239" t="str">
            <v>ERSA Spare parts</v>
          </cell>
          <cell r="H4239" t="str">
            <v>EN021     VbeltCoupling&amp;Pulley</v>
          </cell>
          <cell r="I4239" t="str">
            <v>L003 Ankleshwar</v>
          </cell>
          <cell r="J4239" t="str">
            <v>99 Input/Byprodt/Scrap</v>
          </cell>
          <cell r="K4239" t="str">
            <v>10.2012</v>
          </cell>
          <cell r="L4239">
            <v>5</v>
          </cell>
          <cell r="M4239" t="str">
            <v>EA</v>
          </cell>
          <cell r="N4239">
            <v>5474.6999999999898</v>
          </cell>
          <cell r="O4239" t="str">
            <v>INR</v>
          </cell>
        </row>
        <row r="4240">
          <cell r="A4240" t="str">
            <v>L003 Ankleshwar</v>
          </cell>
          <cell r="B4240">
            <v>656587</v>
          </cell>
          <cell r="C4240" t="str">
            <v>RIDER RING-1ST STAGE:PN-1903396408</v>
          </cell>
          <cell r="D4240" t="str">
            <v>L0030151                       EnggStore</v>
          </cell>
          <cell r="E4240" t="str">
            <v>E32 E32</v>
          </cell>
          <cell r="F4240" t="str">
            <v>VB Manual reorder point planning</v>
          </cell>
          <cell r="G4240" t="str">
            <v>ERSA Spare parts</v>
          </cell>
          <cell r="H4240" t="str">
            <v>EN018     UtilityEquipmentSpar</v>
          </cell>
          <cell r="I4240" t="str">
            <v>L003 Ankleshwar</v>
          </cell>
          <cell r="J4240" t="str">
            <v>99 Input/Byprodt/Scrap</v>
          </cell>
          <cell r="K4240" t="str">
            <v>10.2012</v>
          </cell>
          <cell r="L4240">
            <v>1</v>
          </cell>
          <cell r="M4240" t="str">
            <v>EA</v>
          </cell>
          <cell r="N4240">
            <v>3461</v>
          </cell>
          <cell r="O4240" t="str">
            <v>INR</v>
          </cell>
        </row>
        <row r="4241">
          <cell r="A4241" t="str">
            <v>L003 Ankleshwar</v>
          </cell>
          <cell r="B4241">
            <v>656606</v>
          </cell>
          <cell r="C4241" t="str">
            <v>V-BELT: C-122</v>
          </cell>
          <cell r="D4241" t="str">
            <v>L0030151                       EnggStore</v>
          </cell>
          <cell r="E4241" t="str">
            <v>E35 E35</v>
          </cell>
          <cell r="F4241" t="str">
            <v>VB Manual reorder point planning</v>
          </cell>
          <cell r="G4241" t="str">
            <v>ERSA Spare parts</v>
          </cell>
          <cell r="H4241" t="str">
            <v>EN021     VbeltCoupling&amp;Pulley</v>
          </cell>
          <cell r="I4241" t="str">
            <v>L003 Ankleshwar</v>
          </cell>
          <cell r="J4241" t="str">
            <v>99 Input/Byprodt/Scrap</v>
          </cell>
          <cell r="K4241" t="str">
            <v>10.2012</v>
          </cell>
          <cell r="L4241">
            <v>2</v>
          </cell>
          <cell r="M4241" t="str">
            <v>EA</v>
          </cell>
          <cell r="N4241">
            <v>1168.8</v>
          </cell>
          <cell r="O4241" t="str">
            <v>INR</v>
          </cell>
        </row>
        <row r="4242">
          <cell r="A4242" t="str">
            <v>L003 Ankleshwar</v>
          </cell>
          <cell r="B4242">
            <v>656611</v>
          </cell>
          <cell r="C4242" t="str">
            <v>HRC FUSE LINK: HQ-415V ACX400A-ST30784</v>
          </cell>
          <cell r="D4242" t="str">
            <v>L0030151                       EnggStore</v>
          </cell>
          <cell r="E4242">
            <v>0</v>
          </cell>
          <cell r="F4242" t="str">
            <v>ND No planning</v>
          </cell>
          <cell r="G4242" t="str">
            <v>ERSA Spare parts</v>
          </cell>
          <cell r="H4242" t="str">
            <v>EN006     Elec Switchgear</v>
          </cell>
          <cell r="I4242" t="str">
            <v>L003 Ankleshwar</v>
          </cell>
          <cell r="J4242" t="str">
            <v>99 Input/Byprodt/Scrap</v>
          </cell>
          <cell r="K4242" t="str">
            <v>10.2012</v>
          </cell>
          <cell r="L4242">
            <v>3</v>
          </cell>
          <cell r="M4242" t="str">
            <v>EA</v>
          </cell>
          <cell r="N4242">
            <v>1202.8299999999899</v>
          </cell>
          <cell r="O4242" t="str">
            <v>INR</v>
          </cell>
        </row>
        <row r="4243">
          <cell r="A4243" t="str">
            <v>L003 Ankleshwar</v>
          </cell>
          <cell r="B4243">
            <v>656612</v>
          </cell>
          <cell r="C4243" t="str">
            <v>METALIC GASKET ASA150: ½"</v>
          </cell>
          <cell r="D4243" t="str">
            <v>L0030151                       EnggStore</v>
          </cell>
          <cell r="E4243" t="str">
            <v>E35 E35</v>
          </cell>
          <cell r="F4243" t="str">
            <v>VB Manual reorder point planning</v>
          </cell>
          <cell r="G4243" t="str">
            <v>ERSA Spare parts</v>
          </cell>
          <cell r="H4243" t="str">
            <v>EN024     EnggConsumables</v>
          </cell>
          <cell r="I4243" t="str">
            <v>L003 Ankleshwar</v>
          </cell>
          <cell r="J4243" t="str">
            <v>99 Input/Byprodt/Scrap</v>
          </cell>
          <cell r="K4243" t="str">
            <v>10.2012</v>
          </cell>
          <cell r="L4243">
            <v>20</v>
          </cell>
          <cell r="M4243" t="str">
            <v>EA</v>
          </cell>
          <cell r="N4243">
            <v>24</v>
          </cell>
          <cell r="O4243" t="str">
            <v>INR</v>
          </cell>
        </row>
        <row r="4244">
          <cell r="A4244" t="str">
            <v>L003 Ankleshwar</v>
          </cell>
          <cell r="B4244">
            <v>656613</v>
          </cell>
          <cell r="C4244" t="str">
            <v>METALIC GASKET ASA150: 1"</v>
          </cell>
          <cell r="D4244" t="str">
            <v>L0030151                       EnggStore</v>
          </cell>
          <cell r="E4244" t="str">
            <v>E35 E35</v>
          </cell>
          <cell r="F4244" t="str">
            <v>VB Manual reorder point planning</v>
          </cell>
          <cell r="G4244" t="str">
            <v>ERSA Spare parts</v>
          </cell>
          <cell r="H4244" t="str">
            <v>EN024     EnggConsumables</v>
          </cell>
          <cell r="I4244" t="str">
            <v>L003 Ankleshwar</v>
          </cell>
          <cell r="J4244" t="str">
            <v>99 Input/Byprodt/Scrap</v>
          </cell>
          <cell r="K4244" t="str">
            <v>10.2012</v>
          </cell>
          <cell r="L4244">
            <v>17</v>
          </cell>
          <cell r="M4244" t="str">
            <v>EA</v>
          </cell>
          <cell r="N4244">
            <v>92.31</v>
          </cell>
          <cell r="O4244" t="str">
            <v>INR</v>
          </cell>
        </row>
        <row r="4245">
          <cell r="A4245" t="str">
            <v>L003 Ankleshwar</v>
          </cell>
          <cell r="B4245">
            <v>656614</v>
          </cell>
          <cell r="C4245" t="str">
            <v>METALIC GASKET ASA150: 2"</v>
          </cell>
          <cell r="D4245" t="str">
            <v>L0030151                       EnggStore</v>
          </cell>
          <cell r="E4245" t="str">
            <v>E35 E35</v>
          </cell>
          <cell r="F4245" t="str">
            <v>VB Manual reorder point planning</v>
          </cell>
          <cell r="G4245" t="str">
            <v>ERSA Spare parts</v>
          </cell>
          <cell r="H4245" t="str">
            <v>EN024     EnggConsumables</v>
          </cell>
          <cell r="I4245" t="str">
            <v>L003 Ankleshwar</v>
          </cell>
          <cell r="J4245" t="str">
            <v>99 Input/Byprodt/Scrap</v>
          </cell>
          <cell r="K4245" t="str">
            <v>10.2012</v>
          </cell>
          <cell r="L4245">
            <v>38</v>
          </cell>
          <cell r="M4245" t="str">
            <v>EA</v>
          </cell>
          <cell r="N4245">
            <v>515.75</v>
          </cell>
          <cell r="O4245" t="str">
            <v>INR</v>
          </cell>
        </row>
        <row r="4246">
          <cell r="A4246" t="str">
            <v>L003 Ankleshwar</v>
          </cell>
          <cell r="B4246">
            <v>656615</v>
          </cell>
          <cell r="C4246" t="str">
            <v>METALIC GASKET ASA150: 3"</v>
          </cell>
          <cell r="D4246" t="str">
            <v>L0030151                       EnggStore</v>
          </cell>
          <cell r="E4246" t="str">
            <v>E35 E35</v>
          </cell>
          <cell r="F4246" t="str">
            <v>VB Manual reorder point planning</v>
          </cell>
          <cell r="G4246" t="str">
            <v>ERSA Spare parts</v>
          </cell>
          <cell r="H4246" t="str">
            <v>EN024     EnggConsumables</v>
          </cell>
          <cell r="I4246" t="str">
            <v>L003 Ankleshwar</v>
          </cell>
          <cell r="J4246" t="str">
            <v>99 Input/Byprodt/Scrap</v>
          </cell>
          <cell r="K4246" t="str">
            <v>10.2012</v>
          </cell>
          <cell r="L4246">
            <v>15</v>
          </cell>
          <cell r="M4246" t="str">
            <v>EA</v>
          </cell>
          <cell r="N4246">
            <v>349.19999999999902</v>
          </cell>
          <cell r="O4246" t="str">
            <v>INR</v>
          </cell>
        </row>
        <row r="4247">
          <cell r="A4247" t="str">
            <v>L003 Ankleshwar</v>
          </cell>
          <cell r="B4247">
            <v>656616</v>
          </cell>
          <cell r="C4247" t="str">
            <v>METALIC GASKET ASA150: 4"</v>
          </cell>
          <cell r="D4247" t="str">
            <v>L0030151                       EnggStore</v>
          </cell>
          <cell r="E4247" t="str">
            <v>E35 E35</v>
          </cell>
          <cell r="F4247" t="str">
            <v>VB Manual reorder point planning</v>
          </cell>
          <cell r="G4247" t="str">
            <v>ERSA Spare parts</v>
          </cell>
          <cell r="H4247" t="str">
            <v>EN024     EnggConsumables</v>
          </cell>
          <cell r="I4247" t="str">
            <v>L003 Ankleshwar</v>
          </cell>
          <cell r="J4247" t="str">
            <v>99 Input/Byprodt/Scrap</v>
          </cell>
          <cell r="K4247" t="str">
            <v>10.2012</v>
          </cell>
          <cell r="L4247">
            <v>18</v>
          </cell>
          <cell r="M4247" t="str">
            <v>EA</v>
          </cell>
          <cell r="N4247">
            <v>541.25999999999897</v>
          </cell>
          <cell r="O4247" t="str">
            <v>INR</v>
          </cell>
        </row>
        <row r="4248">
          <cell r="A4248" t="str">
            <v>L003 Ankleshwar</v>
          </cell>
          <cell r="B4248">
            <v>656633</v>
          </cell>
          <cell r="C4248" t="str">
            <v>OIL SEAL: 8X20X7</v>
          </cell>
          <cell r="D4248" t="str">
            <v>L0030151                       EnggStore</v>
          </cell>
          <cell r="E4248">
            <v>0</v>
          </cell>
          <cell r="F4248" t="str">
            <v>ND No planning</v>
          </cell>
          <cell r="G4248" t="str">
            <v>ERSA Spare parts</v>
          </cell>
          <cell r="H4248" t="str">
            <v>EN020     RubberItems&amp;Oil Seal</v>
          </cell>
          <cell r="I4248" t="str">
            <v>L003 Ankleshwar</v>
          </cell>
          <cell r="J4248" t="str">
            <v>99 Input/Byprodt/Scrap</v>
          </cell>
          <cell r="K4248" t="str">
            <v>10.2012</v>
          </cell>
          <cell r="L4248">
            <v>8</v>
          </cell>
          <cell r="M4248" t="str">
            <v>EA</v>
          </cell>
          <cell r="N4248">
            <v>36.799999999999898</v>
          </cell>
          <cell r="O4248" t="str">
            <v>INR</v>
          </cell>
        </row>
        <row r="4249">
          <cell r="A4249" t="str">
            <v>L003 Ankleshwar</v>
          </cell>
          <cell r="B4249">
            <v>656646</v>
          </cell>
          <cell r="C4249" t="str">
            <v>CERAMIC MATING RING-SHD-DR1: 100MM</v>
          </cell>
          <cell r="D4249" t="str">
            <v>L0030151                       EnggStore</v>
          </cell>
          <cell r="E4249">
            <v>0</v>
          </cell>
          <cell r="F4249" t="str">
            <v>ND No planning</v>
          </cell>
          <cell r="G4249" t="str">
            <v>ERSA Spare parts</v>
          </cell>
          <cell r="H4249" t="str">
            <v>EN038     MechanicalSeals&amp;Spar</v>
          </cell>
          <cell r="I4249" t="str">
            <v>L003 Ankleshwar</v>
          </cell>
          <cell r="J4249" t="str">
            <v>99 Input/Byprodt/Scrap</v>
          </cell>
          <cell r="K4249" t="str">
            <v>10.2012</v>
          </cell>
          <cell r="L4249">
            <v>1</v>
          </cell>
          <cell r="M4249" t="str">
            <v>EA</v>
          </cell>
          <cell r="N4249">
            <v>11960</v>
          </cell>
          <cell r="O4249" t="str">
            <v>INR</v>
          </cell>
        </row>
        <row r="4250">
          <cell r="A4250" t="str">
            <v>L003 Ankleshwar</v>
          </cell>
          <cell r="B4250">
            <v>656647</v>
          </cell>
          <cell r="C4250" t="str">
            <v>VITON-O-RING: PART NO:19</v>
          </cell>
          <cell r="D4250" t="str">
            <v>L0030151                       EnggStore</v>
          </cell>
          <cell r="E4250" t="str">
            <v>E35 E35</v>
          </cell>
          <cell r="F4250" t="str">
            <v>VB Manual reorder point planning</v>
          </cell>
          <cell r="G4250" t="str">
            <v>ERSA Spare parts</v>
          </cell>
          <cell r="H4250" t="str">
            <v>EN038     MechanicalSeals&amp;Spar</v>
          </cell>
          <cell r="I4250" t="str">
            <v>L003 Ankleshwar</v>
          </cell>
          <cell r="J4250" t="str">
            <v>99 Input/Byprodt/Scrap</v>
          </cell>
          <cell r="K4250" t="str">
            <v>10.2012</v>
          </cell>
          <cell r="L4250">
            <v>1</v>
          </cell>
          <cell r="M4250" t="str">
            <v>EA</v>
          </cell>
          <cell r="N4250">
            <v>835.97</v>
          </cell>
          <cell r="O4250" t="str">
            <v>INR</v>
          </cell>
        </row>
        <row r="4251">
          <cell r="A4251" t="str">
            <v>L003 Ankleshwar</v>
          </cell>
          <cell r="B4251">
            <v>656648</v>
          </cell>
          <cell r="C4251" t="str">
            <v>SEAL RING CARBON-[IB]: PART NO:7</v>
          </cell>
          <cell r="D4251" t="str">
            <v>L0030151                       EnggStore</v>
          </cell>
          <cell r="E4251" t="str">
            <v>E34 E34</v>
          </cell>
          <cell r="F4251" t="str">
            <v>VB Manual reorder point planning</v>
          </cell>
          <cell r="G4251" t="str">
            <v>ERSA Spare parts</v>
          </cell>
          <cell r="H4251" t="str">
            <v>EN038     MechanicalSeals&amp;Spar</v>
          </cell>
          <cell r="I4251" t="str">
            <v>L003 Ankleshwar</v>
          </cell>
          <cell r="J4251" t="str">
            <v>99 Input/Byprodt/Scrap</v>
          </cell>
          <cell r="K4251" t="str">
            <v>10.2012</v>
          </cell>
          <cell r="L4251">
            <v>1</v>
          </cell>
          <cell r="M4251" t="str">
            <v>EA</v>
          </cell>
          <cell r="N4251">
            <v>8833.5599999999904</v>
          </cell>
          <cell r="O4251" t="str">
            <v>INR</v>
          </cell>
        </row>
        <row r="4252">
          <cell r="A4252" t="str">
            <v>L003 Ankleshwar</v>
          </cell>
          <cell r="B4252">
            <v>656651</v>
          </cell>
          <cell r="C4252" t="str">
            <v>PTFE GASKET-PART NO:12</v>
          </cell>
          <cell r="D4252" t="str">
            <v>L0030151                       EnggStore</v>
          </cell>
          <cell r="E4252">
            <v>0</v>
          </cell>
          <cell r="F4252" t="str">
            <v>ND No planning</v>
          </cell>
          <cell r="G4252" t="str">
            <v>ERSA Spare parts</v>
          </cell>
          <cell r="H4252" t="str">
            <v>EN038     MechanicalSeals&amp;Spar</v>
          </cell>
          <cell r="I4252" t="str">
            <v>L003 Ankleshwar</v>
          </cell>
          <cell r="J4252" t="str">
            <v>99 Input/Byprodt/Scrap</v>
          </cell>
          <cell r="K4252" t="str">
            <v>10.2012</v>
          </cell>
          <cell r="L4252">
            <v>1</v>
          </cell>
          <cell r="M4252" t="str">
            <v>EA</v>
          </cell>
          <cell r="N4252">
            <v>1241.67</v>
          </cell>
          <cell r="O4252" t="str">
            <v>INR</v>
          </cell>
        </row>
        <row r="4253">
          <cell r="A4253" t="str">
            <v>L003 Ankleshwar</v>
          </cell>
          <cell r="B4253">
            <v>656712</v>
          </cell>
          <cell r="C4253" t="str">
            <v>AIR FILTER ELEMENT-M: 7X5 ESV1NL2</v>
          </cell>
          <cell r="D4253" t="str">
            <v>L0030151                       EnggStore</v>
          </cell>
          <cell r="E4253">
            <v>0</v>
          </cell>
          <cell r="F4253" t="str">
            <v>ND No planning</v>
          </cell>
          <cell r="G4253" t="str">
            <v>ERSA Spare parts</v>
          </cell>
          <cell r="H4253" t="str">
            <v>EN001     Filters Spares</v>
          </cell>
          <cell r="I4253" t="str">
            <v>L003 Ankleshwar</v>
          </cell>
          <cell r="J4253" t="str">
            <v>99 Input/Byprodt/Scrap</v>
          </cell>
          <cell r="K4253" t="str">
            <v>10.2012</v>
          </cell>
          <cell r="L4253">
            <v>1</v>
          </cell>
          <cell r="M4253" t="str">
            <v>EA</v>
          </cell>
          <cell r="N4253">
            <v>400.6</v>
          </cell>
          <cell r="O4253" t="str">
            <v>INR</v>
          </cell>
        </row>
        <row r="4254">
          <cell r="A4254" t="str">
            <v>L003 Ankleshwar</v>
          </cell>
          <cell r="B4254">
            <v>656715</v>
          </cell>
          <cell r="C4254" t="str">
            <v>PTFE 'Y' PACK PART NO: 16</v>
          </cell>
          <cell r="D4254" t="str">
            <v>L0030151                       EnggStore</v>
          </cell>
          <cell r="E4254" t="str">
            <v>E35 E35</v>
          </cell>
          <cell r="F4254" t="str">
            <v>VB Manual reorder point planning</v>
          </cell>
          <cell r="G4254" t="str">
            <v>ERSA Spare parts</v>
          </cell>
          <cell r="H4254" t="str">
            <v>EN038     MechanicalSeals&amp;Spar</v>
          </cell>
          <cell r="I4254" t="str">
            <v>L003 Ankleshwar</v>
          </cell>
          <cell r="J4254" t="str">
            <v>99 Input/Byprodt/Scrap</v>
          </cell>
          <cell r="K4254" t="str">
            <v>10.2012</v>
          </cell>
          <cell r="L4254">
            <v>1</v>
          </cell>
          <cell r="M4254" t="str">
            <v>EA</v>
          </cell>
          <cell r="N4254">
            <v>395.98</v>
          </cell>
          <cell r="O4254" t="str">
            <v>INR</v>
          </cell>
        </row>
        <row r="4255">
          <cell r="A4255" t="str">
            <v>L003 Ankleshwar</v>
          </cell>
          <cell r="B4255">
            <v>656755</v>
          </cell>
          <cell r="C4255" t="str">
            <v>GASKET SHALLAC COMPOUND</v>
          </cell>
          <cell r="D4255" t="str">
            <v>L0030151                       EnggStore</v>
          </cell>
          <cell r="E4255" t="str">
            <v>E35 E35</v>
          </cell>
          <cell r="F4255" t="str">
            <v>VB Manual reorder point planning</v>
          </cell>
          <cell r="G4255" t="str">
            <v>ERSA Spare parts</v>
          </cell>
          <cell r="H4255" t="str">
            <v>EN024     EnggConsumables</v>
          </cell>
          <cell r="I4255" t="str">
            <v>L003 Ankleshwar</v>
          </cell>
          <cell r="J4255" t="str">
            <v>99 Input/Byprodt/Scrap</v>
          </cell>
          <cell r="K4255" t="str">
            <v>10.2012</v>
          </cell>
          <cell r="L4255">
            <v>48</v>
          </cell>
          <cell r="M4255" t="str">
            <v>EA</v>
          </cell>
          <cell r="N4255">
            <v>576</v>
          </cell>
          <cell r="O4255" t="str">
            <v>INR</v>
          </cell>
        </row>
        <row r="4256">
          <cell r="A4256" t="str">
            <v>L003 Ankleshwar</v>
          </cell>
          <cell r="B4256">
            <v>656805</v>
          </cell>
          <cell r="C4256" t="str">
            <v>CRADLE TERMINAL ASSEMBLY: SL-93894</v>
          </cell>
          <cell r="D4256" t="str">
            <v>L0030151                       EnggStore</v>
          </cell>
          <cell r="E4256">
            <v>0</v>
          </cell>
          <cell r="F4256" t="str">
            <v>ND No planning</v>
          </cell>
          <cell r="G4256" t="str">
            <v>ERSA Spare parts</v>
          </cell>
          <cell r="H4256" t="str">
            <v>EN006     Elec Switchgear</v>
          </cell>
          <cell r="I4256" t="str">
            <v>L003 Ankleshwar</v>
          </cell>
          <cell r="J4256" t="str">
            <v>99 Input/Byprodt/Scrap</v>
          </cell>
          <cell r="K4256" t="str">
            <v>10.2012</v>
          </cell>
          <cell r="L4256">
            <v>4</v>
          </cell>
          <cell r="M4256" t="str">
            <v>EA</v>
          </cell>
          <cell r="N4256">
            <v>6114</v>
          </cell>
          <cell r="O4256" t="str">
            <v>INR</v>
          </cell>
        </row>
        <row r="4257">
          <cell r="A4257" t="str">
            <v>L003 Ankleshwar</v>
          </cell>
          <cell r="B4257">
            <v>656806</v>
          </cell>
          <cell r="C4257" t="str">
            <v>CRADLE TERMINAL ASSEMBLY: SL-93893</v>
          </cell>
          <cell r="D4257" t="str">
            <v>L0030151                       EnggStore</v>
          </cell>
          <cell r="E4257">
            <v>0</v>
          </cell>
          <cell r="F4257" t="str">
            <v>ND No planning</v>
          </cell>
          <cell r="G4257" t="str">
            <v>ERSA Spare parts</v>
          </cell>
          <cell r="H4257" t="str">
            <v>EN006     Elec Switchgear</v>
          </cell>
          <cell r="I4257" t="str">
            <v>L003 Ankleshwar</v>
          </cell>
          <cell r="J4257" t="str">
            <v>99 Input/Byprodt/Scrap</v>
          </cell>
          <cell r="K4257" t="str">
            <v>10.2012</v>
          </cell>
          <cell r="L4257">
            <v>5</v>
          </cell>
          <cell r="M4257" t="str">
            <v>EA</v>
          </cell>
          <cell r="N4257">
            <v>5373.3</v>
          </cell>
          <cell r="O4257" t="str">
            <v>INR</v>
          </cell>
        </row>
        <row r="4258">
          <cell r="A4258" t="str">
            <v>L003 Ankleshwar</v>
          </cell>
          <cell r="B4258">
            <v>656821</v>
          </cell>
          <cell r="C4258" t="str">
            <v>CIRCLIP: P.NO: A65-IS:30754965</v>
          </cell>
          <cell r="D4258" t="str">
            <v>L0030151                       EnggStore</v>
          </cell>
          <cell r="E4258">
            <v>0</v>
          </cell>
          <cell r="F4258" t="str">
            <v>ND No planning</v>
          </cell>
          <cell r="G4258" t="str">
            <v>ERSA Spare parts</v>
          </cell>
          <cell r="H4258" t="str">
            <v>EN038     MechanicalSeals&amp;Spar</v>
          </cell>
          <cell r="I4258" t="str">
            <v>L003 Ankleshwar</v>
          </cell>
          <cell r="J4258" t="str">
            <v>99 Input/Byprodt/Scrap</v>
          </cell>
          <cell r="K4258" t="str">
            <v>10.2012</v>
          </cell>
          <cell r="L4258">
            <v>1</v>
          </cell>
          <cell r="M4258" t="str">
            <v>EA</v>
          </cell>
          <cell r="N4258">
            <v>367.62</v>
          </cell>
          <cell r="O4258" t="str">
            <v>INR</v>
          </cell>
        </row>
        <row r="4259">
          <cell r="A4259" t="str">
            <v>L003 Ankleshwar</v>
          </cell>
          <cell r="B4259">
            <v>656822</v>
          </cell>
          <cell r="C4259" t="str">
            <v>VITON GASKET-DURA-DBRT:2.5"PN:G12H-53149</v>
          </cell>
          <cell r="D4259" t="str">
            <v>L0030151                       EnggStore</v>
          </cell>
          <cell r="E4259">
            <v>0</v>
          </cell>
          <cell r="F4259" t="str">
            <v>ND No planning</v>
          </cell>
          <cell r="G4259" t="str">
            <v>ERSA Spare parts</v>
          </cell>
          <cell r="H4259" t="str">
            <v>EN038     MechanicalSeals&amp;Spar</v>
          </cell>
          <cell r="I4259" t="str">
            <v>L003 Ankleshwar</v>
          </cell>
          <cell r="J4259" t="str">
            <v>99 Input/Byprodt/Scrap</v>
          </cell>
          <cell r="K4259" t="str">
            <v>10.2012</v>
          </cell>
          <cell r="L4259">
            <v>2</v>
          </cell>
          <cell r="M4259" t="str">
            <v>EA</v>
          </cell>
          <cell r="N4259">
            <v>1885.71</v>
          </cell>
          <cell r="O4259" t="str">
            <v>INR</v>
          </cell>
        </row>
        <row r="4260">
          <cell r="A4260" t="str">
            <v>L003 Ankleshwar</v>
          </cell>
          <cell r="B4260">
            <v>656823</v>
          </cell>
          <cell r="C4260" t="str">
            <v>SPRING-DURA-DBRT: 2.5"-P.NO: C-2H-53149</v>
          </cell>
          <cell r="D4260" t="str">
            <v>L0030151                       EnggStore</v>
          </cell>
          <cell r="E4260">
            <v>0</v>
          </cell>
          <cell r="F4260" t="str">
            <v>ND No planning</v>
          </cell>
          <cell r="G4260" t="str">
            <v>ERSA Spare parts</v>
          </cell>
          <cell r="H4260" t="str">
            <v>EN038     MechanicalSeals&amp;Spar</v>
          </cell>
          <cell r="I4260" t="str">
            <v>L003 Ankleshwar</v>
          </cell>
          <cell r="J4260" t="str">
            <v>99 Input/Byprodt/Scrap</v>
          </cell>
          <cell r="K4260" t="str">
            <v>10.2012</v>
          </cell>
          <cell r="L4260">
            <v>12</v>
          </cell>
          <cell r="M4260" t="str">
            <v>EA</v>
          </cell>
          <cell r="N4260">
            <v>5663.81</v>
          </cell>
          <cell r="O4260" t="str">
            <v>INR</v>
          </cell>
        </row>
        <row r="4261">
          <cell r="A4261" t="str">
            <v>L003 Ankleshwar</v>
          </cell>
          <cell r="B4261">
            <v>656824</v>
          </cell>
          <cell r="C4261" t="str">
            <v>PISTON RING: P.NO:7X5-ESV1- NL2-( IR )</v>
          </cell>
          <cell r="D4261" t="str">
            <v>L0030151                       EnggStore</v>
          </cell>
          <cell r="E4261" t="str">
            <v>E32 E32</v>
          </cell>
          <cell r="F4261" t="str">
            <v>VB Manual reorder point planning</v>
          </cell>
          <cell r="G4261" t="str">
            <v>ERSA Spare parts</v>
          </cell>
          <cell r="H4261" t="str">
            <v>EN018     UtilityEquipmentSpar</v>
          </cell>
          <cell r="I4261" t="str">
            <v>L003 Ankleshwar</v>
          </cell>
          <cell r="J4261" t="str">
            <v>99 Input/Byprodt/Scrap</v>
          </cell>
          <cell r="K4261" t="str">
            <v>10.2012</v>
          </cell>
          <cell r="L4261">
            <v>1</v>
          </cell>
          <cell r="M4261" t="str">
            <v>EA</v>
          </cell>
          <cell r="N4261">
            <v>2682.9</v>
          </cell>
          <cell r="O4261" t="str">
            <v>INR</v>
          </cell>
        </row>
        <row r="4262">
          <cell r="A4262" t="str">
            <v>L003 Ankleshwar</v>
          </cell>
          <cell r="B4262">
            <v>656825</v>
          </cell>
          <cell r="C4262" t="str">
            <v>WEAR RING: P.NO:7X5-ESV1-NL2-(IR)</v>
          </cell>
          <cell r="D4262" t="str">
            <v>L0030151                       EnggStore</v>
          </cell>
          <cell r="E4262" t="str">
            <v>E32 E32</v>
          </cell>
          <cell r="F4262" t="str">
            <v>VB Manual reorder point planning</v>
          </cell>
          <cell r="G4262" t="str">
            <v>ERSA Spare parts</v>
          </cell>
          <cell r="H4262" t="str">
            <v>EN018     UtilityEquipmentSpar</v>
          </cell>
          <cell r="I4262" t="str">
            <v>L003 Ankleshwar</v>
          </cell>
          <cell r="J4262" t="str">
            <v>99 Input/Byprodt/Scrap</v>
          </cell>
          <cell r="K4262" t="str">
            <v>10.2012</v>
          </cell>
          <cell r="L4262">
            <v>1</v>
          </cell>
          <cell r="M4262" t="str">
            <v>EA</v>
          </cell>
          <cell r="N4262">
            <v>4581.8999999999896</v>
          </cell>
          <cell r="O4262" t="str">
            <v>INR</v>
          </cell>
        </row>
        <row r="4263">
          <cell r="A4263" t="str">
            <v>L003 Ankleshwar</v>
          </cell>
          <cell r="B4263">
            <v>656830</v>
          </cell>
          <cell r="C4263" t="str">
            <v>TEFLONE GUIDE: P.NO:7X5-ESV1-NL2-(IR)</v>
          </cell>
          <cell r="D4263" t="str">
            <v>L0030151                       EnggStore</v>
          </cell>
          <cell r="E4263" t="str">
            <v>E32 E32</v>
          </cell>
          <cell r="F4263" t="str">
            <v>VB Manual reorder point planning</v>
          </cell>
          <cell r="G4263" t="str">
            <v>ERSA Spare parts</v>
          </cell>
          <cell r="H4263" t="str">
            <v>EN018     UtilityEquipmentSpar</v>
          </cell>
          <cell r="I4263" t="str">
            <v>L003 Ankleshwar</v>
          </cell>
          <cell r="J4263" t="str">
            <v>99 Input/Byprodt/Scrap</v>
          </cell>
          <cell r="K4263" t="str">
            <v>10.2012</v>
          </cell>
          <cell r="L4263">
            <v>30</v>
          </cell>
          <cell r="M4263" t="str">
            <v>EA</v>
          </cell>
          <cell r="N4263">
            <v>2565</v>
          </cell>
          <cell r="O4263" t="str">
            <v>INR</v>
          </cell>
        </row>
        <row r="4264">
          <cell r="A4264" t="str">
            <v>L003 Ankleshwar</v>
          </cell>
          <cell r="B4264">
            <v>656833</v>
          </cell>
          <cell r="C4264" t="str">
            <v>VALVE PLATE: P.NO:7X5-ESV1-NL2-(IR)</v>
          </cell>
          <cell r="D4264" t="str">
            <v>L0030151                       EnggStore</v>
          </cell>
          <cell r="E4264">
            <v>0</v>
          </cell>
          <cell r="F4264" t="str">
            <v>ND No planning</v>
          </cell>
          <cell r="G4264" t="str">
            <v>ERSA Spare parts</v>
          </cell>
          <cell r="H4264" t="str">
            <v>EN018     UtilityEquipmentSpar</v>
          </cell>
          <cell r="I4264" t="str">
            <v>L003 Ankleshwar</v>
          </cell>
          <cell r="J4264" t="str">
            <v>99 Input/Byprodt/Scrap</v>
          </cell>
          <cell r="K4264" t="str">
            <v>10.2012</v>
          </cell>
          <cell r="L4264">
            <v>2</v>
          </cell>
          <cell r="M4264" t="str">
            <v>EA</v>
          </cell>
          <cell r="N4264">
            <v>6330.6999999999898</v>
          </cell>
          <cell r="O4264" t="str">
            <v>INR</v>
          </cell>
        </row>
        <row r="4265">
          <cell r="A4265" t="str">
            <v>L003 Ankleshwar</v>
          </cell>
          <cell r="B4265">
            <v>656845</v>
          </cell>
          <cell r="C4265" t="str">
            <v>AIR FILTER: P.NO:7X5-ESV1-NL2-(IR)</v>
          </cell>
          <cell r="D4265" t="str">
            <v>L0030151                       EnggStore</v>
          </cell>
          <cell r="E4265">
            <v>0</v>
          </cell>
          <cell r="F4265" t="str">
            <v>ND No planning</v>
          </cell>
          <cell r="G4265" t="str">
            <v>ERSA Spare parts</v>
          </cell>
          <cell r="H4265" t="str">
            <v>EN018     UtilityEquipmentSpar</v>
          </cell>
          <cell r="I4265" t="str">
            <v>L003 Ankleshwar</v>
          </cell>
          <cell r="J4265" t="str">
            <v>99 Input/Byprodt/Scrap</v>
          </cell>
          <cell r="K4265" t="str">
            <v>10.2012</v>
          </cell>
          <cell r="L4265">
            <v>1</v>
          </cell>
          <cell r="M4265" t="str">
            <v>EA</v>
          </cell>
          <cell r="N4265">
            <v>601.25</v>
          </cell>
          <cell r="O4265" t="str">
            <v>INR</v>
          </cell>
        </row>
        <row r="4266">
          <cell r="A4266" t="str">
            <v>L003 Ankleshwar</v>
          </cell>
          <cell r="B4266">
            <v>656853</v>
          </cell>
          <cell r="C4266" t="str">
            <v>BRAKE LINER FOR JAYCO HOIST</v>
          </cell>
          <cell r="D4266" t="str">
            <v>L0030151                       EnggStore</v>
          </cell>
          <cell r="E4266">
            <v>0</v>
          </cell>
          <cell r="F4266" t="str">
            <v>ND No planning</v>
          </cell>
          <cell r="G4266" t="str">
            <v>ERSA Spare parts</v>
          </cell>
          <cell r="H4266" t="str">
            <v>EN015     MaterialHandlingspar</v>
          </cell>
          <cell r="I4266" t="str">
            <v>L003 Ankleshwar</v>
          </cell>
          <cell r="J4266" t="str">
            <v>99 Input/Byprodt/Scrap</v>
          </cell>
          <cell r="K4266" t="str">
            <v>10.2012</v>
          </cell>
          <cell r="L4266">
            <v>1</v>
          </cell>
          <cell r="M4266" t="str">
            <v>SET</v>
          </cell>
          <cell r="N4266">
            <v>3213.84</v>
          </cell>
          <cell r="O4266" t="str">
            <v>INR</v>
          </cell>
        </row>
        <row r="4267">
          <cell r="A4267" t="str">
            <v>L003 Ankleshwar</v>
          </cell>
          <cell r="B4267">
            <v>656854</v>
          </cell>
          <cell r="C4267" t="str">
            <v>ROPE GUIDE FOR JAYCO HOIST</v>
          </cell>
          <cell r="D4267" t="str">
            <v>L0030151                       EnggStore</v>
          </cell>
          <cell r="E4267" t="str">
            <v>E01 E01</v>
          </cell>
          <cell r="F4267" t="str">
            <v>VB Manual reorder point planning</v>
          </cell>
          <cell r="G4267" t="str">
            <v>ERSA Spare parts</v>
          </cell>
          <cell r="H4267" t="str">
            <v>EN015     MaterialHandlingspar</v>
          </cell>
          <cell r="I4267" t="str">
            <v>L003 Ankleshwar</v>
          </cell>
          <cell r="J4267" t="str">
            <v>99 Input/Byprodt/Scrap</v>
          </cell>
          <cell r="K4267" t="str">
            <v>10.2012</v>
          </cell>
          <cell r="L4267">
            <v>3</v>
          </cell>
          <cell r="M4267" t="str">
            <v>EA</v>
          </cell>
          <cell r="N4267">
            <v>11338.37</v>
          </cell>
          <cell r="O4267" t="str">
            <v>INR</v>
          </cell>
        </row>
        <row r="4268">
          <cell r="A4268" t="str">
            <v>L003 Ankleshwar</v>
          </cell>
          <cell r="B4268">
            <v>656865</v>
          </cell>
          <cell r="C4268" t="str">
            <v>V-BELT B-148</v>
          </cell>
          <cell r="D4268" t="str">
            <v>L0030151                       EnggStore</v>
          </cell>
          <cell r="E4268" t="str">
            <v>E35 E35</v>
          </cell>
          <cell r="F4268" t="str">
            <v>VB Manual reorder point planning</v>
          </cell>
          <cell r="G4268" t="str">
            <v>ERSA Spare parts</v>
          </cell>
          <cell r="H4268" t="str">
            <v>EN021     VbeltCoupling&amp;Pulley</v>
          </cell>
          <cell r="I4268" t="str">
            <v>L003 Ankleshwar</v>
          </cell>
          <cell r="J4268" t="str">
            <v>99 Input/Byprodt/Scrap</v>
          </cell>
          <cell r="K4268" t="str">
            <v>10.2012</v>
          </cell>
          <cell r="L4268">
            <v>6</v>
          </cell>
          <cell r="M4268" t="str">
            <v>EA</v>
          </cell>
          <cell r="N4268">
            <v>2388.6199999999899</v>
          </cell>
          <cell r="O4268" t="str">
            <v>INR</v>
          </cell>
        </row>
        <row r="4269">
          <cell r="A4269" t="str">
            <v>L003 Ankleshwar</v>
          </cell>
          <cell r="B4269">
            <v>656878</v>
          </cell>
          <cell r="C4269" t="str">
            <v>OIL SEAL: 64X80X8</v>
          </cell>
          <cell r="D4269" t="str">
            <v>L0030151                       EnggStore</v>
          </cell>
          <cell r="E4269">
            <v>0</v>
          </cell>
          <cell r="F4269" t="str">
            <v>ND No planning</v>
          </cell>
          <cell r="G4269" t="str">
            <v>ERSA Spare parts</v>
          </cell>
          <cell r="H4269" t="str">
            <v>EN020     RubberItems&amp;Oil Seal</v>
          </cell>
          <cell r="I4269" t="str">
            <v>L003 Ankleshwar</v>
          </cell>
          <cell r="J4269" t="str">
            <v>99 Input/Byprodt/Scrap</v>
          </cell>
          <cell r="K4269" t="str">
            <v>10.2012</v>
          </cell>
          <cell r="L4269">
            <v>1</v>
          </cell>
          <cell r="M4269" t="str">
            <v>EA</v>
          </cell>
          <cell r="N4269">
            <v>16</v>
          </cell>
          <cell r="O4269" t="str">
            <v>INR</v>
          </cell>
        </row>
        <row r="4270">
          <cell r="A4270" t="str">
            <v>L003 Ankleshwar</v>
          </cell>
          <cell r="B4270">
            <v>656883</v>
          </cell>
          <cell r="C4270" t="str">
            <v>LIFTER GUIDE: D-7367151</v>
          </cell>
          <cell r="D4270" t="str">
            <v>L0030151                       EnggStore</v>
          </cell>
          <cell r="E4270" t="str">
            <v>E32 E32</v>
          </cell>
          <cell r="F4270" t="str">
            <v>VB Manual reorder point planning</v>
          </cell>
          <cell r="G4270" t="str">
            <v>ERSA Spare parts</v>
          </cell>
          <cell r="H4270" t="str">
            <v>EN018     UtilityEquipmentSpar</v>
          </cell>
          <cell r="I4270" t="str">
            <v>L003 Ankleshwar</v>
          </cell>
          <cell r="J4270" t="str">
            <v>99 Input/Byprodt/Scrap</v>
          </cell>
          <cell r="K4270" t="str">
            <v>10.2012</v>
          </cell>
          <cell r="L4270">
            <v>5</v>
          </cell>
          <cell r="M4270" t="str">
            <v>EA</v>
          </cell>
          <cell r="N4270">
            <v>627</v>
          </cell>
          <cell r="O4270" t="str">
            <v>INR</v>
          </cell>
        </row>
        <row r="4271">
          <cell r="A4271" t="str">
            <v>L003 Ankleshwar</v>
          </cell>
          <cell r="B4271">
            <v>656884</v>
          </cell>
          <cell r="C4271" t="str">
            <v>GASKET DOOR: H-0730150</v>
          </cell>
          <cell r="D4271" t="str">
            <v>L0030151                       EnggStore</v>
          </cell>
          <cell r="E4271" t="str">
            <v>E32 E32</v>
          </cell>
          <cell r="F4271" t="str">
            <v>VB Manual reorder point planning</v>
          </cell>
          <cell r="G4271" t="str">
            <v>ERSA Spare parts</v>
          </cell>
          <cell r="H4271" t="str">
            <v>EN018     UtilityEquipmentSpar</v>
          </cell>
          <cell r="I4271" t="str">
            <v>L003 Ankleshwar</v>
          </cell>
          <cell r="J4271" t="str">
            <v>99 Input/Byprodt/Scrap</v>
          </cell>
          <cell r="K4271" t="str">
            <v>10.2012</v>
          </cell>
          <cell r="L4271">
            <v>4</v>
          </cell>
          <cell r="M4271" t="str">
            <v>EA</v>
          </cell>
          <cell r="N4271">
            <v>1070.4000000000001</v>
          </cell>
          <cell r="O4271" t="str">
            <v>INR</v>
          </cell>
        </row>
        <row r="4272">
          <cell r="A4272" t="str">
            <v>L003 Ankleshwar</v>
          </cell>
          <cell r="B4272">
            <v>656885</v>
          </cell>
          <cell r="C4272" t="str">
            <v>GASKET DOOR-[FRAME END]: H-0744100</v>
          </cell>
          <cell r="D4272" t="str">
            <v>L0030151                       EnggStore</v>
          </cell>
          <cell r="E4272" t="str">
            <v>E32 E32</v>
          </cell>
          <cell r="F4272" t="str">
            <v>VB Manual reorder point planning</v>
          </cell>
          <cell r="G4272" t="str">
            <v>ERSA Spare parts</v>
          </cell>
          <cell r="H4272" t="str">
            <v>EN018     UtilityEquipmentSpar</v>
          </cell>
          <cell r="I4272" t="str">
            <v>L003 Ankleshwar</v>
          </cell>
          <cell r="J4272" t="str">
            <v>99 Input/Byprodt/Scrap</v>
          </cell>
          <cell r="K4272" t="str">
            <v>10.2012</v>
          </cell>
          <cell r="L4272">
            <v>2</v>
          </cell>
          <cell r="M4272" t="str">
            <v>EA</v>
          </cell>
          <cell r="N4272">
            <v>299.69999999999902</v>
          </cell>
          <cell r="O4272" t="str">
            <v>INR</v>
          </cell>
        </row>
        <row r="4273">
          <cell r="A4273" t="str">
            <v>L003 Ankleshwar</v>
          </cell>
          <cell r="B4273">
            <v>656905</v>
          </cell>
          <cell r="C4273" t="str">
            <v>SHAFT SEAL O-RING OUTER: HS2028</v>
          </cell>
          <cell r="D4273" t="str">
            <v>L0030151                       EnggStore</v>
          </cell>
          <cell r="E4273">
            <v>0</v>
          </cell>
          <cell r="F4273" t="str">
            <v>ND No planning</v>
          </cell>
          <cell r="G4273" t="str">
            <v>ERSA Spare parts</v>
          </cell>
          <cell r="H4273" t="str">
            <v>EN018     UtilityEquipmentSpar</v>
          </cell>
          <cell r="I4273" t="str">
            <v>L003 Ankleshwar</v>
          </cell>
          <cell r="J4273" t="str">
            <v>99 Input/Byprodt/Scrap</v>
          </cell>
          <cell r="K4273" t="str">
            <v>10.2012</v>
          </cell>
          <cell r="L4273">
            <v>5</v>
          </cell>
          <cell r="M4273" t="str">
            <v>EA</v>
          </cell>
          <cell r="N4273">
            <v>3528.8899999999899</v>
          </cell>
          <cell r="O4273" t="str">
            <v>INR</v>
          </cell>
        </row>
        <row r="4274">
          <cell r="A4274" t="str">
            <v>L003 Ankleshwar</v>
          </cell>
          <cell r="B4274">
            <v>656906</v>
          </cell>
          <cell r="C4274" t="str">
            <v>SHAFT SEAL O-RING INNER: HS2028</v>
          </cell>
          <cell r="D4274" t="str">
            <v>L0030151                       EnggStore</v>
          </cell>
          <cell r="E4274">
            <v>0</v>
          </cell>
          <cell r="F4274" t="str">
            <v>ND No planning</v>
          </cell>
          <cell r="G4274" t="str">
            <v>ERSA Spare parts</v>
          </cell>
          <cell r="H4274" t="str">
            <v>EN038     MechanicalSeals&amp;Spar</v>
          </cell>
          <cell r="I4274" t="str">
            <v>L003 Ankleshwar</v>
          </cell>
          <cell r="J4274" t="str">
            <v>99 Input/Byprodt/Scrap</v>
          </cell>
          <cell r="K4274" t="str">
            <v>10.2012</v>
          </cell>
          <cell r="L4274">
            <v>10</v>
          </cell>
          <cell r="M4274" t="str">
            <v>EA</v>
          </cell>
          <cell r="N4274">
            <v>6191.6999999999898</v>
          </cell>
          <cell r="O4274" t="str">
            <v>INR</v>
          </cell>
        </row>
        <row r="4275">
          <cell r="A4275" t="str">
            <v>L003 Ankleshwar</v>
          </cell>
          <cell r="B4275">
            <v>657005</v>
          </cell>
          <cell r="C4275" t="str">
            <v>U-TYPE CUP SEAL: 50X60X7.3</v>
          </cell>
          <cell r="D4275" t="str">
            <v>L0030151                       EnggStore</v>
          </cell>
          <cell r="E4275">
            <v>0</v>
          </cell>
          <cell r="F4275" t="str">
            <v>ND No planning</v>
          </cell>
          <cell r="G4275" t="str">
            <v>ERSA Spare parts</v>
          </cell>
          <cell r="H4275" t="str">
            <v>EN020     RubberItems&amp;Oil Seal</v>
          </cell>
          <cell r="I4275" t="str">
            <v>L003 Ankleshwar</v>
          </cell>
          <cell r="J4275" t="str">
            <v>99 Input/Byprodt/Scrap</v>
          </cell>
          <cell r="K4275" t="str">
            <v>10.2012</v>
          </cell>
          <cell r="L4275">
            <v>3</v>
          </cell>
          <cell r="M4275" t="str">
            <v>EA</v>
          </cell>
          <cell r="N4275">
            <v>165</v>
          </cell>
          <cell r="O4275" t="str">
            <v>INR</v>
          </cell>
        </row>
        <row r="4276">
          <cell r="A4276" t="str">
            <v>L003 Ankleshwar</v>
          </cell>
          <cell r="B4276">
            <v>657111</v>
          </cell>
          <cell r="C4276" t="str">
            <v>PRESSING BUSH-A: P.NO:UGRK-300 PT NO:308</v>
          </cell>
          <cell r="D4276" t="str">
            <v>L0030151                       EnggStore</v>
          </cell>
          <cell r="E4276">
            <v>0</v>
          </cell>
          <cell r="F4276" t="str">
            <v>ND No planning</v>
          </cell>
          <cell r="G4276" t="str">
            <v>ERSA Spare parts</v>
          </cell>
          <cell r="H4276" t="str">
            <v>EN037     Refrigeration&amp;A/Cspa</v>
          </cell>
          <cell r="I4276" t="str">
            <v>L003 Ankleshwar</v>
          </cell>
          <cell r="J4276" t="str">
            <v>99 Input/Byprodt/Scrap</v>
          </cell>
          <cell r="K4276" t="str">
            <v>10.2012</v>
          </cell>
          <cell r="L4276">
            <v>2</v>
          </cell>
          <cell r="M4276" t="str">
            <v>EA</v>
          </cell>
          <cell r="N4276">
            <v>2375</v>
          </cell>
          <cell r="O4276" t="str">
            <v>INR</v>
          </cell>
        </row>
        <row r="4277">
          <cell r="A4277" t="str">
            <v>L003 Ankleshwar</v>
          </cell>
          <cell r="B4277">
            <v>657113</v>
          </cell>
          <cell r="C4277" t="str">
            <v>PISTON RING (BIG): UGRK-300 PT NO:310</v>
          </cell>
          <cell r="D4277" t="str">
            <v>L0030151                       EnggStore</v>
          </cell>
          <cell r="E4277" t="str">
            <v>E32 E32</v>
          </cell>
          <cell r="F4277" t="str">
            <v>VB Manual reorder point planning</v>
          </cell>
          <cell r="G4277" t="str">
            <v>ERSA Spare parts</v>
          </cell>
          <cell r="H4277" t="str">
            <v>EN037     Refrigeration&amp;A/Cspa</v>
          </cell>
          <cell r="I4277" t="str">
            <v>L003 Ankleshwar</v>
          </cell>
          <cell r="J4277" t="str">
            <v>99 Input/Byprodt/Scrap</v>
          </cell>
          <cell r="K4277" t="str">
            <v>10.2012</v>
          </cell>
          <cell r="L4277">
            <v>8</v>
          </cell>
          <cell r="M4277" t="str">
            <v>EA</v>
          </cell>
          <cell r="N4277">
            <v>1168.27</v>
          </cell>
          <cell r="O4277" t="str">
            <v>INR</v>
          </cell>
        </row>
        <row r="4278">
          <cell r="A4278" t="str">
            <v>L003 Ankleshwar</v>
          </cell>
          <cell r="B4278">
            <v>657114</v>
          </cell>
          <cell r="C4278" t="str">
            <v>INJECTION RING-AI&amp;II: UGRK-300-PT NO:311</v>
          </cell>
          <cell r="D4278" t="str">
            <v>L0030151                       EnggStore</v>
          </cell>
          <cell r="E4278">
            <v>0</v>
          </cell>
          <cell r="F4278" t="str">
            <v>ND No planning</v>
          </cell>
          <cell r="G4278" t="str">
            <v>ERSA Spare parts</v>
          </cell>
          <cell r="H4278" t="str">
            <v>EN037     Refrigeration&amp;A/Cspa</v>
          </cell>
          <cell r="I4278" t="str">
            <v>L003 Ankleshwar</v>
          </cell>
          <cell r="J4278" t="str">
            <v>99 Input/Byprodt/Scrap</v>
          </cell>
          <cell r="K4278" t="str">
            <v>10.2012</v>
          </cell>
          <cell r="L4278">
            <v>2</v>
          </cell>
          <cell r="M4278" t="str">
            <v>EA</v>
          </cell>
          <cell r="N4278">
            <v>1330</v>
          </cell>
          <cell r="O4278" t="str">
            <v>INR</v>
          </cell>
        </row>
        <row r="4279">
          <cell r="A4279" t="str">
            <v>L003 Ankleshwar</v>
          </cell>
          <cell r="B4279">
            <v>657115</v>
          </cell>
          <cell r="C4279" t="str">
            <v>INJECTION RING-BI&amp;II: UGRK-300 PT NO:313</v>
          </cell>
          <cell r="D4279" t="str">
            <v>L0030151                       EnggStore</v>
          </cell>
          <cell r="E4279">
            <v>0</v>
          </cell>
          <cell r="F4279" t="str">
            <v>ND No planning</v>
          </cell>
          <cell r="G4279" t="str">
            <v>ERSA Spare parts</v>
          </cell>
          <cell r="H4279" t="str">
            <v>EN037     Refrigeration&amp;A/Cspa</v>
          </cell>
          <cell r="I4279" t="str">
            <v>L003 Ankleshwar</v>
          </cell>
          <cell r="J4279" t="str">
            <v>99 Input/Byprodt/Scrap</v>
          </cell>
          <cell r="K4279" t="str">
            <v>10.2012</v>
          </cell>
          <cell r="L4279">
            <v>2</v>
          </cell>
          <cell r="M4279" t="str">
            <v>EA</v>
          </cell>
          <cell r="N4279">
            <v>1330</v>
          </cell>
          <cell r="O4279" t="str">
            <v>INR</v>
          </cell>
        </row>
        <row r="4280">
          <cell r="A4280" t="str">
            <v>L003 Ankleshwar</v>
          </cell>
          <cell r="B4280">
            <v>657116</v>
          </cell>
          <cell r="C4280" t="str">
            <v>WITHDRAWAL SLEEVE: UGRK-300 PT NO:315</v>
          </cell>
          <cell r="D4280" t="str">
            <v>L0030151                       EnggStore</v>
          </cell>
          <cell r="E4280">
            <v>0</v>
          </cell>
          <cell r="F4280" t="str">
            <v>ND No planning</v>
          </cell>
          <cell r="G4280" t="str">
            <v>ERSA Spare parts</v>
          </cell>
          <cell r="H4280" t="str">
            <v>EN018     UtilityEquipmentSpar</v>
          </cell>
          <cell r="I4280" t="str">
            <v>L003 Ankleshwar</v>
          </cell>
          <cell r="J4280" t="str">
            <v>99 Input/Byprodt/Scrap</v>
          </cell>
          <cell r="K4280" t="str">
            <v>10.2012</v>
          </cell>
          <cell r="L4280">
            <v>1</v>
          </cell>
          <cell r="M4280" t="str">
            <v>EA</v>
          </cell>
          <cell r="N4280">
            <v>1534.5</v>
          </cell>
          <cell r="O4280" t="str">
            <v>INR</v>
          </cell>
        </row>
        <row r="4281">
          <cell r="A4281" t="str">
            <v>L003 Ankleshwar</v>
          </cell>
          <cell r="B4281">
            <v>657117</v>
          </cell>
          <cell r="C4281" t="str">
            <v>DISTANCE BUSH: P.NO:UGRK-300 PT NO:319</v>
          </cell>
          <cell r="D4281" t="str">
            <v>L0030151                       EnggStore</v>
          </cell>
          <cell r="E4281">
            <v>0</v>
          </cell>
          <cell r="F4281" t="str">
            <v>ND No planning</v>
          </cell>
          <cell r="G4281" t="str">
            <v>ERSA Spare parts</v>
          </cell>
          <cell r="H4281" t="str">
            <v>EN037     Refrigeration&amp;A/Cspa</v>
          </cell>
          <cell r="I4281" t="str">
            <v>L003 Ankleshwar</v>
          </cell>
          <cell r="J4281" t="str">
            <v>99 Input/Byprodt/Scrap</v>
          </cell>
          <cell r="K4281" t="str">
            <v>10.2012</v>
          </cell>
          <cell r="L4281">
            <v>1</v>
          </cell>
          <cell r="M4281" t="str">
            <v>EA</v>
          </cell>
          <cell r="N4281">
            <v>902.5</v>
          </cell>
          <cell r="O4281" t="str">
            <v>INR</v>
          </cell>
        </row>
        <row r="4282">
          <cell r="A4282" t="str">
            <v>L003 Ankleshwar</v>
          </cell>
          <cell r="B4282">
            <v>657119</v>
          </cell>
          <cell r="C4282" t="str">
            <v>O-RING: P.NO:UGRK-300 PT NO:322</v>
          </cell>
          <cell r="D4282" t="str">
            <v>L0030151                       EnggStore</v>
          </cell>
          <cell r="E4282">
            <v>0</v>
          </cell>
          <cell r="F4282" t="str">
            <v>ND No planning</v>
          </cell>
          <cell r="G4282" t="str">
            <v>ERSA Spare parts</v>
          </cell>
          <cell r="H4282" t="str">
            <v>EN018     UtilityEquipmentSpar</v>
          </cell>
          <cell r="I4282" t="str">
            <v>L003 Ankleshwar</v>
          </cell>
          <cell r="J4282" t="str">
            <v>99 Input/Byprodt/Scrap</v>
          </cell>
          <cell r="K4282" t="str">
            <v>10.2012</v>
          </cell>
          <cell r="L4282">
            <v>1</v>
          </cell>
          <cell r="M4282" t="str">
            <v>EA</v>
          </cell>
          <cell r="N4282">
            <v>132.31</v>
          </cell>
          <cell r="O4282" t="str">
            <v>INR</v>
          </cell>
        </row>
        <row r="4283">
          <cell r="A4283" t="str">
            <v>L003 Ankleshwar</v>
          </cell>
          <cell r="B4283">
            <v>657121</v>
          </cell>
          <cell r="C4283" t="str">
            <v>GASKET FOR CASING MAIN COVER:UGRK-300</v>
          </cell>
          <cell r="D4283" t="str">
            <v>L0030151                       EnggStore</v>
          </cell>
          <cell r="E4283">
            <v>0</v>
          </cell>
          <cell r="F4283" t="str">
            <v>ND No planning</v>
          </cell>
          <cell r="G4283" t="str">
            <v>ERSA Spare parts</v>
          </cell>
          <cell r="H4283" t="str">
            <v>EN037     Refrigeration&amp;A/Cspa</v>
          </cell>
          <cell r="I4283" t="str">
            <v>L003 Ankleshwar</v>
          </cell>
          <cell r="J4283" t="str">
            <v>99 Input/Byprodt/Scrap</v>
          </cell>
          <cell r="K4283" t="str">
            <v>10.2012</v>
          </cell>
          <cell r="L4283">
            <v>1</v>
          </cell>
          <cell r="M4283" t="str">
            <v>SET</v>
          </cell>
          <cell r="N4283">
            <v>1140</v>
          </cell>
          <cell r="O4283" t="str">
            <v>INR</v>
          </cell>
        </row>
        <row r="4284">
          <cell r="A4284" t="str">
            <v>L003 Ankleshwar</v>
          </cell>
          <cell r="B4284">
            <v>657123</v>
          </cell>
          <cell r="C4284" t="str">
            <v>OIL LEVEL INDICATOR: UGRK-300 PT NO:337</v>
          </cell>
          <cell r="D4284" t="str">
            <v>L0030151                       EnggStore</v>
          </cell>
          <cell r="E4284" t="str">
            <v>E32 E32</v>
          </cell>
          <cell r="F4284" t="str">
            <v>VB Manual reorder point planning</v>
          </cell>
          <cell r="G4284" t="str">
            <v>ERSA Spare parts</v>
          </cell>
          <cell r="H4284" t="str">
            <v>EN018     UtilityEquipmentSpar</v>
          </cell>
          <cell r="I4284" t="str">
            <v>L003 Ankleshwar</v>
          </cell>
          <cell r="J4284" t="str">
            <v>99 Input/Byprodt/Scrap</v>
          </cell>
          <cell r="K4284" t="str">
            <v>10.2012</v>
          </cell>
          <cell r="L4284">
            <v>1</v>
          </cell>
          <cell r="M4284" t="str">
            <v>EA</v>
          </cell>
          <cell r="N4284">
            <v>315</v>
          </cell>
          <cell r="O4284" t="str">
            <v>INR</v>
          </cell>
        </row>
        <row r="4285">
          <cell r="A4285" t="str">
            <v>L003 Ankleshwar</v>
          </cell>
          <cell r="B4285">
            <v>657208</v>
          </cell>
          <cell r="C4285" t="str">
            <v>GLASS TUBE PG-20</v>
          </cell>
          <cell r="D4285" t="str">
            <v>L0030151                       EnggStore</v>
          </cell>
          <cell r="E4285">
            <v>0</v>
          </cell>
          <cell r="F4285" t="str">
            <v>ND No planning</v>
          </cell>
          <cell r="G4285" t="str">
            <v>ERSA Spare parts</v>
          </cell>
          <cell r="H4285" t="str">
            <v>EN017     InstrumentSpares</v>
          </cell>
          <cell r="I4285" t="str">
            <v>L003 Ankleshwar</v>
          </cell>
          <cell r="J4285" t="str">
            <v>99 Input/Byprodt/Scrap</v>
          </cell>
          <cell r="K4285" t="str">
            <v>10.2012</v>
          </cell>
          <cell r="L4285">
            <v>2</v>
          </cell>
          <cell r="M4285" t="str">
            <v>EA</v>
          </cell>
          <cell r="N4285">
            <v>11987.04</v>
          </cell>
          <cell r="O4285" t="str">
            <v>INR</v>
          </cell>
        </row>
        <row r="4286">
          <cell r="A4286" t="str">
            <v>L003 Ankleshwar</v>
          </cell>
          <cell r="B4286">
            <v>657209</v>
          </cell>
          <cell r="C4286" t="str">
            <v>TEFLONSEAL WITH RUBBER INSERT PG-20</v>
          </cell>
          <cell r="D4286" t="str">
            <v>L0030151                       EnggStore</v>
          </cell>
          <cell r="E4286">
            <v>0</v>
          </cell>
          <cell r="F4286" t="str">
            <v>ND No planning</v>
          </cell>
          <cell r="G4286" t="str">
            <v>ERSA Spare parts</v>
          </cell>
          <cell r="H4286" t="str">
            <v>EN017     InstrumentSpares</v>
          </cell>
          <cell r="I4286" t="str">
            <v>L003 Ankleshwar</v>
          </cell>
          <cell r="J4286" t="str">
            <v>99 Input/Byprodt/Scrap</v>
          </cell>
          <cell r="K4286" t="str">
            <v>10.2012</v>
          </cell>
          <cell r="L4286">
            <v>2</v>
          </cell>
          <cell r="M4286" t="str">
            <v>EA</v>
          </cell>
          <cell r="N4286">
            <v>2545.92</v>
          </cell>
          <cell r="O4286" t="str">
            <v>INR</v>
          </cell>
        </row>
        <row r="4287">
          <cell r="A4287" t="str">
            <v>L003 Ankleshwar</v>
          </cell>
          <cell r="B4287">
            <v>657238</v>
          </cell>
          <cell r="C4287" t="str">
            <v>COMPOSITE GASKET: P.NO.2-SHD-DR1:100MM</v>
          </cell>
          <cell r="D4287" t="str">
            <v>L0030151                       EnggStore</v>
          </cell>
          <cell r="E4287">
            <v>0</v>
          </cell>
          <cell r="F4287" t="str">
            <v>ND No planning</v>
          </cell>
          <cell r="G4287" t="str">
            <v>ERSA Spare parts</v>
          </cell>
          <cell r="H4287" t="str">
            <v>EN038     MechanicalSeals&amp;Spar</v>
          </cell>
          <cell r="I4287" t="str">
            <v>L003 Ankleshwar</v>
          </cell>
          <cell r="J4287" t="str">
            <v>99 Input/Byprodt/Scrap</v>
          </cell>
          <cell r="K4287" t="str">
            <v>10.2012</v>
          </cell>
          <cell r="L4287">
            <v>1</v>
          </cell>
          <cell r="M4287" t="str">
            <v>EA</v>
          </cell>
          <cell r="N4287">
            <v>4680</v>
          </cell>
          <cell r="O4287" t="str">
            <v>INR</v>
          </cell>
        </row>
        <row r="4288">
          <cell r="A4288" t="str">
            <v>L003 Ankleshwar</v>
          </cell>
          <cell r="B4288">
            <v>657248</v>
          </cell>
          <cell r="C4288" t="str">
            <v>INJECTION RING-AI&amp;II: UGRK-360-PT NO:311</v>
          </cell>
          <cell r="D4288" t="str">
            <v>L0030151                       EnggStore</v>
          </cell>
          <cell r="E4288">
            <v>0</v>
          </cell>
          <cell r="F4288" t="str">
            <v>ND No planning</v>
          </cell>
          <cell r="G4288" t="str">
            <v>ERSA Spare parts</v>
          </cell>
          <cell r="H4288" t="str">
            <v>EN037     Refrigeration&amp;A/Cspa</v>
          </cell>
          <cell r="I4288" t="str">
            <v>L003 Ankleshwar</v>
          </cell>
          <cell r="J4288" t="str">
            <v>99 Input/Byprodt/Scrap</v>
          </cell>
          <cell r="K4288" t="str">
            <v>10.2012</v>
          </cell>
          <cell r="L4288">
            <v>2</v>
          </cell>
          <cell r="M4288" t="str">
            <v>EA</v>
          </cell>
          <cell r="N4288">
            <v>1615</v>
          </cell>
          <cell r="O4288" t="str">
            <v>INR</v>
          </cell>
        </row>
        <row r="4289">
          <cell r="A4289" t="str">
            <v>L003 Ankleshwar</v>
          </cell>
          <cell r="B4289">
            <v>657249</v>
          </cell>
          <cell r="C4289" t="str">
            <v>INJECTION RING-BI&amp;II: UGRK-360 PT NO:313</v>
          </cell>
          <cell r="D4289" t="str">
            <v>L0030151                       EnggStore</v>
          </cell>
          <cell r="E4289">
            <v>0</v>
          </cell>
          <cell r="F4289" t="str">
            <v>ND No planning</v>
          </cell>
          <cell r="G4289" t="str">
            <v>ERSA Spare parts</v>
          </cell>
          <cell r="H4289" t="str">
            <v>EN037     Refrigeration&amp;A/Cspa</v>
          </cell>
          <cell r="I4289" t="str">
            <v>L003 Ankleshwar</v>
          </cell>
          <cell r="J4289" t="str">
            <v>99 Input/Byprodt/Scrap</v>
          </cell>
          <cell r="K4289" t="str">
            <v>10.2012</v>
          </cell>
          <cell r="L4289">
            <v>2</v>
          </cell>
          <cell r="M4289" t="str">
            <v>EA</v>
          </cell>
          <cell r="N4289">
            <v>1615</v>
          </cell>
          <cell r="O4289" t="str">
            <v>INR</v>
          </cell>
        </row>
        <row r="4290">
          <cell r="A4290" t="str">
            <v>L003 Ankleshwar</v>
          </cell>
          <cell r="B4290">
            <v>657311</v>
          </cell>
          <cell r="C4290" t="str">
            <v>DISTANCE BUSH: P.NO:UGRK-360 PT NO:319</v>
          </cell>
          <cell r="D4290" t="str">
            <v>L0030151                       EnggStore</v>
          </cell>
          <cell r="E4290">
            <v>0</v>
          </cell>
          <cell r="F4290" t="str">
            <v>ND No planning</v>
          </cell>
          <cell r="G4290" t="str">
            <v>ERSA Spare parts</v>
          </cell>
          <cell r="H4290" t="str">
            <v>EN037     Refrigeration&amp;A/Cspa</v>
          </cell>
          <cell r="I4290" t="str">
            <v>L003 Ankleshwar</v>
          </cell>
          <cell r="J4290" t="str">
            <v>99 Input/Byprodt/Scrap</v>
          </cell>
          <cell r="K4290" t="str">
            <v>10.2012</v>
          </cell>
          <cell r="L4290">
            <v>2</v>
          </cell>
          <cell r="M4290" t="str">
            <v>EA</v>
          </cell>
          <cell r="N4290">
            <v>2045</v>
          </cell>
          <cell r="O4290" t="str">
            <v>INR</v>
          </cell>
        </row>
        <row r="4291">
          <cell r="A4291" t="str">
            <v>L003 Ankleshwar</v>
          </cell>
          <cell r="B4291">
            <v>657312</v>
          </cell>
          <cell r="C4291" t="str">
            <v>DISTANCE RING: P.NO:UGRK-360 PT NO:321</v>
          </cell>
          <cell r="D4291" t="str">
            <v>L0030151                       EnggStore</v>
          </cell>
          <cell r="E4291" t="str">
            <v>E32 E32</v>
          </cell>
          <cell r="F4291" t="str">
            <v>VB Manual reorder point planning</v>
          </cell>
          <cell r="G4291" t="str">
            <v>ERSA Spare parts</v>
          </cell>
          <cell r="H4291" t="str">
            <v>EN018     UtilityEquipmentSpar</v>
          </cell>
          <cell r="I4291" t="str">
            <v>L003 Ankleshwar</v>
          </cell>
          <cell r="J4291" t="str">
            <v>99 Input/Byprodt/Scrap</v>
          </cell>
          <cell r="K4291" t="str">
            <v>10.2012</v>
          </cell>
          <cell r="L4291">
            <v>1</v>
          </cell>
          <cell r="M4291" t="str">
            <v>EA</v>
          </cell>
          <cell r="N4291">
            <v>1035</v>
          </cell>
          <cell r="O4291" t="str">
            <v>INR</v>
          </cell>
        </row>
        <row r="4292">
          <cell r="A4292" t="str">
            <v>L003 Ankleshwar</v>
          </cell>
          <cell r="B4292">
            <v>657313</v>
          </cell>
          <cell r="C4292" t="str">
            <v>O-RING: P.NO:UGRK-360 PT NO:322</v>
          </cell>
          <cell r="D4292" t="str">
            <v>L0030151                       EnggStore</v>
          </cell>
          <cell r="E4292" t="str">
            <v>E32 E32</v>
          </cell>
          <cell r="F4292" t="str">
            <v>VB Manual reorder point planning</v>
          </cell>
          <cell r="G4292" t="str">
            <v>ERSA Spare parts</v>
          </cell>
          <cell r="H4292" t="str">
            <v>EN018     UtilityEquipmentSpar</v>
          </cell>
          <cell r="I4292" t="str">
            <v>L003 Ankleshwar</v>
          </cell>
          <cell r="J4292" t="str">
            <v>99 Input/Byprodt/Scrap</v>
          </cell>
          <cell r="K4292" t="str">
            <v>10.2012</v>
          </cell>
          <cell r="L4292">
            <v>4</v>
          </cell>
          <cell r="M4292" t="str">
            <v>EA</v>
          </cell>
          <cell r="N4292">
            <v>288</v>
          </cell>
          <cell r="O4292" t="str">
            <v>INR</v>
          </cell>
        </row>
        <row r="4293">
          <cell r="A4293" t="str">
            <v>L003 Ankleshwar</v>
          </cell>
          <cell r="B4293">
            <v>657315</v>
          </cell>
          <cell r="C4293" t="str">
            <v>GASKET FOR CASING MAIN COVER:UGRK-360</v>
          </cell>
          <cell r="D4293" t="str">
            <v>L0030151                       EnggStore</v>
          </cell>
          <cell r="E4293">
            <v>0</v>
          </cell>
          <cell r="F4293" t="str">
            <v>ND No planning</v>
          </cell>
          <cell r="G4293" t="str">
            <v>ERSA Spare parts</v>
          </cell>
          <cell r="H4293" t="str">
            <v>EN037     Refrigeration&amp;A/Cspa</v>
          </cell>
          <cell r="I4293" t="str">
            <v>L003 Ankleshwar</v>
          </cell>
          <cell r="J4293" t="str">
            <v>99 Input/Byprodt/Scrap</v>
          </cell>
          <cell r="K4293" t="str">
            <v>10.2012</v>
          </cell>
          <cell r="L4293">
            <v>2</v>
          </cell>
          <cell r="M4293" t="str">
            <v>EA</v>
          </cell>
          <cell r="N4293">
            <v>2508</v>
          </cell>
          <cell r="O4293" t="str">
            <v>INR</v>
          </cell>
        </row>
        <row r="4294">
          <cell r="A4294" t="str">
            <v>L003 Ankleshwar</v>
          </cell>
          <cell r="B4294">
            <v>657316</v>
          </cell>
          <cell r="C4294" t="str">
            <v>GASKET FOR MAIN COVER/OUTER COVER</v>
          </cell>
          <cell r="D4294" t="str">
            <v>L0030151                       EnggStore</v>
          </cell>
          <cell r="E4294">
            <v>0</v>
          </cell>
          <cell r="F4294" t="str">
            <v>ND No planning</v>
          </cell>
          <cell r="G4294" t="str">
            <v>ERSA Spare parts</v>
          </cell>
          <cell r="H4294" t="str">
            <v>EN037     Refrigeration&amp;A/Cspa</v>
          </cell>
          <cell r="I4294" t="str">
            <v>L003 Ankleshwar</v>
          </cell>
          <cell r="J4294" t="str">
            <v>99 Input/Byprodt/Scrap</v>
          </cell>
          <cell r="K4294" t="str">
            <v>10.2012</v>
          </cell>
          <cell r="L4294">
            <v>2</v>
          </cell>
          <cell r="M4294" t="str">
            <v>EA</v>
          </cell>
          <cell r="N4294">
            <v>1859.16</v>
          </cell>
          <cell r="O4294" t="str">
            <v>INR</v>
          </cell>
        </row>
        <row r="4295">
          <cell r="A4295" t="str">
            <v>L003 Ankleshwar</v>
          </cell>
          <cell r="B4295">
            <v>657317</v>
          </cell>
          <cell r="C4295" t="str">
            <v>OIL LEVEL INDICATOR: UGRK-360 PT NO:337</v>
          </cell>
          <cell r="D4295" t="str">
            <v>L0030151                       EnggStore</v>
          </cell>
          <cell r="E4295" t="str">
            <v>E32 E32</v>
          </cell>
          <cell r="F4295" t="str">
            <v>VB Manual reorder point planning</v>
          </cell>
          <cell r="G4295" t="str">
            <v>ERSA Spare parts</v>
          </cell>
          <cell r="H4295" t="str">
            <v>EN037     Refrigeration&amp;A/Cspa</v>
          </cell>
          <cell r="I4295" t="str">
            <v>L003 Ankleshwar</v>
          </cell>
          <cell r="J4295" t="str">
            <v>99 Input/Byprodt/Scrap</v>
          </cell>
          <cell r="K4295" t="str">
            <v>10.2012</v>
          </cell>
          <cell r="L4295">
            <v>1</v>
          </cell>
          <cell r="M4295" t="str">
            <v>EA</v>
          </cell>
          <cell r="N4295">
            <v>359.63999999999902</v>
          </cell>
          <cell r="O4295" t="str">
            <v>INR</v>
          </cell>
        </row>
        <row r="4296">
          <cell r="A4296" t="str">
            <v>L003 Ankleshwar</v>
          </cell>
          <cell r="B4296">
            <v>657318</v>
          </cell>
          <cell r="C4296" t="str">
            <v>AIR BREATHER: P.NO:UGRK-360 PT NO:357</v>
          </cell>
          <cell r="D4296" t="str">
            <v>L0030151                       EnggStore</v>
          </cell>
          <cell r="E4296" t="str">
            <v>E32 E32</v>
          </cell>
          <cell r="F4296" t="str">
            <v>VB Manual reorder point planning</v>
          </cell>
          <cell r="G4296" t="str">
            <v>ERSA Spare parts</v>
          </cell>
          <cell r="H4296" t="str">
            <v>EN037     Refrigeration&amp;A/Cspa</v>
          </cell>
          <cell r="I4296" t="str">
            <v>L003 Ankleshwar</v>
          </cell>
          <cell r="J4296" t="str">
            <v>99 Input/Byprodt/Scrap</v>
          </cell>
          <cell r="K4296" t="str">
            <v>10.2012</v>
          </cell>
          <cell r="L4296">
            <v>2</v>
          </cell>
          <cell r="M4296" t="str">
            <v>EA</v>
          </cell>
          <cell r="N4296">
            <v>612.48</v>
          </cell>
          <cell r="O4296" t="str">
            <v>INR</v>
          </cell>
        </row>
        <row r="4297">
          <cell r="A4297" t="str">
            <v>L003 Ankleshwar</v>
          </cell>
          <cell r="B4297">
            <v>657365</v>
          </cell>
          <cell r="C4297" t="str">
            <v>MS STUD M 10 X 25 : M3471150</v>
          </cell>
          <cell r="D4297" t="str">
            <v>L0030151                       EnggStore</v>
          </cell>
          <cell r="E4297">
            <v>0</v>
          </cell>
          <cell r="F4297" t="str">
            <v>ND No planning</v>
          </cell>
          <cell r="G4297" t="str">
            <v>ERSA Spare parts</v>
          </cell>
          <cell r="H4297" t="str">
            <v>EN037     Refrigeration&amp;A/Cspa</v>
          </cell>
          <cell r="I4297" t="str">
            <v>L003 Ankleshwar</v>
          </cell>
          <cell r="J4297" t="str">
            <v>99 Input/Byprodt/Scrap</v>
          </cell>
          <cell r="K4297" t="str">
            <v>10.2012</v>
          </cell>
          <cell r="L4297">
            <v>6</v>
          </cell>
          <cell r="M4297" t="str">
            <v>EA</v>
          </cell>
          <cell r="N4297">
            <v>162</v>
          </cell>
          <cell r="O4297" t="str">
            <v>INR</v>
          </cell>
        </row>
        <row r="4298">
          <cell r="A4298" t="str">
            <v>L003 Ankleshwar</v>
          </cell>
          <cell r="B4298">
            <v>657366</v>
          </cell>
          <cell r="C4298" t="str">
            <v>MS NUT M 10: M2049150</v>
          </cell>
          <cell r="D4298" t="str">
            <v>L0030151                       EnggStore</v>
          </cell>
          <cell r="E4298">
            <v>0</v>
          </cell>
          <cell r="F4298" t="str">
            <v>ND No planning</v>
          </cell>
          <cell r="G4298" t="str">
            <v>ERSA Spare parts</v>
          </cell>
          <cell r="H4298" t="str">
            <v>EN037     Refrigeration&amp;A/Cspa</v>
          </cell>
          <cell r="I4298" t="str">
            <v>L003 Ankleshwar</v>
          </cell>
          <cell r="J4298" t="str">
            <v>99 Input/Byprodt/Scrap</v>
          </cell>
          <cell r="K4298" t="str">
            <v>10.2012</v>
          </cell>
          <cell r="L4298">
            <v>6</v>
          </cell>
          <cell r="M4298" t="str">
            <v>EA</v>
          </cell>
          <cell r="N4298">
            <v>77.760000000000005</v>
          </cell>
          <cell r="O4298" t="str">
            <v>INR</v>
          </cell>
        </row>
        <row r="4299">
          <cell r="A4299" t="str">
            <v>L003 Ankleshwar</v>
          </cell>
          <cell r="B4299">
            <v>657385</v>
          </cell>
          <cell r="C4299" t="str">
            <v>BALL FLOAT FOR STEAM TRAP-CI-S/T: 25MM</v>
          </cell>
          <cell r="D4299" t="str">
            <v>L0030151                       EnggStore</v>
          </cell>
          <cell r="E4299" t="str">
            <v>E31 E31</v>
          </cell>
          <cell r="F4299" t="str">
            <v>VB Manual reorder point planning</v>
          </cell>
          <cell r="G4299" t="str">
            <v>ERSA Spare parts</v>
          </cell>
          <cell r="H4299" t="str">
            <v>EN028     Pipes&amp;pipefittings</v>
          </cell>
          <cell r="I4299" t="str">
            <v>L003 Ankleshwar</v>
          </cell>
          <cell r="J4299" t="str">
            <v>99 Input/Byprodt/Scrap</v>
          </cell>
          <cell r="K4299" t="str">
            <v>10.2012</v>
          </cell>
          <cell r="L4299">
            <v>2</v>
          </cell>
          <cell r="M4299" t="str">
            <v>EA</v>
          </cell>
          <cell r="N4299">
            <v>3414.96</v>
          </cell>
          <cell r="O4299" t="str">
            <v>INR</v>
          </cell>
        </row>
        <row r="4300">
          <cell r="A4300" t="str">
            <v>L003 Ankleshwar</v>
          </cell>
          <cell r="B4300">
            <v>657394</v>
          </cell>
          <cell r="C4300" t="str">
            <v>SILICON SEALANT INJ.GLASS-METAL 280ML</v>
          </cell>
          <cell r="D4300" t="str">
            <v>L0030151                       EnggStore</v>
          </cell>
          <cell r="E4300" t="str">
            <v>E35 E35</v>
          </cell>
          <cell r="F4300" t="str">
            <v>VB Manual reorder point planning</v>
          </cell>
          <cell r="G4300" t="str">
            <v>ERSA Spare parts</v>
          </cell>
          <cell r="H4300" t="str">
            <v>EN020     RubberItems&amp;Oil Seal</v>
          </cell>
          <cell r="I4300" t="str">
            <v>L003 Ankleshwar</v>
          </cell>
          <cell r="J4300" t="str">
            <v>99 Input/Byprodt/Scrap</v>
          </cell>
          <cell r="K4300" t="str">
            <v>10.2012</v>
          </cell>
          <cell r="L4300">
            <v>3</v>
          </cell>
          <cell r="M4300" t="str">
            <v>EA</v>
          </cell>
          <cell r="N4300">
            <v>306</v>
          </cell>
          <cell r="O4300" t="str">
            <v>INR</v>
          </cell>
        </row>
        <row r="4301">
          <cell r="A4301" t="str">
            <v>L003 Ankleshwar</v>
          </cell>
          <cell r="B4301">
            <v>657399</v>
          </cell>
          <cell r="C4301" t="str">
            <v>TORQUE WRENCH RANGE 50-250NM</v>
          </cell>
          <cell r="D4301" t="str">
            <v>L0030151                       EnggStore</v>
          </cell>
          <cell r="E4301">
            <v>0</v>
          </cell>
          <cell r="F4301" t="str">
            <v>ND No planning</v>
          </cell>
          <cell r="G4301" t="str">
            <v>ERSA Spare parts</v>
          </cell>
          <cell r="H4301" t="str">
            <v>EN036     Tools&amp;tackles</v>
          </cell>
          <cell r="I4301" t="str">
            <v>L003 Ankleshwar</v>
          </cell>
          <cell r="J4301" t="str">
            <v>99 Input/Byprodt/Scrap</v>
          </cell>
          <cell r="K4301" t="str">
            <v>10.2012</v>
          </cell>
          <cell r="L4301">
            <v>1</v>
          </cell>
          <cell r="M4301" t="str">
            <v>EA</v>
          </cell>
          <cell r="N4301">
            <v>9073.3299999999908</v>
          </cell>
          <cell r="O4301" t="str">
            <v>INR</v>
          </cell>
        </row>
        <row r="4302">
          <cell r="A4302" t="str">
            <v>L003 Ankleshwar</v>
          </cell>
          <cell r="B4302">
            <v>657402</v>
          </cell>
          <cell r="C4302" t="str">
            <v>STATIONARY FACE TC-DA-SSDB-E2-1555(1397)</v>
          </cell>
          <cell r="D4302" t="str">
            <v>L0030151                       EnggStore</v>
          </cell>
          <cell r="E4302">
            <v>0</v>
          </cell>
          <cell r="F4302" t="str">
            <v>ND No planning</v>
          </cell>
          <cell r="G4302" t="str">
            <v>ERSA Spare parts</v>
          </cell>
          <cell r="H4302" t="str">
            <v>EN038     MechanicalSeals&amp;Spar</v>
          </cell>
          <cell r="I4302" t="str">
            <v>L003 Ankleshwar</v>
          </cell>
          <cell r="J4302" t="str">
            <v>99 Input/Byprodt/Scrap</v>
          </cell>
          <cell r="K4302" t="str">
            <v>10.2012</v>
          </cell>
          <cell r="L4302">
            <v>1</v>
          </cell>
          <cell r="M4302" t="str">
            <v>EA</v>
          </cell>
          <cell r="N4302">
            <v>25008.52</v>
          </cell>
          <cell r="O4302" t="str">
            <v>INR</v>
          </cell>
        </row>
        <row r="4303">
          <cell r="A4303" t="str">
            <v>L003 Ankleshwar</v>
          </cell>
          <cell r="B4303">
            <v>657409</v>
          </cell>
          <cell r="C4303" t="str">
            <v>PTFE GLAND PKG: 4MM</v>
          </cell>
          <cell r="D4303" t="str">
            <v>L0030151                       EnggStore</v>
          </cell>
          <cell r="E4303">
            <v>0</v>
          </cell>
          <cell r="F4303" t="str">
            <v>ND No planning</v>
          </cell>
          <cell r="G4303" t="str">
            <v>ERSA Spare parts</v>
          </cell>
          <cell r="H4303" t="str">
            <v>EN024     EnggConsumables</v>
          </cell>
          <cell r="I4303" t="str">
            <v>L003 Ankleshwar</v>
          </cell>
          <cell r="J4303" t="str">
            <v>99 Input/Byprodt/Scrap</v>
          </cell>
          <cell r="K4303" t="str">
            <v>10.2012</v>
          </cell>
          <cell r="L4303">
            <v>10</v>
          </cell>
          <cell r="M4303" t="str">
            <v>M</v>
          </cell>
          <cell r="N4303">
            <v>959</v>
          </cell>
          <cell r="O4303" t="str">
            <v>INR</v>
          </cell>
        </row>
        <row r="4304">
          <cell r="A4304" t="str">
            <v>L003 Ankleshwar</v>
          </cell>
          <cell r="B4304">
            <v>657410</v>
          </cell>
          <cell r="C4304" t="str">
            <v>CI SEMI OPEN IMPELLER: KPD 50/16-QF</v>
          </cell>
          <cell r="D4304" t="str">
            <v>L0030151                       EnggStore</v>
          </cell>
          <cell r="E4304" t="str">
            <v>E34 E34</v>
          </cell>
          <cell r="F4304" t="str">
            <v>VB Manual reorder point planning</v>
          </cell>
          <cell r="G4304" t="str">
            <v>ERSA Spare parts</v>
          </cell>
          <cell r="H4304" t="str">
            <v>EN032     Pumpspares</v>
          </cell>
          <cell r="I4304" t="str">
            <v>L003 Ankleshwar</v>
          </cell>
          <cell r="J4304" t="str">
            <v>99 Input/Byprodt/Scrap</v>
          </cell>
          <cell r="K4304" t="str">
            <v>10.2012</v>
          </cell>
          <cell r="L4304">
            <v>1</v>
          </cell>
          <cell r="M4304" t="str">
            <v>EA</v>
          </cell>
          <cell r="N4304">
            <v>1636.25</v>
          </cell>
          <cell r="O4304" t="str">
            <v>INR</v>
          </cell>
        </row>
        <row r="4305">
          <cell r="A4305" t="str">
            <v>L003 Ankleshwar</v>
          </cell>
          <cell r="B4305">
            <v>657412</v>
          </cell>
          <cell r="C4305" t="str">
            <v>CASING GASKET: KPD 50/16-QF</v>
          </cell>
          <cell r="D4305" t="str">
            <v>L0030151                       EnggStore</v>
          </cell>
          <cell r="E4305" t="str">
            <v>E34 E34</v>
          </cell>
          <cell r="F4305" t="str">
            <v>VB Manual reorder point planning</v>
          </cell>
          <cell r="G4305" t="str">
            <v>ERSA Spare parts</v>
          </cell>
          <cell r="H4305" t="str">
            <v>EN032     Pumpspares</v>
          </cell>
          <cell r="I4305" t="str">
            <v>L003 Ankleshwar</v>
          </cell>
          <cell r="J4305" t="str">
            <v>99 Input/Byprodt/Scrap</v>
          </cell>
          <cell r="K4305" t="str">
            <v>10.2012</v>
          </cell>
          <cell r="L4305">
            <v>10</v>
          </cell>
          <cell r="M4305" t="str">
            <v>EA</v>
          </cell>
          <cell r="N4305">
            <v>862.2</v>
          </cell>
          <cell r="O4305" t="str">
            <v>INR</v>
          </cell>
        </row>
        <row r="4306">
          <cell r="A4306" t="str">
            <v>L003 Ankleshwar</v>
          </cell>
          <cell r="B4306">
            <v>657413</v>
          </cell>
          <cell r="C4306" t="str">
            <v>V-BELT: SPC-2800</v>
          </cell>
          <cell r="D4306" t="str">
            <v>L0030151                       EnggStore</v>
          </cell>
          <cell r="E4306" t="str">
            <v>E35 E35</v>
          </cell>
          <cell r="F4306" t="str">
            <v>VB Manual reorder point planning</v>
          </cell>
          <cell r="G4306" t="str">
            <v>ERSA Spare parts</v>
          </cell>
          <cell r="H4306" t="str">
            <v>EN021     VbeltCoupling&amp;Pulley</v>
          </cell>
          <cell r="I4306" t="str">
            <v>L003 Ankleshwar</v>
          </cell>
          <cell r="J4306" t="str">
            <v>99 Input/Byprodt/Scrap</v>
          </cell>
          <cell r="K4306" t="str">
            <v>10.2012</v>
          </cell>
          <cell r="L4306">
            <v>4</v>
          </cell>
          <cell r="M4306" t="str">
            <v>EA</v>
          </cell>
          <cell r="N4306">
            <v>2854.1599999999899</v>
          </cell>
          <cell r="O4306" t="str">
            <v>INR</v>
          </cell>
        </row>
        <row r="4307">
          <cell r="A4307" t="str">
            <v>L003 Ankleshwar</v>
          </cell>
          <cell r="B4307">
            <v>657417</v>
          </cell>
          <cell r="C4307" t="str">
            <v>DIGITAL TEMPERATURE CONTROLLER-RTD:PT100</v>
          </cell>
          <cell r="D4307" t="str">
            <v>L0030151                       EnggStore</v>
          </cell>
          <cell r="E4307">
            <v>0</v>
          </cell>
          <cell r="F4307" t="str">
            <v>ND No planning</v>
          </cell>
          <cell r="G4307" t="str">
            <v>ERSA Spare parts</v>
          </cell>
          <cell r="H4307" t="str">
            <v>EN017     InstrumentSpares</v>
          </cell>
          <cell r="I4307" t="str">
            <v>L003 Ankleshwar</v>
          </cell>
          <cell r="J4307" t="str">
            <v>99 Input/Byprodt/Scrap</v>
          </cell>
          <cell r="K4307" t="str">
            <v>10.2012</v>
          </cell>
          <cell r="L4307">
            <v>1</v>
          </cell>
          <cell r="M4307" t="str">
            <v>EA</v>
          </cell>
          <cell r="N4307">
            <v>1603.95</v>
          </cell>
          <cell r="O4307" t="str">
            <v>INR</v>
          </cell>
        </row>
        <row r="4308">
          <cell r="A4308" t="str">
            <v>L003 Ankleshwar</v>
          </cell>
          <cell r="B4308">
            <v>657430</v>
          </cell>
          <cell r="C4308" t="str">
            <v>CONTACTOR KIT:3TF 35 Cat 3TY7 350-0C</v>
          </cell>
          <cell r="D4308" t="str">
            <v>L0030151                       EnggStore</v>
          </cell>
          <cell r="E4308">
            <v>0</v>
          </cell>
          <cell r="F4308" t="str">
            <v>ND No planning</v>
          </cell>
          <cell r="G4308" t="str">
            <v>ERSA Spare parts</v>
          </cell>
          <cell r="H4308" t="str">
            <v>EN006     Elec Switchgear</v>
          </cell>
          <cell r="I4308" t="str">
            <v>L003 Ankleshwar</v>
          </cell>
          <cell r="J4308" t="str">
            <v>99 Input/Byprodt/Scrap</v>
          </cell>
          <cell r="K4308" t="str">
            <v>10.2012</v>
          </cell>
          <cell r="L4308">
            <v>2</v>
          </cell>
          <cell r="M4308" t="str">
            <v>EA</v>
          </cell>
          <cell r="N4308">
            <v>2710.73</v>
          </cell>
          <cell r="O4308" t="str">
            <v>INR</v>
          </cell>
        </row>
        <row r="4309">
          <cell r="A4309" t="str">
            <v>L003 Ankleshwar</v>
          </cell>
          <cell r="B4309">
            <v>657436</v>
          </cell>
          <cell r="C4309" t="str">
            <v>CASTLE MAKE MAGNETIC COILE, TYPE:HM2</v>
          </cell>
          <cell r="D4309" t="str">
            <v>L0030151                       EnggStore</v>
          </cell>
          <cell r="E4309" t="str">
            <v>E01 E01</v>
          </cell>
          <cell r="F4309" t="str">
            <v>ND No planning</v>
          </cell>
          <cell r="G4309" t="str">
            <v>ERSA Spare parts</v>
          </cell>
          <cell r="H4309" t="str">
            <v>EN017     InstrumentSpares</v>
          </cell>
          <cell r="I4309" t="str">
            <v>L003 Ankleshwar</v>
          </cell>
          <cell r="J4309" t="str">
            <v>99 Input/Byprodt/Scrap</v>
          </cell>
          <cell r="K4309" t="str">
            <v>10.2012</v>
          </cell>
          <cell r="L4309">
            <v>1</v>
          </cell>
          <cell r="M4309" t="str">
            <v>EA</v>
          </cell>
          <cell r="N4309">
            <v>565</v>
          </cell>
          <cell r="O4309" t="str">
            <v>INR</v>
          </cell>
        </row>
        <row r="4310">
          <cell r="A4310" t="str">
            <v>L003 Ankleshwar</v>
          </cell>
          <cell r="B4310">
            <v>657439</v>
          </cell>
          <cell r="C4310" t="str">
            <v>FILTER MESH FOR STRAINER TA5/FA15</v>
          </cell>
          <cell r="D4310" t="str">
            <v>L0030151                       EnggStore</v>
          </cell>
          <cell r="E4310">
            <v>0</v>
          </cell>
          <cell r="F4310" t="str">
            <v>ND No planning</v>
          </cell>
          <cell r="G4310" t="str">
            <v>ERSA Spare parts</v>
          </cell>
          <cell r="H4310" t="str">
            <v>EN017     InstrumentSpares</v>
          </cell>
          <cell r="I4310" t="str">
            <v>L003 Ankleshwar</v>
          </cell>
          <cell r="J4310" t="str">
            <v>99 Input/Byprodt/Scrap</v>
          </cell>
          <cell r="K4310" t="str">
            <v>10.2012</v>
          </cell>
          <cell r="L4310">
            <v>5</v>
          </cell>
          <cell r="M4310" t="str">
            <v>EA</v>
          </cell>
          <cell r="N4310">
            <v>2230.7399999999898</v>
          </cell>
          <cell r="O4310" t="str">
            <v>INR</v>
          </cell>
        </row>
        <row r="4311">
          <cell r="A4311" t="str">
            <v>L003 Ankleshwar</v>
          </cell>
          <cell r="B4311">
            <v>657447</v>
          </cell>
          <cell r="C4311" t="str">
            <v>NEOPRENE OIL SEAL: 145X170X15</v>
          </cell>
          <cell r="D4311" t="str">
            <v>L0030151                       EnggStore</v>
          </cell>
          <cell r="E4311" t="str">
            <v>E35 E35</v>
          </cell>
          <cell r="F4311" t="str">
            <v>VB Manual reorder point planning</v>
          </cell>
          <cell r="G4311" t="str">
            <v>ERSA Spare parts</v>
          </cell>
          <cell r="H4311" t="str">
            <v>EN020     RubberItems&amp;Oil Seal</v>
          </cell>
          <cell r="I4311" t="str">
            <v>L003 Ankleshwar</v>
          </cell>
          <cell r="J4311" t="str">
            <v>99 Input/Byprodt/Scrap</v>
          </cell>
          <cell r="K4311" t="str">
            <v>10.2012</v>
          </cell>
          <cell r="L4311">
            <v>2</v>
          </cell>
          <cell r="M4311" t="str">
            <v>EA</v>
          </cell>
          <cell r="N4311">
            <v>115.2</v>
          </cell>
          <cell r="O4311" t="str">
            <v>INR</v>
          </cell>
        </row>
        <row r="4312">
          <cell r="A4312" t="str">
            <v>L003 Ankleshwar</v>
          </cell>
          <cell r="B4312">
            <v>657471</v>
          </cell>
          <cell r="C4312" t="str">
            <v>SS-SHAFT SLEEVE: KPD-50/16-QF</v>
          </cell>
          <cell r="D4312" t="str">
            <v>L0030151                       EnggStore</v>
          </cell>
          <cell r="E4312" t="str">
            <v>E34 E34</v>
          </cell>
          <cell r="F4312" t="str">
            <v>VB Manual reorder point planning</v>
          </cell>
          <cell r="G4312" t="str">
            <v>ERSA Spare parts</v>
          </cell>
          <cell r="H4312" t="str">
            <v>EN032     Pumpspares</v>
          </cell>
          <cell r="I4312" t="str">
            <v>L003 Ankleshwar</v>
          </cell>
          <cell r="J4312" t="str">
            <v>99 Input/Byprodt/Scrap</v>
          </cell>
          <cell r="K4312" t="str">
            <v>10.2012</v>
          </cell>
          <cell r="L4312">
            <v>2</v>
          </cell>
          <cell r="M4312" t="str">
            <v>EA</v>
          </cell>
          <cell r="N4312">
            <v>2788.9299999999898</v>
          </cell>
          <cell r="O4312" t="str">
            <v>INR</v>
          </cell>
        </row>
        <row r="4313">
          <cell r="A4313" t="str">
            <v>L003 Ankleshwar</v>
          </cell>
          <cell r="B4313">
            <v>657472</v>
          </cell>
          <cell r="C4313" t="str">
            <v>IMPELLER NUT-MS: KPD-50/16-QF</v>
          </cell>
          <cell r="D4313" t="str">
            <v>L0030151                       EnggStore</v>
          </cell>
          <cell r="E4313" t="str">
            <v>E34 E34</v>
          </cell>
          <cell r="F4313" t="str">
            <v>VB Manual reorder point planning</v>
          </cell>
          <cell r="G4313" t="str">
            <v>ERSA Spare parts</v>
          </cell>
          <cell r="H4313" t="str">
            <v>EN032     Pumpspares</v>
          </cell>
          <cell r="I4313" t="str">
            <v>L003 Ankleshwar</v>
          </cell>
          <cell r="J4313" t="str">
            <v>99 Input/Byprodt/Scrap</v>
          </cell>
          <cell r="K4313" t="str">
            <v>10.2012</v>
          </cell>
          <cell r="L4313">
            <v>4</v>
          </cell>
          <cell r="M4313" t="str">
            <v>EA</v>
          </cell>
          <cell r="N4313">
            <v>2469.75</v>
          </cell>
          <cell r="O4313" t="str">
            <v>INR</v>
          </cell>
        </row>
        <row r="4314">
          <cell r="A4314" t="str">
            <v>L003 Ankleshwar</v>
          </cell>
          <cell r="B4314">
            <v>657473</v>
          </cell>
          <cell r="C4314" t="str">
            <v>CI-CASING COVER: KPD-50/16-QF</v>
          </cell>
          <cell r="D4314" t="str">
            <v>L0030151                       EnggStore</v>
          </cell>
          <cell r="E4314">
            <v>0</v>
          </cell>
          <cell r="F4314" t="str">
            <v>ND No planning</v>
          </cell>
          <cell r="G4314" t="str">
            <v>ERSA Spare parts</v>
          </cell>
          <cell r="H4314" t="str">
            <v>EN032     Pumpspares</v>
          </cell>
          <cell r="I4314" t="str">
            <v>L003 Ankleshwar</v>
          </cell>
          <cell r="J4314" t="str">
            <v>99 Input/Byprodt/Scrap</v>
          </cell>
          <cell r="K4314" t="str">
            <v>10.2012</v>
          </cell>
          <cell r="L4314">
            <v>1</v>
          </cell>
          <cell r="M4314" t="str">
            <v>EA</v>
          </cell>
          <cell r="N4314">
            <v>4730.25</v>
          </cell>
          <cell r="O4314" t="str">
            <v>INR</v>
          </cell>
        </row>
        <row r="4315">
          <cell r="A4315" t="str">
            <v>L003 Ankleshwar</v>
          </cell>
          <cell r="B4315">
            <v>657474</v>
          </cell>
          <cell r="C4315" t="str">
            <v>CI-CASING: KPD-50/13-QF</v>
          </cell>
          <cell r="D4315" t="str">
            <v>L0030151                       EnggStore</v>
          </cell>
          <cell r="E4315">
            <v>0</v>
          </cell>
          <cell r="F4315" t="str">
            <v>ND No planning</v>
          </cell>
          <cell r="G4315" t="str">
            <v>ERSA Spare parts</v>
          </cell>
          <cell r="H4315" t="str">
            <v>EN032     Pumpspares</v>
          </cell>
          <cell r="I4315" t="str">
            <v>L003 Ankleshwar</v>
          </cell>
          <cell r="J4315" t="str">
            <v>99 Input/Byprodt/Scrap</v>
          </cell>
          <cell r="K4315" t="str">
            <v>10.2012</v>
          </cell>
          <cell r="L4315">
            <v>1</v>
          </cell>
          <cell r="M4315" t="str">
            <v>EA</v>
          </cell>
          <cell r="N4315">
            <v>7006.13</v>
          </cell>
          <cell r="O4315" t="str">
            <v>INR</v>
          </cell>
        </row>
        <row r="4316">
          <cell r="A4316" t="str">
            <v>L003 Ankleshwar</v>
          </cell>
          <cell r="B4316">
            <v>657475</v>
          </cell>
          <cell r="C4316" t="str">
            <v>SS-SHAFT SLEEVE: KPD-50/13-QF</v>
          </cell>
          <cell r="D4316" t="str">
            <v>L0030151                       EnggStore</v>
          </cell>
          <cell r="E4316" t="str">
            <v>E34 E34</v>
          </cell>
          <cell r="F4316" t="str">
            <v>VB Manual reorder point planning</v>
          </cell>
          <cell r="G4316" t="str">
            <v>ERSA Spare parts</v>
          </cell>
          <cell r="H4316" t="str">
            <v>EN032     Pumpspares</v>
          </cell>
          <cell r="I4316" t="str">
            <v>L003 Ankleshwar</v>
          </cell>
          <cell r="J4316" t="str">
            <v>99 Input/Byprodt/Scrap</v>
          </cell>
          <cell r="K4316" t="str">
            <v>10.2012</v>
          </cell>
          <cell r="L4316">
            <v>3</v>
          </cell>
          <cell r="M4316" t="str">
            <v>EA</v>
          </cell>
          <cell r="N4316">
            <v>4412.3599999999897</v>
          </cell>
          <cell r="O4316" t="str">
            <v>INR</v>
          </cell>
        </row>
        <row r="4317">
          <cell r="A4317" t="str">
            <v>L003 Ankleshwar</v>
          </cell>
          <cell r="B4317">
            <v>657476</v>
          </cell>
          <cell r="C4317" t="str">
            <v>MS-SHAFT: KPD-50/13-QF</v>
          </cell>
          <cell r="D4317" t="str">
            <v>L0030151                       EnggStore</v>
          </cell>
          <cell r="E4317" t="str">
            <v>E34 E34</v>
          </cell>
          <cell r="F4317" t="str">
            <v>VB Manual reorder point planning</v>
          </cell>
          <cell r="G4317" t="str">
            <v>ERSA Spare parts</v>
          </cell>
          <cell r="H4317" t="str">
            <v>EN032     Pumpspares</v>
          </cell>
          <cell r="I4317" t="str">
            <v>L003 Ankleshwar</v>
          </cell>
          <cell r="J4317" t="str">
            <v>99 Input/Byprodt/Scrap</v>
          </cell>
          <cell r="K4317" t="str">
            <v>10.2012</v>
          </cell>
          <cell r="L4317">
            <v>1</v>
          </cell>
          <cell r="M4317" t="str">
            <v>EA</v>
          </cell>
          <cell r="N4317">
            <v>2705.6199999999899</v>
          </cell>
          <cell r="O4317" t="str">
            <v>INR</v>
          </cell>
        </row>
        <row r="4318">
          <cell r="A4318" t="str">
            <v>L003 Ankleshwar</v>
          </cell>
          <cell r="B4318">
            <v>657478</v>
          </cell>
          <cell r="C4318" t="str">
            <v>CI-CASING COVER: KPD-50/13-QF</v>
          </cell>
          <cell r="D4318" t="str">
            <v>L0030151                       EnggStore</v>
          </cell>
          <cell r="E4318">
            <v>0</v>
          </cell>
          <cell r="F4318" t="str">
            <v>ND No planning</v>
          </cell>
          <cell r="G4318" t="str">
            <v>ERSA Spare parts</v>
          </cell>
          <cell r="H4318" t="str">
            <v>EN032     Pumpspares</v>
          </cell>
          <cell r="I4318" t="str">
            <v>L003 Ankleshwar</v>
          </cell>
          <cell r="J4318" t="str">
            <v>99 Input/Byprodt/Scrap</v>
          </cell>
          <cell r="K4318" t="str">
            <v>10.2012</v>
          </cell>
          <cell r="L4318">
            <v>1</v>
          </cell>
          <cell r="M4318" t="str">
            <v>EA</v>
          </cell>
          <cell r="N4318">
            <v>3882.38</v>
          </cell>
          <cell r="O4318" t="str">
            <v>INR</v>
          </cell>
        </row>
        <row r="4319">
          <cell r="A4319" t="str">
            <v>L003 Ankleshwar</v>
          </cell>
          <cell r="B4319">
            <v>657480</v>
          </cell>
          <cell r="C4319" t="str">
            <v>IMPELLER NUT-MS: KPD-50/13-QF</v>
          </cell>
          <cell r="D4319" t="str">
            <v>L0030151                       EnggStore</v>
          </cell>
          <cell r="E4319" t="str">
            <v>E34 E34</v>
          </cell>
          <cell r="F4319" t="str">
            <v>VB Manual reorder point planning</v>
          </cell>
          <cell r="G4319" t="str">
            <v>ERSA Spare parts</v>
          </cell>
          <cell r="H4319" t="str">
            <v>EN032     Pumpspares</v>
          </cell>
          <cell r="I4319" t="str">
            <v>L003 Ankleshwar</v>
          </cell>
          <cell r="J4319" t="str">
            <v>99 Input/Byprodt/Scrap</v>
          </cell>
          <cell r="K4319" t="str">
            <v>10.2012</v>
          </cell>
          <cell r="L4319">
            <v>1</v>
          </cell>
          <cell r="M4319" t="str">
            <v>EA</v>
          </cell>
          <cell r="N4319">
            <v>1179.3699999999899</v>
          </cell>
          <cell r="O4319" t="str">
            <v>INR</v>
          </cell>
        </row>
        <row r="4320">
          <cell r="A4320" t="str">
            <v>L003 Ankleshwar</v>
          </cell>
          <cell r="B4320">
            <v>657481</v>
          </cell>
          <cell r="C4320" t="str">
            <v>CI-SEMI OPEN IMPELLER: KPD-50/13-QF</v>
          </cell>
          <cell r="D4320" t="str">
            <v>L0030151                       EnggStore</v>
          </cell>
          <cell r="E4320" t="str">
            <v>E34 E34</v>
          </cell>
          <cell r="F4320" t="str">
            <v>VB Manual reorder point planning</v>
          </cell>
          <cell r="G4320" t="str">
            <v>ERSA Spare parts</v>
          </cell>
          <cell r="H4320" t="str">
            <v>EN032     Pumpspares</v>
          </cell>
          <cell r="I4320" t="str">
            <v>L003 Ankleshwar</v>
          </cell>
          <cell r="J4320" t="str">
            <v>99 Input/Byprodt/Scrap</v>
          </cell>
          <cell r="K4320" t="str">
            <v>10.2012</v>
          </cell>
          <cell r="L4320">
            <v>2</v>
          </cell>
          <cell r="M4320" t="str">
            <v>EA</v>
          </cell>
          <cell r="N4320">
            <v>10263.76</v>
          </cell>
          <cell r="O4320" t="str">
            <v>INR</v>
          </cell>
        </row>
        <row r="4321">
          <cell r="A4321" t="str">
            <v>L003 Ankleshwar</v>
          </cell>
          <cell r="B4321">
            <v>657482</v>
          </cell>
          <cell r="C4321" t="str">
            <v>SS316-HEX NUT &amp; BOLT: ¾"X3"</v>
          </cell>
          <cell r="D4321" t="str">
            <v>L0030151                       EnggStore</v>
          </cell>
          <cell r="E4321" t="str">
            <v>E35 E35</v>
          </cell>
          <cell r="F4321" t="str">
            <v>VB Manual reorder point planning</v>
          </cell>
          <cell r="G4321" t="str">
            <v>ERSA Spare parts</v>
          </cell>
          <cell r="H4321" t="str">
            <v>EN022     Hardwareitems</v>
          </cell>
          <cell r="I4321" t="str">
            <v>L003 Ankleshwar</v>
          </cell>
          <cell r="J4321" t="str">
            <v>99 Input/Byprodt/Scrap</v>
          </cell>
          <cell r="K4321" t="str">
            <v>10.2012</v>
          </cell>
          <cell r="L4321">
            <v>11</v>
          </cell>
          <cell r="M4321" t="str">
            <v>EA</v>
          </cell>
          <cell r="N4321">
            <v>1785.17</v>
          </cell>
          <cell r="O4321" t="str">
            <v>INR</v>
          </cell>
        </row>
        <row r="4322">
          <cell r="A4322" t="str">
            <v>L003 Ankleshwar</v>
          </cell>
          <cell r="B4322">
            <v>657483</v>
          </cell>
          <cell r="C4322" t="str">
            <v>SS-PLAIN WASHER: ¾"-FINISH QUALITY</v>
          </cell>
          <cell r="D4322" t="str">
            <v>L0030151                       EnggStore</v>
          </cell>
          <cell r="E4322" t="str">
            <v>E35 E35</v>
          </cell>
          <cell r="F4322" t="str">
            <v>VB Manual reorder point planning</v>
          </cell>
          <cell r="G4322" t="str">
            <v>ERSA Spare parts</v>
          </cell>
          <cell r="H4322" t="str">
            <v>EN022     Hardwareitems</v>
          </cell>
          <cell r="I4322" t="str">
            <v>L003 Ankleshwar</v>
          </cell>
          <cell r="J4322" t="str">
            <v>99 Input/Byprodt/Scrap</v>
          </cell>
          <cell r="K4322" t="str">
            <v>10.2012</v>
          </cell>
          <cell r="L4322">
            <v>50</v>
          </cell>
          <cell r="M4322" t="str">
            <v>EA</v>
          </cell>
          <cell r="N4322">
            <v>244.94</v>
          </cell>
          <cell r="O4322" t="str">
            <v>INR</v>
          </cell>
        </row>
        <row r="4323">
          <cell r="A4323" t="str">
            <v>L003 Ankleshwar</v>
          </cell>
          <cell r="B4323">
            <v>657574</v>
          </cell>
          <cell r="C4323" t="str">
            <v>L/T SWITCH TYPE FN 125A TPN SK95001</v>
          </cell>
          <cell r="D4323" t="str">
            <v>L0030151                       EnggStore</v>
          </cell>
          <cell r="E4323" t="str">
            <v>E36 E36</v>
          </cell>
          <cell r="F4323" t="str">
            <v>VB Manual reorder point planning</v>
          </cell>
          <cell r="G4323" t="str">
            <v>ERSA Spare parts</v>
          </cell>
          <cell r="H4323" t="str">
            <v>EN006     Elec Switchgear</v>
          </cell>
          <cell r="I4323" t="str">
            <v>L003 Ankleshwar</v>
          </cell>
          <cell r="J4323" t="str">
            <v>99 Input/Byprodt/Scrap</v>
          </cell>
          <cell r="K4323" t="str">
            <v>10.2012</v>
          </cell>
          <cell r="L4323">
            <v>1</v>
          </cell>
          <cell r="M4323" t="str">
            <v>EA</v>
          </cell>
          <cell r="N4323">
            <v>3919.5</v>
          </cell>
          <cell r="O4323" t="str">
            <v>INR</v>
          </cell>
        </row>
        <row r="4324">
          <cell r="A4324" t="str">
            <v>L003 Ankleshwar</v>
          </cell>
          <cell r="B4324">
            <v>657622</v>
          </cell>
          <cell r="C4324" t="str">
            <v>SHOE GUIDE FOR JAYCO HOIST</v>
          </cell>
          <cell r="D4324" t="str">
            <v>L0030151                       EnggStore</v>
          </cell>
          <cell r="E4324" t="str">
            <v>E01 E01</v>
          </cell>
          <cell r="F4324" t="str">
            <v>VB Manual reorder point planning</v>
          </cell>
          <cell r="G4324" t="str">
            <v>ERSA Spare parts</v>
          </cell>
          <cell r="H4324" t="str">
            <v>EN015     MaterialHandlingspar</v>
          </cell>
          <cell r="I4324" t="str">
            <v>L003 Ankleshwar</v>
          </cell>
          <cell r="J4324" t="str">
            <v>99 Input/Byprodt/Scrap</v>
          </cell>
          <cell r="K4324" t="str">
            <v>10.2012</v>
          </cell>
          <cell r="L4324">
            <v>4</v>
          </cell>
          <cell r="M4324" t="str">
            <v>EA</v>
          </cell>
          <cell r="N4324">
            <v>9108.6</v>
          </cell>
          <cell r="O4324" t="str">
            <v>INR</v>
          </cell>
        </row>
        <row r="4325">
          <cell r="A4325" t="str">
            <v>L003 Ankleshwar</v>
          </cell>
          <cell r="B4325">
            <v>657624</v>
          </cell>
          <cell r="C4325" t="str">
            <v>WIRE ROPE 13 MM FOR OTIS LIFT</v>
          </cell>
          <cell r="D4325" t="str">
            <v>L0030151                       EnggStore</v>
          </cell>
          <cell r="E4325" t="str">
            <v>E01 E01</v>
          </cell>
          <cell r="F4325" t="str">
            <v>VB Manual reorder point planning</v>
          </cell>
          <cell r="G4325" t="str">
            <v>ERSA Spare parts</v>
          </cell>
          <cell r="H4325" t="str">
            <v>EN015     MaterialHandlingspar</v>
          </cell>
          <cell r="I4325" t="str">
            <v>L003 Ankleshwar</v>
          </cell>
          <cell r="J4325" t="str">
            <v>99 Input/Byprodt/Scrap</v>
          </cell>
          <cell r="K4325" t="str">
            <v>10.2012</v>
          </cell>
          <cell r="L4325">
            <v>106</v>
          </cell>
          <cell r="M4325" t="str">
            <v>M</v>
          </cell>
          <cell r="N4325">
            <v>28011.3499999999</v>
          </cell>
          <cell r="O4325" t="str">
            <v>INR</v>
          </cell>
        </row>
        <row r="4326">
          <cell r="A4326" t="str">
            <v>L003 Ankleshwar</v>
          </cell>
          <cell r="B4326">
            <v>657628</v>
          </cell>
          <cell r="C4326" t="str">
            <v>1"X12" HIGH PR HOSE FLANGED 40KG/CM2 PR.</v>
          </cell>
          <cell r="D4326" t="str">
            <v>L0030151                       EnggStore</v>
          </cell>
          <cell r="E4326">
            <v>0</v>
          </cell>
          <cell r="F4326" t="str">
            <v>ND No planning</v>
          </cell>
          <cell r="G4326" t="str">
            <v>ERSA Spare parts</v>
          </cell>
          <cell r="H4326" t="str">
            <v>EN024     EnggConsumables</v>
          </cell>
          <cell r="I4326" t="str">
            <v>L003 Ankleshwar</v>
          </cell>
          <cell r="J4326" t="str">
            <v>99 Input/Byprodt/Scrap</v>
          </cell>
          <cell r="K4326" t="str">
            <v>10.2012</v>
          </cell>
          <cell r="L4326">
            <v>1</v>
          </cell>
          <cell r="M4326" t="str">
            <v>EA</v>
          </cell>
          <cell r="N4326">
            <v>724.67999999999904</v>
          </cell>
          <cell r="O4326" t="str">
            <v>INR</v>
          </cell>
        </row>
        <row r="4327">
          <cell r="A4327" t="str">
            <v>L003 Ankleshwar</v>
          </cell>
          <cell r="B4327">
            <v>657676</v>
          </cell>
          <cell r="C4327" t="str">
            <v>PIPE CS SEAMLESS SCH-40 :11/2"</v>
          </cell>
          <cell r="D4327" t="str">
            <v>L0030201                       Cons StoreKP</v>
          </cell>
          <cell r="E4327">
            <v>0</v>
          </cell>
          <cell r="F4327" t="str">
            <v>ND No planning</v>
          </cell>
          <cell r="G4327" t="str">
            <v>ERSA Spare parts</v>
          </cell>
          <cell r="H4327" t="str">
            <v>EN028     Pipes&amp;pipefittings</v>
          </cell>
          <cell r="I4327" t="str">
            <v>L003 Ankleshwar</v>
          </cell>
          <cell r="J4327" t="str">
            <v>99 Input/Byprodt/Scrap</v>
          </cell>
          <cell r="K4327" t="str">
            <v>10.2012</v>
          </cell>
          <cell r="L4327">
            <v>1.99</v>
          </cell>
          <cell r="M4327" t="str">
            <v>M</v>
          </cell>
          <cell r="N4327">
            <v>551.23</v>
          </cell>
          <cell r="O4327" t="str">
            <v>INR</v>
          </cell>
        </row>
        <row r="4328">
          <cell r="A4328" t="str">
            <v>L003 Ankleshwar</v>
          </cell>
          <cell r="B4328">
            <v>657687</v>
          </cell>
          <cell r="C4328" t="str">
            <v>DRIVE COLLAR-HI-FAB:HEB-E1-XBBC-MF-80</v>
          </cell>
          <cell r="D4328" t="str">
            <v>L0030151                       EnggStore</v>
          </cell>
          <cell r="E4328">
            <v>0</v>
          </cell>
          <cell r="F4328" t="str">
            <v>ND No planning</v>
          </cell>
          <cell r="G4328" t="str">
            <v>ERSA Spare parts</v>
          </cell>
          <cell r="H4328" t="str">
            <v>EN038     MechanicalSeals&amp;Spar</v>
          </cell>
          <cell r="I4328" t="str">
            <v>L003 Ankleshwar</v>
          </cell>
          <cell r="J4328" t="str">
            <v>99 Input/Byprodt/Scrap</v>
          </cell>
          <cell r="K4328" t="str">
            <v>10.2012</v>
          </cell>
          <cell r="L4328">
            <v>1</v>
          </cell>
          <cell r="M4328" t="str">
            <v>EA</v>
          </cell>
          <cell r="N4328">
            <v>1509.18</v>
          </cell>
          <cell r="O4328" t="str">
            <v>INR</v>
          </cell>
        </row>
        <row r="4329">
          <cell r="A4329" t="str">
            <v>L003 Ankleshwar</v>
          </cell>
          <cell r="B4329">
            <v>657731</v>
          </cell>
          <cell r="C4329" t="str">
            <v>LEAD WASHER: 23X10X3MM</v>
          </cell>
          <cell r="D4329" t="str">
            <v>L0030151                       EnggStore</v>
          </cell>
          <cell r="E4329" t="str">
            <v>E01 E01</v>
          </cell>
          <cell r="F4329" t="str">
            <v>ND No planning</v>
          </cell>
          <cell r="G4329" t="str">
            <v>ERSA Spare parts</v>
          </cell>
          <cell r="H4329" t="str">
            <v>EN022     Hardwareitems</v>
          </cell>
          <cell r="I4329" t="str">
            <v>L003 Ankleshwar</v>
          </cell>
          <cell r="J4329" t="str">
            <v>99 Input/Byprodt/Scrap</v>
          </cell>
          <cell r="K4329" t="str">
            <v>10.2012</v>
          </cell>
          <cell r="L4329">
            <v>100</v>
          </cell>
          <cell r="M4329" t="str">
            <v>EA</v>
          </cell>
          <cell r="N4329">
            <v>400</v>
          </cell>
          <cell r="O4329" t="str">
            <v>INR</v>
          </cell>
        </row>
        <row r="4330">
          <cell r="A4330" t="str">
            <v>L003 Ankleshwar</v>
          </cell>
          <cell r="B4330">
            <v>657819</v>
          </cell>
          <cell r="C4330" t="str">
            <v>LIGHT FTG:1X18W-DOWN LIGHT-HOR</v>
          </cell>
          <cell r="D4330" t="str">
            <v>L0030151                       EnggStore</v>
          </cell>
          <cell r="E4330">
            <v>0</v>
          </cell>
          <cell r="F4330" t="str">
            <v>ND No planning</v>
          </cell>
          <cell r="G4330" t="str">
            <v>ERSA Spare parts</v>
          </cell>
          <cell r="H4330" t="str">
            <v>EN005     Elec Lighting</v>
          </cell>
          <cell r="I4330" t="str">
            <v>L003 Ankleshwar</v>
          </cell>
          <cell r="J4330" t="str">
            <v>99 Input/Byprodt/Scrap</v>
          </cell>
          <cell r="K4330" t="str">
            <v>10.2012</v>
          </cell>
          <cell r="L4330">
            <v>2</v>
          </cell>
          <cell r="M4330" t="str">
            <v>EA</v>
          </cell>
          <cell r="N4330">
            <v>0</v>
          </cell>
          <cell r="O4330" t="str">
            <v>INR</v>
          </cell>
        </row>
        <row r="4331">
          <cell r="A4331" t="str">
            <v>L003 Ankleshwar</v>
          </cell>
          <cell r="B4331">
            <v>657821</v>
          </cell>
          <cell r="C4331" t="str">
            <v>FLUID PULLEY SLEEVE FOR FP14.5</v>
          </cell>
          <cell r="D4331" t="str">
            <v>L0030151                       EnggStore</v>
          </cell>
          <cell r="E4331">
            <v>0</v>
          </cell>
          <cell r="F4331" t="str">
            <v>ND No planning</v>
          </cell>
          <cell r="G4331" t="str">
            <v>ERSA Spare parts</v>
          </cell>
          <cell r="H4331" t="str">
            <v>EN021     VbeltCoupling&amp;Pulley</v>
          </cell>
          <cell r="I4331" t="str">
            <v>L003 Ankleshwar</v>
          </cell>
          <cell r="J4331" t="str">
            <v>99 Input/Byprodt/Scrap</v>
          </cell>
          <cell r="K4331" t="str">
            <v>10.2012</v>
          </cell>
          <cell r="L4331">
            <v>1</v>
          </cell>
          <cell r="M4331" t="str">
            <v>EA</v>
          </cell>
          <cell r="N4331">
            <v>7124</v>
          </cell>
          <cell r="O4331" t="str">
            <v>INR</v>
          </cell>
        </row>
        <row r="4332">
          <cell r="A4332" t="str">
            <v>L003 Ankleshwar</v>
          </cell>
          <cell r="B4332">
            <v>657823</v>
          </cell>
          <cell r="C4332" t="str">
            <v>COOLING FAN - GEAR BOX - NU4</v>
          </cell>
          <cell r="D4332" t="str">
            <v>L0030151                       EnggStore</v>
          </cell>
          <cell r="E4332">
            <v>0</v>
          </cell>
          <cell r="F4332" t="str">
            <v>ND No planning</v>
          </cell>
          <cell r="G4332" t="str">
            <v>ERSA Spare parts</v>
          </cell>
          <cell r="H4332" t="str">
            <v>EN039     PlantEquipmentSpares</v>
          </cell>
          <cell r="I4332" t="str">
            <v>L003 Ankleshwar</v>
          </cell>
          <cell r="J4332" t="str">
            <v>99 Input/Byprodt/Scrap</v>
          </cell>
          <cell r="K4332" t="str">
            <v>10.2012</v>
          </cell>
          <cell r="L4332">
            <v>4</v>
          </cell>
          <cell r="M4332" t="str">
            <v>EA</v>
          </cell>
          <cell r="N4332">
            <v>1336</v>
          </cell>
          <cell r="O4332" t="str">
            <v>INR</v>
          </cell>
        </row>
        <row r="4333">
          <cell r="A4333" t="str">
            <v>L003 Ankleshwar</v>
          </cell>
          <cell r="B4333">
            <v>657828</v>
          </cell>
          <cell r="C4333" t="str">
            <v>COOLING FAN - GEAR BOX - V700</v>
          </cell>
          <cell r="D4333" t="str">
            <v>L0030151                       EnggStore</v>
          </cell>
          <cell r="E4333">
            <v>0</v>
          </cell>
          <cell r="F4333" t="str">
            <v>ND No planning</v>
          </cell>
          <cell r="G4333" t="str">
            <v>ERSA Spare parts</v>
          </cell>
          <cell r="H4333" t="str">
            <v>EN039     PlantEquipmentSpares</v>
          </cell>
          <cell r="I4333" t="str">
            <v>L003 Ankleshwar</v>
          </cell>
          <cell r="J4333" t="str">
            <v>99 Input/Byprodt/Scrap</v>
          </cell>
          <cell r="K4333" t="str">
            <v>10.2012</v>
          </cell>
          <cell r="L4333">
            <v>4</v>
          </cell>
          <cell r="M4333" t="str">
            <v>EA</v>
          </cell>
          <cell r="N4333">
            <v>3800</v>
          </cell>
          <cell r="O4333" t="str">
            <v>INR</v>
          </cell>
        </row>
        <row r="4334">
          <cell r="A4334" t="str">
            <v>L003 Ankleshwar</v>
          </cell>
          <cell r="B4334">
            <v>657847</v>
          </cell>
          <cell r="C4334" t="str">
            <v>CRANK SHAFT OIL SEAL: PT.NO-N/1006/99</v>
          </cell>
          <cell r="D4334" t="str">
            <v>L0030151                       EnggStore</v>
          </cell>
          <cell r="E4334" t="str">
            <v>E34 E34</v>
          </cell>
          <cell r="F4334" t="str">
            <v>VB Manual reorder point planning</v>
          </cell>
          <cell r="G4334" t="str">
            <v>ERSA Spare parts</v>
          </cell>
          <cell r="H4334" t="str">
            <v>EN032     Pumpspares</v>
          </cell>
          <cell r="I4334" t="str">
            <v>L003 Ankleshwar</v>
          </cell>
          <cell r="J4334" t="str">
            <v>99 Input/Byprodt/Scrap</v>
          </cell>
          <cell r="K4334" t="str">
            <v>10.2012</v>
          </cell>
          <cell r="L4334">
            <v>2</v>
          </cell>
          <cell r="M4334" t="str">
            <v>EA</v>
          </cell>
          <cell r="N4334">
            <v>149.349999999999</v>
          </cell>
          <cell r="O4334" t="str">
            <v>INR</v>
          </cell>
        </row>
        <row r="4335">
          <cell r="A4335" t="str">
            <v>L003 Ankleshwar</v>
          </cell>
          <cell r="B4335">
            <v>657851</v>
          </cell>
          <cell r="C4335" t="str">
            <v>CONNECTING ROD: PT.NO-N/1010/99</v>
          </cell>
          <cell r="D4335" t="str">
            <v>L0030151                       EnggStore</v>
          </cell>
          <cell r="E4335" t="str">
            <v>E34 E34</v>
          </cell>
          <cell r="F4335" t="str">
            <v>VB Manual reorder point planning</v>
          </cell>
          <cell r="G4335" t="str">
            <v>ERSA Spare parts</v>
          </cell>
          <cell r="H4335" t="str">
            <v>EN032     Pumpspares</v>
          </cell>
          <cell r="I4335" t="str">
            <v>L003 Ankleshwar</v>
          </cell>
          <cell r="J4335" t="str">
            <v>99 Input/Byprodt/Scrap</v>
          </cell>
          <cell r="K4335" t="str">
            <v>10.2012</v>
          </cell>
          <cell r="L4335">
            <v>1</v>
          </cell>
          <cell r="M4335" t="str">
            <v>EA</v>
          </cell>
          <cell r="N4335">
            <v>1069.9000000000001</v>
          </cell>
          <cell r="O4335" t="str">
            <v>INR</v>
          </cell>
        </row>
        <row r="4336">
          <cell r="A4336" t="str">
            <v>L003 Ankleshwar</v>
          </cell>
          <cell r="B4336">
            <v>657852</v>
          </cell>
          <cell r="C4336" t="str">
            <v>CONNECTING ROD PIN: PT.NO-N/1011/99</v>
          </cell>
          <cell r="D4336" t="str">
            <v>L0030151                       EnggStore</v>
          </cell>
          <cell r="E4336">
            <v>0</v>
          </cell>
          <cell r="F4336" t="str">
            <v>ND No planning</v>
          </cell>
          <cell r="G4336" t="str">
            <v>ERSA Spare parts</v>
          </cell>
          <cell r="H4336" t="str">
            <v>EN032     Pumpspares</v>
          </cell>
          <cell r="I4336" t="str">
            <v>L003 Ankleshwar</v>
          </cell>
          <cell r="J4336" t="str">
            <v>99 Input/Byprodt/Scrap</v>
          </cell>
          <cell r="K4336" t="str">
            <v>10.2012</v>
          </cell>
          <cell r="L4336">
            <v>3</v>
          </cell>
          <cell r="M4336" t="str">
            <v>EA</v>
          </cell>
          <cell r="N4336">
            <v>108.15</v>
          </cell>
          <cell r="O4336" t="str">
            <v>INR</v>
          </cell>
        </row>
        <row r="4337">
          <cell r="A4337" t="str">
            <v>L003 Ankleshwar</v>
          </cell>
          <cell r="B4337">
            <v>657853</v>
          </cell>
          <cell r="C4337" t="str">
            <v>PISTON PIN BUSH: PT.NO-N/1012/99</v>
          </cell>
          <cell r="D4337" t="str">
            <v>L0030151                       EnggStore</v>
          </cell>
          <cell r="E4337" t="str">
            <v>E34 E34</v>
          </cell>
          <cell r="F4337" t="str">
            <v>VB Manual reorder point planning</v>
          </cell>
          <cell r="G4337" t="str">
            <v>ERSA Spare parts</v>
          </cell>
          <cell r="H4337" t="str">
            <v>EN032     Pumpspares</v>
          </cell>
          <cell r="I4337" t="str">
            <v>L003 Ankleshwar</v>
          </cell>
          <cell r="J4337" t="str">
            <v>99 Input/Byprodt/Scrap</v>
          </cell>
          <cell r="K4337" t="str">
            <v>10.2012</v>
          </cell>
          <cell r="L4337">
            <v>2</v>
          </cell>
          <cell r="M4337" t="str">
            <v>EA</v>
          </cell>
          <cell r="N4337">
            <v>381.1</v>
          </cell>
          <cell r="O4337" t="str">
            <v>INR</v>
          </cell>
        </row>
        <row r="4338">
          <cell r="A4338" t="str">
            <v>L003 Ankleshwar</v>
          </cell>
          <cell r="B4338">
            <v>657854</v>
          </cell>
          <cell r="C4338" t="str">
            <v>PISTON PIN: PT.NO-N/1013/99</v>
          </cell>
          <cell r="D4338" t="str">
            <v>L0030151                       EnggStore</v>
          </cell>
          <cell r="E4338" t="str">
            <v>E34 E34</v>
          </cell>
          <cell r="F4338" t="str">
            <v>VB Manual reorder point planning</v>
          </cell>
          <cell r="G4338" t="str">
            <v>ERSA Spare parts</v>
          </cell>
          <cell r="H4338" t="str">
            <v>EN032     Pumpspares</v>
          </cell>
          <cell r="I4338" t="str">
            <v>L003 Ankleshwar</v>
          </cell>
          <cell r="J4338" t="str">
            <v>99 Input/Byprodt/Scrap</v>
          </cell>
          <cell r="K4338" t="str">
            <v>10.2012</v>
          </cell>
          <cell r="L4338">
            <v>2</v>
          </cell>
          <cell r="M4338" t="str">
            <v>EA</v>
          </cell>
          <cell r="N4338">
            <v>535.6</v>
          </cell>
          <cell r="O4338" t="str">
            <v>INR</v>
          </cell>
        </row>
        <row r="4339">
          <cell r="A4339" t="str">
            <v>L003 Ankleshwar</v>
          </cell>
          <cell r="B4339">
            <v>657855</v>
          </cell>
          <cell r="C4339" t="str">
            <v>PISTON: PT.NO-N/1014/99</v>
          </cell>
          <cell r="D4339" t="str">
            <v>L0030151                       EnggStore</v>
          </cell>
          <cell r="E4339" t="str">
            <v>E35 E35</v>
          </cell>
          <cell r="F4339" t="str">
            <v>VB Manual reorder point planning</v>
          </cell>
          <cell r="G4339" t="str">
            <v>ERSA Spare parts</v>
          </cell>
          <cell r="H4339" t="str">
            <v>EN032     Pumpspares</v>
          </cell>
          <cell r="I4339" t="str">
            <v>L003 Ankleshwar</v>
          </cell>
          <cell r="J4339" t="str">
            <v>99 Input/Byprodt/Scrap</v>
          </cell>
          <cell r="K4339" t="str">
            <v>10.2012</v>
          </cell>
          <cell r="L4339">
            <v>2</v>
          </cell>
          <cell r="M4339" t="str">
            <v>EA</v>
          </cell>
          <cell r="N4339">
            <v>1699.5</v>
          </cell>
          <cell r="O4339" t="str">
            <v>INR</v>
          </cell>
        </row>
        <row r="4340">
          <cell r="A4340" t="str">
            <v>L003 Ankleshwar</v>
          </cell>
          <cell r="B4340">
            <v>657856</v>
          </cell>
          <cell r="C4340" t="str">
            <v>PISTON OIL SEAL: PT.NO-N/1018/99</v>
          </cell>
          <cell r="D4340" t="str">
            <v>L0030151                       EnggStore</v>
          </cell>
          <cell r="E4340" t="str">
            <v>E34 E34</v>
          </cell>
          <cell r="F4340" t="str">
            <v>VB Manual reorder point planning</v>
          </cell>
          <cell r="G4340" t="str">
            <v>ERSA Spare parts</v>
          </cell>
          <cell r="H4340" t="str">
            <v>EN032     Pumpspares</v>
          </cell>
          <cell r="I4340" t="str">
            <v>L003 Ankleshwar</v>
          </cell>
          <cell r="J4340" t="str">
            <v>99 Input/Byprodt/Scrap</v>
          </cell>
          <cell r="K4340" t="str">
            <v>10.2012</v>
          </cell>
          <cell r="L4340">
            <v>3</v>
          </cell>
          <cell r="M4340" t="str">
            <v>EA</v>
          </cell>
          <cell r="N4340">
            <v>344.25999999999902</v>
          </cell>
          <cell r="O4340" t="str">
            <v>INR</v>
          </cell>
        </row>
        <row r="4341">
          <cell r="A4341" t="str">
            <v>L003 Ankleshwar</v>
          </cell>
          <cell r="B4341">
            <v>657858</v>
          </cell>
          <cell r="C4341" t="str">
            <v>CONNECTING ROD BEARING: PT.NO-N/1029/99</v>
          </cell>
          <cell r="D4341" t="str">
            <v>L0030151                       EnggStore</v>
          </cell>
          <cell r="E4341">
            <v>0</v>
          </cell>
          <cell r="F4341" t="str">
            <v>ND No planning</v>
          </cell>
          <cell r="G4341" t="str">
            <v>ERSA Spare parts</v>
          </cell>
          <cell r="H4341" t="str">
            <v>EN032     Pumpspares</v>
          </cell>
          <cell r="I4341" t="str">
            <v>L003 Ankleshwar</v>
          </cell>
          <cell r="J4341" t="str">
            <v>99 Input/Byprodt/Scrap</v>
          </cell>
          <cell r="K4341" t="str">
            <v>10.2012</v>
          </cell>
          <cell r="L4341">
            <v>3</v>
          </cell>
          <cell r="M4341" t="str">
            <v>EA</v>
          </cell>
          <cell r="N4341">
            <v>1514.0999999999899</v>
          </cell>
          <cell r="O4341" t="str">
            <v>INR</v>
          </cell>
        </row>
        <row r="4342">
          <cell r="A4342" t="str">
            <v>L003 Ankleshwar</v>
          </cell>
          <cell r="B4342">
            <v>657859</v>
          </cell>
          <cell r="C4342" t="str">
            <v>STUFFING BOX GASKET: PT.NO-N/1055/99</v>
          </cell>
          <cell r="D4342" t="str">
            <v>L0030151                       EnggStore</v>
          </cell>
          <cell r="E4342" t="str">
            <v>E01 E01</v>
          </cell>
          <cell r="F4342" t="str">
            <v>VB Manual reorder point planning</v>
          </cell>
          <cell r="G4342" t="str">
            <v>ERSA Spare parts</v>
          </cell>
          <cell r="H4342" t="str">
            <v>EN032     Pumpspares</v>
          </cell>
          <cell r="I4342" t="str">
            <v>L003 Ankleshwar</v>
          </cell>
          <cell r="J4342" t="str">
            <v>99 Input/Byprodt/Scrap</v>
          </cell>
          <cell r="K4342" t="str">
            <v>10.2012</v>
          </cell>
          <cell r="L4342">
            <v>6</v>
          </cell>
          <cell r="M4342" t="str">
            <v>EA</v>
          </cell>
          <cell r="N4342">
            <v>247.19999999999899</v>
          </cell>
          <cell r="O4342" t="str">
            <v>INR</v>
          </cell>
        </row>
        <row r="4343">
          <cell r="A4343" t="str">
            <v>L003 Ankleshwar</v>
          </cell>
          <cell r="B4343">
            <v>657860</v>
          </cell>
          <cell r="C4343" t="str">
            <v>GLAND PACKING: PT.NO-N/1058/99</v>
          </cell>
          <cell r="D4343" t="str">
            <v>L0030151                       EnggStore</v>
          </cell>
          <cell r="E4343" t="str">
            <v>E34 E34</v>
          </cell>
          <cell r="F4343" t="str">
            <v>VB Manual reorder point planning</v>
          </cell>
          <cell r="G4343" t="str">
            <v>ERSA Spare parts</v>
          </cell>
          <cell r="H4343" t="str">
            <v>EN032     Pumpspares</v>
          </cell>
          <cell r="I4343" t="str">
            <v>L003 Ankleshwar</v>
          </cell>
          <cell r="J4343" t="str">
            <v>99 Input/Byprodt/Scrap</v>
          </cell>
          <cell r="K4343" t="str">
            <v>10.2012</v>
          </cell>
          <cell r="L4343">
            <v>3</v>
          </cell>
          <cell r="M4343" t="str">
            <v>SET</v>
          </cell>
          <cell r="N4343">
            <v>1637.7</v>
          </cell>
          <cell r="O4343" t="str">
            <v>INR</v>
          </cell>
        </row>
        <row r="4344">
          <cell r="A4344" t="str">
            <v>L003 Ankleshwar</v>
          </cell>
          <cell r="B4344">
            <v>657861</v>
          </cell>
          <cell r="C4344" t="str">
            <v>PLUNGER: PT.NO-N/1059/99</v>
          </cell>
          <cell r="D4344" t="str">
            <v>L0030151                       EnggStore</v>
          </cell>
          <cell r="E4344" t="str">
            <v>E34 E34</v>
          </cell>
          <cell r="F4344" t="str">
            <v>VB Manual reorder point planning</v>
          </cell>
          <cell r="G4344" t="str">
            <v>ERSA Spare parts</v>
          </cell>
          <cell r="H4344" t="str">
            <v>EN032     Pumpspares</v>
          </cell>
          <cell r="I4344" t="str">
            <v>L003 Ankleshwar</v>
          </cell>
          <cell r="J4344" t="str">
            <v>99 Input/Byprodt/Scrap</v>
          </cell>
          <cell r="K4344" t="str">
            <v>10.2012</v>
          </cell>
          <cell r="L4344">
            <v>1</v>
          </cell>
          <cell r="M4344" t="str">
            <v>EA</v>
          </cell>
          <cell r="N4344">
            <v>3605</v>
          </cell>
          <cell r="O4344" t="str">
            <v>INR</v>
          </cell>
        </row>
        <row r="4345">
          <cell r="A4345" t="str">
            <v>L003 Ankleshwar</v>
          </cell>
          <cell r="B4345">
            <v>657862</v>
          </cell>
          <cell r="C4345" t="str">
            <v>RUBBER SLINGER: PT.NO-N/1060/99</v>
          </cell>
          <cell r="D4345" t="str">
            <v>L0030151                       EnggStore</v>
          </cell>
          <cell r="E4345">
            <v>0</v>
          </cell>
          <cell r="F4345" t="str">
            <v>ND No planning</v>
          </cell>
          <cell r="G4345" t="str">
            <v>ERSA Spare parts</v>
          </cell>
          <cell r="H4345" t="str">
            <v>EN032     Pumpspares</v>
          </cell>
          <cell r="I4345" t="str">
            <v>L003 Ankleshwar</v>
          </cell>
          <cell r="J4345" t="str">
            <v>99 Input/Byprodt/Scrap</v>
          </cell>
          <cell r="K4345" t="str">
            <v>10.2012</v>
          </cell>
          <cell r="L4345">
            <v>3</v>
          </cell>
          <cell r="M4345" t="str">
            <v>EA</v>
          </cell>
          <cell r="N4345">
            <v>92.7</v>
          </cell>
          <cell r="O4345" t="str">
            <v>INR</v>
          </cell>
        </row>
        <row r="4346">
          <cell r="A4346" t="str">
            <v>L003 Ankleshwar</v>
          </cell>
          <cell r="B4346">
            <v>657863</v>
          </cell>
          <cell r="C4346" t="str">
            <v>SUCTION VALVE: PT.NO-N/1065/99</v>
          </cell>
          <cell r="D4346" t="str">
            <v>L0030151                       EnggStore</v>
          </cell>
          <cell r="E4346" t="str">
            <v>E01 E01</v>
          </cell>
          <cell r="F4346" t="str">
            <v>VB Manual reorder point planning</v>
          </cell>
          <cell r="G4346" t="str">
            <v>ERSA Spare parts</v>
          </cell>
          <cell r="H4346" t="str">
            <v>EN032     Pumpspares</v>
          </cell>
          <cell r="I4346" t="str">
            <v>L003 Ankleshwar</v>
          </cell>
          <cell r="J4346" t="str">
            <v>99 Input/Byprodt/Scrap</v>
          </cell>
          <cell r="K4346" t="str">
            <v>10.2012</v>
          </cell>
          <cell r="L4346">
            <v>3</v>
          </cell>
          <cell r="M4346" t="str">
            <v>EA</v>
          </cell>
          <cell r="N4346">
            <v>1899.8</v>
          </cell>
          <cell r="O4346" t="str">
            <v>INR</v>
          </cell>
        </row>
        <row r="4347">
          <cell r="A4347" t="str">
            <v>L003 Ankleshwar</v>
          </cell>
          <cell r="B4347">
            <v>657865</v>
          </cell>
          <cell r="C4347" t="str">
            <v>SUCTION VALVE SPRING: PT.NO-N/1067/99</v>
          </cell>
          <cell r="D4347" t="str">
            <v>L0030151                       EnggStore</v>
          </cell>
          <cell r="E4347" t="str">
            <v>E34 E34</v>
          </cell>
          <cell r="F4347" t="str">
            <v>VB Manual reorder point planning</v>
          </cell>
          <cell r="G4347" t="str">
            <v>ERSA Spare parts</v>
          </cell>
          <cell r="H4347" t="str">
            <v>EN032     Pumpspares</v>
          </cell>
          <cell r="I4347" t="str">
            <v>L003 Ankleshwar</v>
          </cell>
          <cell r="J4347" t="str">
            <v>99 Input/Byprodt/Scrap</v>
          </cell>
          <cell r="K4347" t="str">
            <v>10.2012</v>
          </cell>
          <cell r="L4347">
            <v>2</v>
          </cell>
          <cell r="M4347" t="str">
            <v>EA</v>
          </cell>
          <cell r="N4347">
            <v>149.599999999999</v>
          </cell>
          <cell r="O4347" t="str">
            <v>INR</v>
          </cell>
        </row>
        <row r="4348">
          <cell r="A4348" t="str">
            <v>L003 Ankleshwar</v>
          </cell>
          <cell r="B4348">
            <v>657866</v>
          </cell>
          <cell r="C4348" t="str">
            <v>SUCTION VALVE COVER: PT.NO-N/1068/99</v>
          </cell>
          <cell r="D4348" t="str">
            <v>L0030151                       EnggStore</v>
          </cell>
          <cell r="E4348" t="str">
            <v>E01 E01</v>
          </cell>
          <cell r="F4348" t="str">
            <v>VB Manual reorder point planning</v>
          </cell>
          <cell r="G4348" t="str">
            <v>ERSA Spare parts</v>
          </cell>
          <cell r="H4348" t="str">
            <v>EN032     Pumpspares</v>
          </cell>
          <cell r="I4348" t="str">
            <v>L003 Ankleshwar</v>
          </cell>
          <cell r="J4348" t="str">
            <v>99 Input/Byprodt/Scrap</v>
          </cell>
          <cell r="K4348" t="str">
            <v>10.2012</v>
          </cell>
          <cell r="L4348">
            <v>1</v>
          </cell>
          <cell r="M4348" t="str">
            <v>EA</v>
          </cell>
          <cell r="N4348">
            <v>1236</v>
          </cell>
          <cell r="O4348" t="str">
            <v>INR</v>
          </cell>
        </row>
        <row r="4349">
          <cell r="A4349" t="str">
            <v>L003 Ankleshwar</v>
          </cell>
          <cell r="B4349">
            <v>657868</v>
          </cell>
          <cell r="C4349" t="str">
            <v>DISCHARGE VALVE: PT.NO-N/1070/99</v>
          </cell>
          <cell r="D4349" t="str">
            <v>L0030151                       EnggStore</v>
          </cell>
          <cell r="E4349" t="str">
            <v>E01 E01</v>
          </cell>
          <cell r="F4349" t="str">
            <v>VB Manual reorder point planning</v>
          </cell>
          <cell r="G4349" t="str">
            <v>ERSA Spare parts</v>
          </cell>
          <cell r="H4349" t="str">
            <v>EN032     Pumpspares</v>
          </cell>
          <cell r="I4349" t="str">
            <v>L003 Ankleshwar</v>
          </cell>
          <cell r="J4349" t="str">
            <v>99 Input/Byprodt/Scrap</v>
          </cell>
          <cell r="K4349" t="str">
            <v>10.2012</v>
          </cell>
          <cell r="L4349">
            <v>2</v>
          </cell>
          <cell r="M4349" t="str">
            <v>EA</v>
          </cell>
          <cell r="N4349">
            <v>721</v>
          </cell>
          <cell r="O4349" t="str">
            <v>INR</v>
          </cell>
        </row>
        <row r="4350">
          <cell r="A4350" t="str">
            <v>L003 Ankleshwar</v>
          </cell>
          <cell r="B4350">
            <v>657869</v>
          </cell>
          <cell r="C4350" t="str">
            <v>DISCHARGE VALVE SEAT: PT.NO-N/1071/99</v>
          </cell>
          <cell r="D4350" t="str">
            <v>L0030151                       EnggStore</v>
          </cell>
          <cell r="E4350">
            <v>0</v>
          </cell>
          <cell r="F4350" t="str">
            <v>ND No planning</v>
          </cell>
          <cell r="G4350" t="str">
            <v>ERSA Spare parts</v>
          </cell>
          <cell r="H4350" t="str">
            <v>EN032     Pumpspares</v>
          </cell>
          <cell r="I4350" t="str">
            <v>L003 Ankleshwar</v>
          </cell>
          <cell r="J4350" t="str">
            <v>99 Input/Byprodt/Scrap</v>
          </cell>
          <cell r="K4350" t="str">
            <v>10.2012</v>
          </cell>
          <cell r="L4350">
            <v>3</v>
          </cell>
          <cell r="M4350" t="str">
            <v>EA</v>
          </cell>
          <cell r="N4350">
            <v>1350.0899999999899</v>
          </cell>
          <cell r="O4350" t="str">
            <v>INR</v>
          </cell>
        </row>
        <row r="4351">
          <cell r="A4351" t="str">
            <v>L003 Ankleshwar</v>
          </cell>
          <cell r="B4351">
            <v>657870</v>
          </cell>
          <cell r="C4351" t="str">
            <v>DISCHARGE VALVE SPRING: PT.NO-N/1072/99</v>
          </cell>
          <cell r="D4351" t="str">
            <v>L0030151                       EnggStore</v>
          </cell>
          <cell r="E4351" t="str">
            <v>E34 E34</v>
          </cell>
          <cell r="F4351" t="str">
            <v>VB Manual reorder point planning</v>
          </cell>
          <cell r="G4351" t="str">
            <v>ERSA Spare parts</v>
          </cell>
          <cell r="H4351" t="str">
            <v>EN032     Pumpspares</v>
          </cell>
          <cell r="I4351" t="str">
            <v>L003 Ankleshwar</v>
          </cell>
          <cell r="J4351" t="str">
            <v>99 Input/Byprodt/Scrap</v>
          </cell>
          <cell r="K4351" t="str">
            <v>10.2012</v>
          </cell>
          <cell r="L4351">
            <v>2</v>
          </cell>
          <cell r="M4351" t="str">
            <v>EA</v>
          </cell>
          <cell r="N4351">
            <v>130.009999999999</v>
          </cell>
          <cell r="O4351" t="str">
            <v>INR</v>
          </cell>
        </row>
        <row r="4352">
          <cell r="A4352" t="str">
            <v>L003 Ankleshwar</v>
          </cell>
          <cell r="B4352">
            <v>657873</v>
          </cell>
          <cell r="C4352" t="str">
            <v>DISCHARGE VALVE GASKET: PT.NO-N/1075/99</v>
          </cell>
          <cell r="D4352" t="str">
            <v>L0030151                       EnggStore</v>
          </cell>
          <cell r="E4352">
            <v>0</v>
          </cell>
          <cell r="F4352" t="str">
            <v>ND No planning</v>
          </cell>
          <cell r="G4352" t="str">
            <v>ERSA Spare parts</v>
          </cell>
          <cell r="H4352" t="str">
            <v>EN032     Pumpspares</v>
          </cell>
          <cell r="I4352" t="str">
            <v>L003 Ankleshwar</v>
          </cell>
          <cell r="J4352" t="str">
            <v>99 Input/Byprodt/Scrap</v>
          </cell>
          <cell r="K4352" t="str">
            <v>10.2012</v>
          </cell>
          <cell r="L4352">
            <v>2</v>
          </cell>
          <cell r="M4352" t="str">
            <v>EA</v>
          </cell>
          <cell r="N4352">
            <v>103</v>
          </cell>
          <cell r="O4352" t="str">
            <v>INR</v>
          </cell>
        </row>
        <row r="4353">
          <cell r="A4353" t="str">
            <v>L003 Ankleshwar</v>
          </cell>
          <cell r="B4353">
            <v>657874</v>
          </cell>
          <cell r="C4353" t="str">
            <v>SUCTION VALVE GASKET: PT.NO-N/1076/99</v>
          </cell>
          <cell r="D4353" t="str">
            <v>L0030151                       EnggStore</v>
          </cell>
          <cell r="E4353" t="str">
            <v>E01 E01</v>
          </cell>
          <cell r="F4353" t="str">
            <v>VB Manual reorder point planning</v>
          </cell>
          <cell r="G4353" t="str">
            <v>ERSA Spare parts</v>
          </cell>
          <cell r="H4353" t="str">
            <v>EN032     Pumpspares</v>
          </cell>
          <cell r="I4353" t="str">
            <v>L003 Ankleshwar</v>
          </cell>
          <cell r="J4353" t="str">
            <v>99 Input/Byprodt/Scrap</v>
          </cell>
          <cell r="K4353" t="str">
            <v>10.2012</v>
          </cell>
          <cell r="L4353">
            <v>9</v>
          </cell>
          <cell r="M4353" t="str">
            <v>EA</v>
          </cell>
          <cell r="N4353">
            <v>288</v>
          </cell>
          <cell r="O4353" t="str">
            <v>INR</v>
          </cell>
        </row>
        <row r="4354">
          <cell r="A4354" t="str">
            <v>L003 Ankleshwar</v>
          </cell>
          <cell r="B4354">
            <v>658018</v>
          </cell>
          <cell r="C4354" t="str">
            <v>PP BACK PLATE: P.NO:ANTICO PPCL-50CT</v>
          </cell>
          <cell r="D4354" t="str">
            <v>L0030151                       EnggStore</v>
          </cell>
          <cell r="E4354" t="str">
            <v>E34 E34</v>
          </cell>
          <cell r="F4354" t="str">
            <v>VB Manual reorder point planning</v>
          </cell>
          <cell r="G4354" t="str">
            <v>ERSA Spare parts</v>
          </cell>
          <cell r="H4354" t="str">
            <v>EN032     Pumpspares</v>
          </cell>
          <cell r="I4354" t="str">
            <v>L003 Ankleshwar</v>
          </cell>
          <cell r="J4354" t="str">
            <v>99 Input/Byprodt/Scrap</v>
          </cell>
          <cell r="K4354" t="str">
            <v>10.2012</v>
          </cell>
          <cell r="L4354">
            <v>1</v>
          </cell>
          <cell r="M4354" t="str">
            <v>EA</v>
          </cell>
          <cell r="N4354">
            <v>2264.8899999999899</v>
          </cell>
          <cell r="O4354" t="str">
            <v>INR</v>
          </cell>
        </row>
        <row r="4355">
          <cell r="A4355" t="str">
            <v>L003 Ankleshwar</v>
          </cell>
          <cell r="B4355">
            <v>658122</v>
          </cell>
          <cell r="C4355" t="str">
            <v>CASING UHMWPE FOR P3M VGP PUMP</v>
          </cell>
          <cell r="D4355" t="str">
            <v>L0030151                       EnggStore</v>
          </cell>
          <cell r="E4355">
            <v>0</v>
          </cell>
          <cell r="F4355" t="str">
            <v>ND No planning</v>
          </cell>
          <cell r="G4355" t="str">
            <v>ERSA Spare parts</v>
          </cell>
          <cell r="H4355" t="str">
            <v>EN038     MechanicalSeals&amp;Spar</v>
          </cell>
          <cell r="I4355" t="str">
            <v>L003 Ankleshwar</v>
          </cell>
          <cell r="J4355" t="str">
            <v>99 Input/Byprodt/Scrap</v>
          </cell>
          <cell r="K4355" t="str">
            <v>10.2012</v>
          </cell>
          <cell r="L4355">
            <v>1</v>
          </cell>
          <cell r="M4355" t="str">
            <v>EA</v>
          </cell>
          <cell r="N4355">
            <v>6092.9399999999896</v>
          </cell>
          <cell r="O4355" t="str">
            <v>INR</v>
          </cell>
        </row>
        <row r="4356">
          <cell r="A4356" t="str">
            <v>L003 Ankleshwar</v>
          </cell>
          <cell r="B4356">
            <v>658124</v>
          </cell>
          <cell r="C4356" t="str">
            <v>EXPELLER UHMWPE FOR P3M VGP PUMP</v>
          </cell>
          <cell r="D4356" t="str">
            <v>L0030151                       EnggStore</v>
          </cell>
          <cell r="E4356" t="str">
            <v>E34 E34</v>
          </cell>
          <cell r="F4356" t="str">
            <v>VB Manual reorder point planning</v>
          </cell>
          <cell r="G4356" t="str">
            <v>ERSA Spare parts</v>
          </cell>
          <cell r="H4356" t="str">
            <v>EN038     MechanicalSeals&amp;Spar</v>
          </cell>
          <cell r="I4356" t="str">
            <v>L003 Ankleshwar</v>
          </cell>
          <cell r="J4356" t="str">
            <v>99 Input/Byprodt/Scrap</v>
          </cell>
          <cell r="K4356" t="str">
            <v>10.2012</v>
          </cell>
          <cell r="L4356">
            <v>2</v>
          </cell>
          <cell r="M4356" t="str">
            <v>EA</v>
          </cell>
          <cell r="N4356">
            <v>8361.45999999999</v>
          </cell>
          <cell r="O4356" t="str">
            <v>INR</v>
          </cell>
        </row>
        <row r="4357">
          <cell r="A4357" t="str">
            <v>L003 Ankleshwar</v>
          </cell>
          <cell r="B4357">
            <v>658132</v>
          </cell>
          <cell r="C4357" t="str">
            <v>ADAPTOR SS-431 FOR P3M VGP PUMP</v>
          </cell>
          <cell r="D4357" t="str">
            <v>L0030151                       EnggStore</v>
          </cell>
          <cell r="E4357">
            <v>0</v>
          </cell>
          <cell r="F4357" t="str">
            <v>ND No planning</v>
          </cell>
          <cell r="G4357" t="str">
            <v>ERSA Spare parts</v>
          </cell>
          <cell r="H4357" t="str">
            <v>EN038     MechanicalSeals&amp;Spar</v>
          </cell>
          <cell r="I4357" t="str">
            <v>L003 Ankleshwar</v>
          </cell>
          <cell r="J4357" t="str">
            <v>99 Input/Byprodt/Scrap</v>
          </cell>
          <cell r="K4357" t="str">
            <v>10.2012</v>
          </cell>
          <cell r="L4357">
            <v>2</v>
          </cell>
          <cell r="M4357" t="str">
            <v>EA</v>
          </cell>
          <cell r="N4357">
            <v>5103.59</v>
          </cell>
          <cell r="O4357" t="str">
            <v>INR</v>
          </cell>
        </row>
        <row r="4358">
          <cell r="A4358" t="str">
            <v>L003 Ankleshwar</v>
          </cell>
          <cell r="B4358">
            <v>658133</v>
          </cell>
          <cell r="C4358" t="str">
            <v>IMPELLER UHMWPE FOR P2M VGP PUMP</v>
          </cell>
          <cell r="D4358" t="str">
            <v>L0030151                       EnggStore</v>
          </cell>
          <cell r="E4358" t="str">
            <v>E34 E34</v>
          </cell>
          <cell r="F4358" t="str">
            <v>VB Manual reorder point planning</v>
          </cell>
          <cell r="G4358" t="str">
            <v>ERSA Spare parts</v>
          </cell>
          <cell r="H4358" t="str">
            <v>EN032     Pumpspares</v>
          </cell>
          <cell r="I4358" t="str">
            <v>L003 Ankleshwar</v>
          </cell>
          <cell r="J4358" t="str">
            <v>99 Input/Byprodt/Scrap</v>
          </cell>
          <cell r="K4358" t="str">
            <v>10.2012</v>
          </cell>
          <cell r="L4358">
            <v>1</v>
          </cell>
          <cell r="M4358" t="str">
            <v>EA</v>
          </cell>
          <cell r="N4358">
            <v>6789.22</v>
          </cell>
          <cell r="O4358" t="str">
            <v>INR</v>
          </cell>
        </row>
        <row r="4359">
          <cell r="A4359" t="str">
            <v>L003 Ankleshwar</v>
          </cell>
          <cell r="B4359">
            <v>658135</v>
          </cell>
          <cell r="C4359" t="str">
            <v>UPPER ROTOR UHMWPE FOR P2M VGP PUMP</v>
          </cell>
          <cell r="D4359" t="str">
            <v>L0030151                       EnggStore</v>
          </cell>
          <cell r="E4359">
            <v>0</v>
          </cell>
          <cell r="F4359" t="str">
            <v>ND No planning</v>
          </cell>
          <cell r="G4359" t="str">
            <v>ERSA Spare parts</v>
          </cell>
          <cell r="H4359" t="str">
            <v>EN038     MechanicalSeals&amp;Spar</v>
          </cell>
          <cell r="I4359" t="str">
            <v>L003 Ankleshwar</v>
          </cell>
          <cell r="J4359" t="str">
            <v>99 Input/Byprodt/Scrap</v>
          </cell>
          <cell r="K4359" t="str">
            <v>10.2012</v>
          </cell>
          <cell r="L4359">
            <v>1</v>
          </cell>
          <cell r="M4359" t="str">
            <v>EA</v>
          </cell>
          <cell r="N4359">
            <v>2713.6799999999898</v>
          </cell>
          <cell r="O4359" t="str">
            <v>INR</v>
          </cell>
        </row>
        <row r="4360">
          <cell r="A4360" t="str">
            <v>L003 Ankleshwar</v>
          </cell>
          <cell r="B4360">
            <v>658136</v>
          </cell>
          <cell r="C4360" t="str">
            <v>EXPELLER UHMWPE FOR P2M VGP PUMP</v>
          </cell>
          <cell r="D4360" t="str">
            <v>L0030151                       EnggStore</v>
          </cell>
          <cell r="E4360" t="str">
            <v>E34 E34</v>
          </cell>
          <cell r="F4360" t="str">
            <v>VB Manual reorder point planning</v>
          </cell>
          <cell r="G4360" t="str">
            <v>ERSA Spare parts</v>
          </cell>
          <cell r="H4360" t="str">
            <v>EN032     Pumpspares</v>
          </cell>
          <cell r="I4360" t="str">
            <v>L003 Ankleshwar</v>
          </cell>
          <cell r="J4360" t="str">
            <v>99 Input/Byprodt/Scrap</v>
          </cell>
          <cell r="K4360" t="str">
            <v>10.2012</v>
          </cell>
          <cell r="L4360">
            <v>1</v>
          </cell>
          <cell r="M4360" t="str">
            <v>EA</v>
          </cell>
          <cell r="N4360">
            <v>2310.7800000000002</v>
          </cell>
          <cell r="O4360" t="str">
            <v>INR</v>
          </cell>
        </row>
        <row r="4361">
          <cell r="A4361" t="str">
            <v>L003 Ankleshwar</v>
          </cell>
          <cell r="B4361">
            <v>658137</v>
          </cell>
          <cell r="C4361" t="str">
            <v>WASHER PTFE FOR P2M VGP PUMP</v>
          </cell>
          <cell r="D4361" t="str">
            <v>L0030151                       EnggStore</v>
          </cell>
          <cell r="E4361">
            <v>0</v>
          </cell>
          <cell r="F4361" t="str">
            <v>ND No planning</v>
          </cell>
          <cell r="G4361" t="str">
            <v>ERSA Spare parts</v>
          </cell>
          <cell r="H4361" t="str">
            <v>EN038     MechanicalSeals&amp;Spar</v>
          </cell>
          <cell r="I4361" t="str">
            <v>L003 Ankleshwar</v>
          </cell>
          <cell r="J4361" t="str">
            <v>99 Input/Byprodt/Scrap</v>
          </cell>
          <cell r="K4361" t="str">
            <v>10.2012</v>
          </cell>
          <cell r="L4361">
            <v>1</v>
          </cell>
          <cell r="M4361" t="str">
            <v>EA</v>
          </cell>
          <cell r="N4361">
            <v>153.599999999999</v>
          </cell>
          <cell r="O4361" t="str">
            <v>INR</v>
          </cell>
        </row>
        <row r="4362">
          <cell r="A4362" t="str">
            <v>L003 Ankleshwar</v>
          </cell>
          <cell r="B4362">
            <v>658146</v>
          </cell>
          <cell r="C4362" t="str">
            <v>ROTOCON 2500L HORIZON VACUUM PIPE-SS</v>
          </cell>
          <cell r="D4362" t="str">
            <v>L0030151                       EnggStore</v>
          </cell>
          <cell r="E4362">
            <v>0</v>
          </cell>
          <cell r="F4362" t="str">
            <v>ND No planning</v>
          </cell>
          <cell r="G4362" t="str">
            <v>ERSA Spare parts</v>
          </cell>
          <cell r="H4362" t="str">
            <v>EN039     PlantEquipmentSpares</v>
          </cell>
          <cell r="I4362" t="str">
            <v>L003 Ankleshwar</v>
          </cell>
          <cell r="J4362" t="str">
            <v>99 Input/Byprodt/Scrap</v>
          </cell>
          <cell r="K4362" t="str">
            <v>10.2012</v>
          </cell>
          <cell r="L4362">
            <v>1</v>
          </cell>
          <cell r="M4362" t="str">
            <v>EA</v>
          </cell>
          <cell r="N4362">
            <v>11475</v>
          </cell>
          <cell r="O4362" t="str">
            <v>INR</v>
          </cell>
        </row>
        <row r="4363">
          <cell r="A4363" t="str">
            <v>L003 Ankleshwar</v>
          </cell>
          <cell r="B4363">
            <v>658239</v>
          </cell>
          <cell r="C4363" t="str">
            <v>FILTER MESH FOR STRAINER TA17/FA20</v>
          </cell>
          <cell r="D4363" t="str">
            <v>L0030151                       EnggStore</v>
          </cell>
          <cell r="E4363">
            <v>0</v>
          </cell>
          <cell r="F4363" t="str">
            <v>ND No planning</v>
          </cell>
          <cell r="G4363" t="str">
            <v>ERSA Spare parts</v>
          </cell>
          <cell r="H4363" t="str">
            <v>EN017     InstrumentSpares</v>
          </cell>
          <cell r="I4363" t="str">
            <v>L003 Ankleshwar</v>
          </cell>
          <cell r="J4363" t="str">
            <v>99 Input/Byprodt/Scrap</v>
          </cell>
          <cell r="K4363" t="str">
            <v>10.2012</v>
          </cell>
          <cell r="L4363">
            <v>3</v>
          </cell>
          <cell r="M4363" t="str">
            <v>EA</v>
          </cell>
          <cell r="N4363">
            <v>1889.24</v>
          </cell>
          <cell r="O4363" t="str">
            <v>INR</v>
          </cell>
        </row>
        <row r="4364">
          <cell r="A4364" t="str">
            <v>L003 Ankleshwar</v>
          </cell>
          <cell r="B4364">
            <v>658341</v>
          </cell>
          <cell r="C4364" t="str">
            <v>PUMP SHAFT MS: P.NO:ANTICO PPCL-50CT</v>
          </cell>
          <cell r="D4364" t="str">
            <v>L0030151                       EnggStore</v>
          </cell>
          <cell r="E4364" t="str">
            <v>E35 E35</v>
          </cell>
          <cell r="F4364" t="str">
            <v>VB Manual reorder point planning</v>
          </cell>
          <cell r="G4364" t="str">
            <v>ERSA Spare parts</v>
          </cell>
          <cell r="H4364" t="str">
            <v>EN032     Pumpspares</v>
          </cell>
          <cell r="I4364" t="str">
            <v>L003 Ankleshwar</v>
          </cell>
          <cell r="J4364" t="str">
            <v>99 Input/Byprodt/Scrap</v>
          </cell>
          <cell r="K4364" t="str">
            <v>10.2012</v>
          </cell>
          <cell r="L4364">
            <v>2</v>
          </cell>
          <cell r="M4364" t="str">
            <v>EA</v>
          </cell>
          <cell r="N4364">
            <v>3315</v>
          </cell>
          <cell r="O4364" t="str">
            <v>INR</v>
          </cell>
        </row>
        <row r="4365">
          <cell r="A4365" t="str">
            <v>L003 Ankleshwar</v>
          </cell>
          <cell r="B4365">
            <v>658403</v>
          </cell>
          <cell r="C4365" t="str">
            <v>EQUAL TEE-MS/HDPE LINED: 50MM</v>
          </cell>
          <cell r="D4365" t="str">
            <v>L0030201                       Cons StoreKP</v>
          </cell>
          <cell r="E4365">
            <v>0</v>
          </cell>
          <cell r="F4365" t="str">
            <v>ND No planning</v>
          </cell>
          <cell r="G4365" t="str">
            <v>ERSA Spare parts</v>
          </cell>
          <cell r="H4365" t="str">
            <v>EN028     Pipes&amp;pipefittings</v>
          </cell>
          <cell r="I4365" t="str">
            <v>L003 Ankleshwar</v>
          </cell>
          <cell r="J4365" t="str">
            <v>99 Input/Byprodt/Scrap</v>
          </cell>
          <cell r="K4365" t="str">
            <v>10.2012</v>
          </cell>
          <cell r="L4365">
            <v>1</v>
          </cell>
          <cell r="M4365" t="str">
            <v>EA</v>
          </cell>
          <cell r="N4365">
            <v>1073.5899999999899</v>
          </cell>
          <cell r="O4365" t="str">
            <v>INR</v>
          </cell>
        </row>
        <row r="4366">
          <cell r="A4366" t="str">
            <v>L003 Ankleshwar</v>
          </cell>
          <cell r="B4366">
            <v>658442</v>
          </cell>
          <cell r="C4366" t="str">
            <v>SILICON RECT.SPONGE SEC: 20MMX5MM TH.</v>
          </cell>
          <cell r="D4366" t="str">
            <v>L0030151                       EnggStore</v>
          </cell>
          <cell r="E4366">
            <v>0</v>
          </cell>
          <cell r="F4366" t="str">
            <v>ND No planning</v>
          </cell>
          <cell r="G4366" t="str">
            <v>ERSA Spare parts</v>
          </cell>
          <cell r="H4366" t="str">
            <v>EN024     EnggConsumables</v>
          </cell>
          <cell r="I4366" t="str">
            <v>L003 Ankleshwar</v>
          </cell>
          <cell r="J4366" t="str">
            <v>99 Input/Byprodt/Scrap</v>
          </cell>
          <cell r="K4366" t="str">
            <v>10.2012</v>
          </cell>
          <cell r="L4366">
            <v>31</v>
          </cell>
          <cell r="M4366" t="str">
            <v>M</v>
          </cell>
          <cell r="N4366">
            <v>2263</v>
          </cell>
          <cell r="O4366" t="str">
            <v>INR</v>
          </cell>
        </row>
        <row r="4367">
          <cell r="A4367" t="str">
            <v>L003 Ankleshwar</v>
          </cell>
          <cell r="B4367">
            <v>658444</v>
          </cell>
          <cell r="C4367" t="str">
            <v>CPP COOLENT WT SUPRA</v>
          </cell>
          <cell r="D4367" t="str">
            <v>L0030151                       EnggStore</v>
          </cell>
          <cell r="E4367" t="str">
            <v>E01 E01</v>
          </cell>
          <cell r="F4367" t="str">
            <v>VB Manual reorder point planning</v>
          </cell>
          <cell r="G4367" t="str">
            <v>ERSA Spare parts</v>
          </cell>
          <cell r="H4367" t="str">
            <v>EN029     Powerplantitems</v>
          </cell>
          <cell r="I4367" t="str">
            <v>L003 Ankleshwar</v>
          </cell>
          <cell r="J4367" t="str">
            <v>99 Input/Byprodt/Scrap</v>
          </cell>
          <cell r="K4367" t="str">
            <v>10.2012</v>
          </cell>
          <cell r="L4367">
            <v>100</v>
          </cell>
          <cell r="M4367" t="str">
            <v>L</v>
          </cell>
          <cell r="N4367">
            <v>27479</v>
          </cell>
          <cell r="O4367" t="str">
            <v>INR</v>
          </cell>
        </row>
        <row r="4368">
          <cell r="A4368" t="str">
            <v>L003 Ankleshwar</v>
          </cell>
          <cell r="B4368">
            <v>658522</v>
          </cell>
          <cell r="C4368" t="str">
            <v>ROLLER BEARING: NJ-2208 ECJ</v>
          </cell>
          <cell r="D4368" t="str">
            <v>L0030151                       EnggStore</v>
          </cell>
          <cell r="E4368" t="str">
            <v>E36 E36</v>
          </cell>
          <cell r="F4368" t="str">
            <v>VB Manual reorder point planning</v>
          </cell>
          <cell r="G4368" t="str">
            <v>ERSA Spare parts</v>
          </cell>
          <cell r="H4368" t="str">
            <v>EN009     Bearings</v>
          </cell>
          <cell r="I4368" t="str">
            <v>L003 Ankleshwar</v>
          </cell>
          <cell r="J4368" t="str">
            <v>99 Input/Byprodt/Scrap</v>
          </cell>
          <cell r="K4368" t="str">
            <v>10.2012</v>
          </cell>
          <cell r="L4368">
            <v>1</v>
          </cell>
          <cell r="M4368" t="str">
            <v>EA</v>
          </cell>
          <cell r="N4368">
            <v>2904.26</v>
          </cell>
          <cell r="O4368" t="str">
            <v>INR</v>
          </cell>
        </row>
        <row r="4369">
          <cell r="A4369" t="str">
            <v>L003 Ankleshwar</v>
          </cell>
          <cell r="B4369">
            <v>658862</v>
          </cell>
          <cell r="C4369" t="str">
            <v>CR OIL SEAL: 35X50X7</v>
          </cell>
          <cell r="D4369" t="str">
            <v>L0030151                       EnggStore</v>
          </cell>
          <cell r="E4369" t="str">
            <v>E35 E35</v>
          </cell>
          <cell r="F4369" t="str">
            <v>VB Manual reorder point planning</v>
          </cell>
          <cell r="G4369" t="str">
            <v>ERSA Spare parts</v>
          </cell>
          <cell r="H4369" t="str">
            <v>EN020     RubberItems&amp;Oil Seal</v>
          </cell>
          <cell r="I4369" t="str">
            <v>L003 Ankleshwar</v>
          </cell>
          <cell r="J4369" t="str">
            <v>99 Input/Byprodt/Scrap</v>
          </cell>
          <cell r="K4369" t="str">
            <v>10.2012</v>
          </cell>
          <cell r="L4369">
            <v>1</v>
          </cell>
          <cell r="M4369" t="str">
            <v>EA</v>
          </cell>
          <cell r="N4369">
            <v>282.60000000000002</v>
          </cell>
          <cell r="O4369" t="str">
            <v>INR</v>
          </cell>
        </row>
        <row r="4370">
          <cell r="A4370" t="str">
            <v>L003 Ankleshwar</v>
          </cell>
          <cell r="B4370">
            <v>658865</v>
          </cell>
          <cell r="C4370" t="str">
            <v>CR OIL SEAL: 55X72X10</v>
          </cell>
          <cell r="D4370" t="str">
            <v>L0030151                       EnggStore</v>
          </cell>
          <cell r="E4370" t="str">
            <v>E35 E35</v>
          </cell>
          <cell r="F4370" t="str">
            <v>VB Manual reorder point planning</v>
          </cell>
          <cell r="G4370" t="str">
            <v>ERSA Spare parts</v>
          </cell>
          <cell r="H4370" t="str">
            <v>EN020     RubberItems&amp;Oil Seal</v>
          </cell>
          <cell r="I4370" t="str">
            <v>L003 Ankleshwar</v>
          </cell>
          <cell r="J4370" t="str">
            <v>99 Input/Byprodt/Scrap</v>
          </cell>
          <cell r="K4370" t="str">
            <v>10.2012</v>
          </cell>
          <cell r="L4370">
            <v>1</v>
          </cell>
          <cell r="M4370" t="str">
            <v>EA</v>
          </cell>
          <cell r="N4370">
            <v>138.599999999999</v>
          </cell>
          <cell r="O4370" t="str">
            <v>INR</v>
          </cell>
        </row>
        <row r="4371">
          <cell r="A4371" t="str">
            <v>L003 Ankleshwar</v>
          </cell>
          <cell r="B4371">
            <v>658881</v>
          </cell>
          <cell r="C4371" t="str">
            <v>EPDM GASKET-AK20-ALFA PHE</v>
          </cell>
          <cell r="D4371" t="str">
            <v>L0030151                       EnggStore</v>
          </cell>
          <cell r="E4371" t="str">
            <v>E35 E35</v>
          </cell>
          <cell r="F4371" t="str">
            <v>VB Manual reorder point planning</v>
          </cell>
          <cell r="G4371" t="str">
            <v>ERSA Spare parts</v>
          </cell>
          <cell r="H4371" t="str">
            <v>EN024     EnggConsumables</v>
          </cell>
          <cell r="I4371" t="str">
            <v>L003 Ankleshwar</v>
          </cell>
          <cell r="J4371" t="str">
            <v>99 Input/Byprodt/Scrap</v>
          </cell>
          <cell r="K4371" t="str">
            <v>10.2012</v>
          </cell>
          <cell r="L4371">
            <v>20</v>
          </cell>
          <cell r="M4371" t="str">
            <v>EA</v>
          </cell>
          <cell r="N4371">
            <v>31939.2599999999</v>
          </cell>
          <cell r="O4371" t="str">
            <v>INR</v>
          </cell>
        </row>
        <row r="4372">
          <cell r="A4372" t="str">
            <v>L003 Ankleshwar</v>
          </cell>
          <cell r="B4372">
            <v>659044</v>
          </cell>
          <cell r="C4372" t="str">
            <v>DIAPHRAGMS TOP ASSEMBLY: P.NO:0413731073</v>
          </cell>
          <cell r="D4372" t="str">
            <v>L0030151                       EnggStore</v>
          </cell>
          <cell r="E4372">
            <v>0</v>
          </cell>
          <cell r="F4372" t="str">
            <v>ND No planning</v>
          </cell>
          <cell r="G4372" t="str">
            <v>ERSA Spare parts</v>
          </cell>
          <cell r="H4372" t="str">
            <v>EN011     UtlChem/Lub/Fuel/Gas</v>
          </cell>
          <cell r="I4372" t="str">
            <v>L003 Ankleshwar</v>
          </cell>
          <cell r="J4372" t="str">
            <v>99 Input/Byprodt/Scrap</v>
          </cell>
          <cell r="K4372" t="str">
            <v>10.2012</v>
          </cell>
          <cell r="L4372">
            <v>1</v>
          </cell>
          <cell r="M4372" t="str">
            <v>EA</v>
          </cell>
          <cell r="N4372">
            <v>1340.28</v>
          </cell>
          <cell r="O4372" t="str">
            <v>INR</v>
          </cell>
        </row>
        <row r="4373">
          <cell r="A4373" t="str">
            <v>L003 Ankleshwar</v>
          </cell>
          <cell r="B4373">
            <v>659061</v>
          </cell>
          <cell r="C4373" t="str">
            <v>V-BELT POWER FLEX SPAX-1250</v>
          </cell>
          <cell r="D4373" t="str">
            <v>L0030151                       EnggStore</v>
          </cell>
          <cell r="E4373" t="str">
            <v>E35 E35</v>
          </cell>
          <cell r="F4373" t="str">
            <v>VB Manual reorder point planning</v>
          </cell>
          <cell r="G4373" t="str">
            <v>ERSA Spare parts</v>
          </cell>
          <cell r="H4373" t="str">
            <v>EN021     VbeltCoupling&amp;Pulley</v>
          </cell>
          <cell r="I4373" t="str">
            <v>L003 Ankleshwar</v>
          </cell>
          <cell r="J4373" t="str">
            <v>99 Input/Byprodt/Scrap</v>
          </cell>
          <cell r="K4373" t="str">
            <v>10.2012</v>
          </cell>
          <cell r="L4373">
            <v>6</v>
          </cell>
          <cell r="M4373" t="str">
            <v>EA</v>
          </cell>
          <cell r="N4373">
            <v>1481.22</v>
          </cell>
          <cell r="O4373" t="str">
            <v>INR</v>
          </cell>
        </row>
        <row r="4374">
          <cell r="A4374" t="str">
            <v>L003 Ankleshwar</v>
          </cell>
          <cell r="B4374">
            <v>659062</v>
          </cell>
          <cell r="C4374" t="str">
            <v>CF LAMP: 20W/11-860 OSRAM SCREW TYPE</v>
          </cell>
          <cell r="D4374" t="str">
            <v>L0030151                       EnggStore</v>
          </cell>
          <cell r="E4374" t="str">
            <v>E36 E36</v>
          </cell>
          <cell r="F4374" t="str">
            <v>VB Manual reorder point planning</v>
          </cell>
          <cell r="G4374" t="str">
            <v>ERSA Spare parts</v>
          </cell>
          <cell r="H4374" t="str">
            <v>EN005     Elec Lighting</v>
          </cell>
          <cell r="I4374" t="str">
            <v>L003 Ankleshwar</v>
          </cell>
          <cell r="J4374" t="str">
            <v>99 Input/Byprodt/Scrap</v>
          </cell>
          <cell r="K4374" t="str">
            <v>10.2012</v>
          </cell>
          <cell r="L4374">
            <v>28</v>
          </cell>
          <cell r="M4374" t="str">
            <v>EA</v>
          </cell>
          <cell r="N4374">
            <v>3640</v>
          </cell>
          <cell r="O4374" t="str">
            <v>INR</v>
          </cell>
        </row>
        <row r="4375">
          <cell r="A4375" t="str">
            <v>L003 Ankleshwar</v>
          </cell>
          <cell r="B4375">
            <v>659062</v>
          </cell>
          <cell r="C4375" t="str">
            <v>CF LAMP: 20W/11-860 OSRAM SCREW TYPE</v>
          </cell>
          <cell r="D4375" t="str">
            <v>L0030201                       Cons StoreKP</v>
          </cell>
          <cell r="E4375" t="str">
            <v>E36 E36</v>
          </cell>
          <cell r="F4375" t="str">
            <v>VB Manual reorder point planning</v>
          </cell>
          <cell r="G4375" t="str">
            <v>ERSA Spare parts</v>
          </cell>
          <cell r="H4375" t="str">
            <v>EN005     Elec Lighting</v>
          </cell>
          <cell r="I4375" t="str">
            <v>L003 Ankleshwar</v>
          </cell>
          <cell r="J4375" t="str">
            <v>99 Input/Byprodt/Scrap</v>
          </cell>
          <cell r="K4375" t="str">
            <v>10.2012</v>
          </cell>
          <cell r="L4375">
            <v>16</v>
          </cell>
          <cell r="M4375" t="str">
            <v>EA</v>
          </cell>
          <cell r="N4375">
            <v>2080</v>
          </cell>
          <cell r="O4375" t="str">
            <v>INR</v>
          </cell>
        </row>
        <row r="4376">
          <cell r="A4376" t="str">
            <v>L003 Ankleshwar</v>
          </cell>
          <cell r="B4376">
            <v>659110</v>
          </cell>
          <cell r="C4376" t="str">
            <v>NEOPRINE RUBBER ROPE: 4MM FOR RO PLANT</v>
          </cell>
          <cell r="D4376" t="str">
            <v>L0030151                       EnggStore</v>
          </cell>
          <cell r="E4376" t="str">
            <v>E33 E33</v>
          </cell>
          <cell r="F4376" t="str">
            <v>VB Manual reorder point planning</v>
          </cell>
          <cell r="G4376" t="str">
            <v>ERSA Spare parts</v>
          </cell>
          <cell r="H4376" t="str">
            <v>EN020     RubberItems&amp;Oil Seal</v>
          </cell>
          <cell r="I4376" t="str">
            <v>L003 Ankleshwar</v>
          </cell>
          <cell r="J4376" t="str">
            <v>99 Input/Byprodt/Scrap</v>
          </cell>
          <cell r="K4376" t="str">
            <v>10.2012</v>
          </cell>
          <cell r="L4376">
            <v>24</v>
          </cell>
          <cell r="M4376" t="str">
            <v>M</v>
          </cell>
          <cell r="N4376">
            <v>318.72000000000003</v>
          </cell>
          <cell r="O4376" t="str">
            <v>INR</v>
          </cell>
        </row>
        <row r="4377">
          <cell r="A4377" t="str">
            <v>L003 Ankleshwar</v>
          </cell>
          <cell r="B4377">
            <v>659111</v>
          </cell>
          <cell r="C4377" t="str">
            <v>VITON O-RING: 24X2.5MM FOR RO PLANT</v>
          </cell>
          <cell r="D4377" t="str">
            <v>L0030151                       EnggStore</v>
          </cell>
          <cell r="E4377">
            <v>0</v>
          </cell>
          <cell r="F4377" t="str">
            <v>ND No planning</v>
          </cell>
          <cell r="G4377" t="str">
            <v>ERSA Spare parts</v>
          </cell>
          <cell r="H4377" t="str">
            <v>EN020     RubberItems&amp;Oil Seal</v>
          </cell>
          <cell r="I4377" t="str">
            <v>L003 Ankleshwar</v>
          </cell>
          <cell r="J4377" t="str">
            <v>99 Input/Byprodt/Scrap</v>
          </cell>
          <cell r="K4377" t="str">
            <v>10.2012</v>
          </cell>
          <cell r="L4377">
            <v>12</v>
          </cell>
          <cell r="M4377" t="str">
            <v>EA</v>
          </cell>
          <cell r="N4377">
            <v>480</v>
          </cell>
          <cell r="O4377" t="str">
            <v>INR</v>
          </cell>
        </row>
        <row r="4378">
          <cell r="A4378" t="str">
            <v>L003 Ankleshwar</v>
          </cell>
          <cell r="B4378">
            <v>659115</v>
          </cell>
          <cell r="C4378" t="str">
            <v>CYLINDRICAL ROLLER BEARING: UC-212-204</v>
          </cell>
          <cell r="D4378" t="str">
            <v>L0030151                       EnggStore</v>
          </cell>
          <cell r="E4378">
            <v>0</v>
          </cell>
          <cell r="F4378" t="str">
            <v>ND No planning</v>
          </cell>
          <cell r="G4378" t="str">
            <v>ERSA Spare parts</v>
          </cell>
          <cell r="H4378" t="str">
            <v>EN009     Bearings</v>
          </cell>
          <cell r="I4378" t="str">
            <v>L003 Ankleshwar</v>
          </cell>
          <cell r="J4378" t="str">
            <v>99 Input/Byprodt/Scrap</v>
          </cell>
          <cell r="K4378" t="str">
            <v>10.2012</v>
          </cell>
          <cell r="L4378">
            <v>3</v>
          </cell>
          <cell r="M4378" t="str">
            <v>EA</v>
          </cell>
          <cell r="N4378">
            <v>4680</v>
          </cell>
          <cell r="O4378" t="str">
            <v>INR</v>
          </cell>
        </row>
        <row r="4379">
          <cell r="A4379" t="str">
            <v>L003 Ankleshwar</v>
          </cell>
          <cell r="B4379">
            <v>659138</v>
          </cell>
          <cell r="C4379" t="str">
            <v>PCS BAG FILL SILICON GASKET:ID265-C/S 40</v>
          </cell>
          <cell r="D4379" t="str">
            <v>L0030151                       EnggStore</v>
          </cell>
          <cell r="E4379">
            <v>0</v>
          </cell>
          <cell r="F4379" t="str">
            <v>ND No planning</v>
          </cell>
          <cell r="G4379" t="str">
            <v>ERSA Spare parts</v>
          </cell>
          <cell r="H4379" t="str">
            <v>EN024     EnggConsumables</v>
          </cell>
          <cell r="I4379" t="str">
            <v>L003 Ankleshwar</v>
          </cell>
          <cell r="J4379" t="str">
            <v>99 Input/Byprodt/Scrap</v>
          </cell>
          <cell r="K4379" t="str">
            <v>10.2012</v>
          </cell>
          <cell r="L4379">
            <v>1</v>
          </cell>
          <cell r="M4379" t="str">
            <v>EA</v>
          </cell>
          <cell r="N4379">
            <v>4847.6099999999897</v>
          </cell>
          <cell r="O4379" t="str">
            <v>INR</v>
          </cell>
        </row>
        <row r="4380">
          <cell r="A4380" t="str">
            <v>L003 Ankleshwar</v>
          </cell>
          <cell r="B4380">
            <v>659139</v>
          </cell>
          <cell r="C4380" t="str">
            <v>PCS BAG FILL SILICON GASKET:ID347-C/S 52</v>
          </cell>
          <cell r="D4380" t="str">
            <v>L0030151                       EnggStore</v>
          </cell>
          <cell r="E4380">
            <v>0</v>
          </cell>
          <cell r="F4380" t="str">
            <v>ND No planning</v>
          </cell>
          <cell r="G4380" t="str">
            <v>ERSA Spare parts</v>
          </cell>
          <cell r="H4380" t="str">
            <v>EN024     EnggConsumables</v>
          </cell>
          <cell r="I4380" t="str">
            <v>L003 Ankleshwar</v>
          </cell>
          <cell r="J4380" t="str">
            <v>99 Input/Byprodt/Scrap</v>
          </cell>
          <cell r="K4380" t="str">
            <v>10.2012</v>
          </cell>
          <cell r="L4380">
            <v>1</v>
          </cell>
          <cell r="M4380" t="str">
            <v>EA</v>
          </cell>
          <cell r="N4380">
            <v>5991.4399999999896</v>
          </cell>
          <cell r="O4380" t="str">
            <v>INR</v>
          </cell>
        </row>
        <row r="4381">
          <cell r="A4381" t="str">
            <v>L003 Ankleshwar</v>
          </cell>
          <cell r="B4381">
            <v>659140</v>
          </cell>
          <cell r="C4381" t="str">
            <v>PCS BAG FILL SILICON GASKET:ID224-C/S114</v>
          </cell>
          <cell r="D4381" t="str">
            <v>L0030151                       EnggStore</v>
          </cell>
          <cell r="E4381">
            <v>0</v>
          </cell>
          <cell r="F4381" t="str">
            <v>ND No planning</v>
          </cell>
          <cell r="G4381" t="str">
            <v>ERSA Spare parts</v>
          </cell>
          <cell r="H4381" t="str">
            <v>EN024     EnggConsumables</v>
          </cell>
          <cell r="I4381" t="str">
            <v>L003 Ankleshwar</v>
          </cell>
          <cell r="J4381" t="str">
            <v>99 Input/Byprodt/Scrap</v>
          </cell>
          <cell r="K4381" t="str">
            <v>10.2012</v>
          </cell>
          <cell r="L4381">
            <v>1</v>
          </cell>
          <cell r="M4381" t="str">
            <v>EA</v>
          </cell>
          <cell r="N4381">
            <v>7189.72</v>
          </cell>
          <cell r="O4381" t="str">
            <v>INR</v>
          </cell>
        </row>
        <row r="4382">
          <cell r="A4382" t="str">
            <v>L003 Ankleshwar</v>
          </cell>
          <cell r="B4382">
            <v>659143</v>
          </cell>
          <cell r="C4382" t="str">
            <v>SILICON BELLOW: ID118-L250-THICK3</v>
          </cell>
          <cell r="D4382" t="str">
            <v>L0030151                       EnggStore</v>
          </cell>
          <cell r="E4382">
            <v>0</v>
          </cell>
          <cell r="F4382" t="str">
            <v>ND No planning</v>
          </cell>
          <cell r="G4382" t="str">
            <v>ERSA Spare parts</v>
          </cell>
          <cell r="H4382" t="str">
            <v>EN024     EnggConsumables</v>
          </cell>
          <cell r="I4382" t="str">
            <v>L003 Ankleshwar</v>
          </cell>
          <cell r="J4382" t="str">
            <v>99 Input/Byprodt/Scrap</v>
          </cell>
          <cell r="K4382" t="str">
            <v>10.2012</v>
          </cell>
          <cell r="L4382">
            <v>1</v>
          </cell>
          <cell r="M4382" t="str">
            <v>EA</v>
          </cell>
          <cell r="N4382">
            <v>3883.9699999999898</v>
          </cell>
          <cell r="O4382" t="str">
            <v>INR</v>
          </cell>
        </row>
        <row r="4383">
          <cell r="A4383" t="str">
            <v>L003 Ankleshwar</v>
          </cell>
          <cell r="B4383">
            <v>659144</v>
          </cell>
          <cell r="C4383" t="str">
            <v>SILICON BELLOW: ID163-L140-THICK3</v>
          </cell>
          <cell r="D4383" t="str">
            <v>L0030151                       EnggStore</v>
          </cell>
          <cell r="E4383">
            <v>0</v>
          </cell>
          <cell r="F4383" t="str">
            <v>ND No planning</v>
          </cell>
          <cell r="G4383" t="str">
            <v>ERSA Spare parts</v>
          </cell>
          <cell r="H4383" t="str">
            <v>EN024     EnggConsumables</v>
          </cell>
          <cell r="I4383" t="str">
            <v>L003 Ankleshwar</v>
          </cell>
          <cell r="J4383" t="str">
            <v>99 Input/Byprodt/Scrap</v>
          </cell>
          <cell r="K4383" t="str">
            <v>10.2012</v>
          </cell>
          <cell r="L4383">
            <v>1</v>
          </cell>
          <cell r="M4383" t="str">
            <v>EA</v>
          </cell>
          <cell r="N4383">
            <v>4120.6199999999899</v>
          </cell>
          <cell r="O4383" t="str">
            <v>INR</v>
          </cell>
        </row>
        <row r="4384">
          <cell r="A4384" t="str">
            <v>L003 Ankleshwar</v>
          </cell>
          <cell r="B4384">
            <v>659146</v>
          </cell>
          <cell r="C4384" t="str">
            <v>SILICON BELLOW: ID237-L300-THICK3</v>
          </cell>
          <cell r="D4384" t="str">
            <v>L0030151                       EnggStore</v>
          </cell>
          <cell r="E4384">
            <v>0</v>
          </cell>
          <cell r="F4384" t="str">
            <v>ND No planning</v>
          </cell>
          <cell r="G4384" t="str">
            <v>ERSA Spare parts</v>
          </cell>
          <cell r="H4384" t="str">
            <v>EN024     EnggConsumables</v>
          </cell>
          <cell r="I4384" t="str">
            <v>L003 Ankleshwar</v>
          </cell>
          <cell r="J4384" t="str">
            <v>99 Input/Byprodt/Scrap</v>
          </cell>
          <cell r="K4384" t="str">
            <v>10.2012</v>
          </cell>
          <cell r="L4384">
            <v>1</v>
          </cell>
          <cell r="M4384" t="str">
            <v>EA</v>
          </cell>
          <cell r="N4384">
            <v>9153.61</v>
          </cell>
          <cell r="O4384" t="str">
            <v>INR</v>
          </cell>
        </row>
        <row r="4385">
          <cell r="A4385" t="str">
            <v>L003 Ankleshwar</v>
          </cell>
          <cell r="B4385">
            <v>659226</v>
          </cell>
          <cell r="C4385" t="str">
            <v>ALUMINIUM ROD: 25MM DIA</v>
          </cell>
          <cell r="D4385" t="str">
            <v>L0030151                       EnggStore</v>
          </cell>
          <cell r="E4385">
            <v>0</v>
          </cell>
          <cell r="F4385" t="str">
            <v>ND No planning</v>
          </cell>
          <cell r="G4385" t="str">
            <v>ERSA Spare parts</v>
          </cell>
          <cell r="H4385" t="str">
            <v>EN036     Tools&amp;tackles</v>
          </cell>
          <cell r="I4385" t="str">
            <v>L003 Ankleshwar</v>
          </cell>
          <cell r="J4385" t="str">
            <v>99 Input/Byprodt/Scrap</v>
          </cell>
          <cell r="K4385" t="str">
            <v>10.2012</v>
          </cell>
          <cell r="L4385">
            <v>1</v>
          </cell>
          <cell r="M4385" t="str">
            <v>M</v>
          </cell>
          <cell r="N4385">
            <v>375</v>
          </cell>
          <cell r="O4385" t="str">
            <v>INR</v>
          </cell>
        </row>
        <row r="4386">
          <cell r="A4386" t="str">
            <v>L003 Ankleshwar</v>
          </cell>
          <cell r="B4386">
            <v>659227</v>
          </cell>
          <cell r="C4386" t="str">
            <v>ALUMINIUM ROD: 40MM DIA</v>
          </cell>
          <cell r="D4386" t="str">
            <v>L0030151                       EnggStore</v>
          </cell>
          <cell r="E4386">
            <v>0</v>
          </cell>
          <cell r="F4386" t="str">
            <v>ND No planning</v>
          </cell>
          <cell r="G4386" t="str">
            <v>ERSA Spare parts</v>
          </cell>
          <cell r="H4386" t="str">
            <v>EN036     Tools&amp;tackles</v>
          </cell>
          <cell r="I4386" t="str">
            <v>L003 Ankleshwar</v>
          </cell>
          <cell r="J4386" t="str">
            <v>99 Input/Byprodt/Scrap</v>
          </cell>
          <cell r="K4386" t="str">
            <v>10.2012</v>
          </cell>
          <cell r="L4386">
            <v>1</v>
          </cell>
          <cell r="M4386" t="str">
            <v>M</v>
          </cell>
          <cell r="N4386">
            <v>790</v>
          </cell>
          <cell r="O4386" t="str">
            <v>INR</v>
          </cell>
        </row>
        <row r="4387">
          <cell r="A4387" t="str">
            <v>L003 Ankleshwar</v>
          </cell>
          <cell r="B4387">
            <v>659239</v>
          </cell>
          <cell r="C4387" t="str">
            <v>CRANKED FACING TOOL-LH</v>
          </cell>
          <cell r="D4387" t="str">
            <v>L0030151                       EnggStore</v>
          </cell>
          <cell r="E4387">
            <v>0</v>
          </cell>
          <cell r="F4387" t="str">
            <v>ND No planning</v>
          </cell>
          <cell r="G4387" t="str">
            <v>ERSA Spare parts</v>
          </cell>
          <cell r="H4387" t="str">
            <v>EN036     Tools&amp;tackles</v>
          </cell>
          <cell r="I4387" t="str">
            <v>L003 Ankleshwar</v>
          </cell>
          <cell r="J4387" t="str">
            <v>99 Input/Byprodt/Scrap</v>
          </cell>
          <cell r="K4387" t="str">
            <v>10.2012</v>
          </cell>
          <cell r="L4387">
            <v>1</v>
          </cell>
          <cell r="M4387" t="str">
            <v>EA</v>
          </cell>
          <cell r="N4387">
            <v>651.16999999999905</v>
          </cell>
          <cell r="O4387" t="str">
            <v>INR</v>
          </cell>
        </row>
        <row r="4388">
          <cell r="A4388" t="str">
            <v>L003 Ankleshwar</v>
          </cell>
          <cell r="B4388">
            <v>659240</v>
          </cell>
          <cell r="C4388" t="str">
            <v>PACKING CASE: PNO: 18002C1P1A</v>
          </cell>
          <cell r="D4388" t="str">
            <v>L0030151                       EnggStore</v>
          </cell>
          <cell r="E4388">
            <v>0</v>
          </cell>
          <cell r="F4388" t="str">
            <v>ND No planning</v>
          </cell>
          <cell r="G4388" t="str">
            <v>ERSA Spare parts</v>
          </cell>
          <cell r="H4388" t="str">
            <v>EN018     UtilityEquipmentSpar</v>
          </cell>
          <cell r="I4388" t="str">
            <v>L003 Ankleshwar</v>
          </cell>
          <cell r="J4388" t="str">
            <v>99 Input/Byprodt/Scrap</v>
          </cell>
          <cell r="K4388" t="str">
            <v>10.2012</v>
          </cell>
          <cell r="L4388">
            <v>1</v>
          </cell>
          <cell r="M4388" t="str">
            <v>EA</v>
          </cell>
          <cell r="N4388">
            <v>2346.75</v>
          </cell>
          <cell r="O4388" t="str">
            <v>INR</v>
          </cell>
        </row>
        <row r="4389">
          <cell r="A4389" t="str">
            <v>L003 Ankleshwar</v>
          </cell>
          <cell r="B4389">
            <v>659269</v>
          </cell>
          <cell r="C4389" t="str">
            <v>TIE ROD: PT.NO.14303016</v>
          </cell>
          <cell r="D4389" t="str">
            <v>L0030151                       EnggStore</v>
          </cell>
          <cell r="E4389" t="str">
            <v>E01 E01</v>
          </cell>
          <cell r="F4389" t="str">
            <v>ND No planning</v>
          </cell>
          <cell r="G4389" t="str">
            <v>ERSA Spare parts</v>
          </cell>
          <cell r="H4389" t="str">
            <v>EN039     PlantEquipmentSpares</v>
          </cell>
          <cell r="I4389" t="str">
            <v>L003 Ankleshwar</v>
          </cell>
          <cell r="J4389" t="str">
            <v>99 Input/Byprodt/Scrap</v>
          </cell>
          <cell r="K4389" t="str">
            <v>10.2012</v>
          </cell>
          <cell r="L4389">
            <v>3</v>
          </cell>
          <cell r="M4389" t="str">
            <v>EA</v>
          </cell>
          <cell r="N4389">
            <v>870</v>
          </cell>
          <cell r="O4389" t="str">
            <v>INR</v>
          </cell>
        </row>
        <row r="4390">
          <cell r="A4390" t="str">
            <v>L003 Ankleshwar</v>
          </cell>
          <cell r="B4390">
            <v>659299</v>
          </cell>
          <cell r="C4390" t="str">
            <v>CONTACTOR: 3TH30 22-OADO, 42 V</v>
          </cell>
          <cell r="D4390" t="str">
            <v>L0030151                       EnggStore</v>
          </cell>
          <cell r="E4390">
            <v>0</v>
          </cell>
          <cell r="F4390" t="str">
            <v>ND No planning</v>
          </cell>
          <cell r="G4390" t="str">
            <v>ERSA Spare parts</v>
          </cell>
          <cell r="H4390" t="str">
            <v>EN006     Elec Switchgear</v>
          </cell>
          <cell r="I4390" t="str">
            <v>L003 Ankleshwar</v>
          </cell>
          <cell r="J4390" t="str">
            <v>99 Input/Byprodt/Scrap</v>
          </cell>
          <cell r="K4390" t="str">
            <v>10.2012</v>
          </cell>
          <cell r="L4390">
            <v>2</v>
          </cell>
          <cell r="M4390" t="str">
            <v>EA</v>
          </cell>
          <cell r="N4390">
            <v>2935.05</v>
          </cell>
          <cell r="O4390" t="str">
            <v>INR</v>
          </cell>
        </row>
        <row r="4391">
          <cell r="A4391" t="str">
            <v>L003 Ankleshwar</v>
          </cell>
          <cell r="B4391">
            <v>659300</v>
          </cell>
          <cell r="C4391" t="str">
            <v>CONTACTOR: 3TH30 22-OAUO, 240 V</v>
          </cell>
          <cell r="D4391" t="str">
            <v>L0030151                       EnggStore</v>
          </cell>
          <cell r="E4391" t="str">
            <v>E36 E36</v>
          </cell>
          <cell r="F4391" t="str">
            <v>VB Manual reorder point planning</v>
          </cell>
          <cell r="G4391" t="str">
            <v>ERSA Spare parts</v>
          </cell>
          <cell r="H4391" t="str">
            <v>EN006     Elec Switchgear</v>
          </cell>
          <cell r="I4391" t="str">
            <v>L003 Ankleshwar</v>
          </cell>
          <cell r="J4391" t="str">
            <v>99 Input/Byprodt/Scrap</v>
          </cell>
          <cell r="K4391" t="str">
            <v>10.2012</v>
          </cell>
          <cell r="L4391">
            <v>1</v>
          </cell>
          <cell r="M4391" t="str">
            <v>EA</v>
          </cell>
          <cell r="N4391">
            <v>484.19</v>
          </cell>
          <cell r="O4391" t="str">
            <v>INR</v>
          </cell>
        </row>
        <row r="4392">
          <cell r="A4392" t="str">
            <v>L003 Ankleshwar</v>
          </cell>
          <cell r="B4392">
            <v>659319</v>
          </cell>
          <cell r="C4392" t="str">
            <v>ELECTRONIC RELAY: M-LEDX, R-8-250A</v>
          </cell>
          <cell r="D4392" t="str">
            <v>L0030151                       EnggStore</v>
          </cell>
          <cell r="E4392" t="str">
            <v>E01 E01</v>
          </cell>
          <cell r="F4392" t="str">
            <v>ND No planning</v>
          </cell>
          <cell r="G4392" t="str">
            <v>ERSA Spare parts</v>
          </cell>
          <cell r="H4392" t="str">
            <v>EN006     Elec Switchgear</v>
          </cell>
          <cell r="I4392" t="str">
            <v>L003 Ankleshwar</v>
          </cell>
          <cell r="J4392" t="str">
            <v>99 Input/Byprodt/Scrap</v>
          </cell>
          <cell r="K4392" t="str">
            <v>10.2012</v>
          </cell>
          <cell r="L4392">
            <v>1</v>
          </cell>
          <cell r="M4392" t="str">
            <v>EA</v>
          </cell>
          <cell r="N4392">
            <v>5265</v>
          </cell>
          <cell r="O4392" t="str">
            <v>INR</v>
          </cell>
        </row>
        <row r="4393">
          <cell r="A4393" t="str">
            <v>L003 Ankleshwar</v>
          </cell>
          <cell r="B4393">
            <v>659329</v>
          </cell>
          <cell r="C4393" t="str">
            <v>PHE EPDM GASKET ALFA LAVAL AK20FM A-TYPE</v>
          </cell>
          <cell r="D4393" t="str">
            <v>L0030151                       EnggStore</v>
          </cell>
          <cell r="E4393">
            <v>0</v>
          </cell>
          <cell r="F4393" t="str">
            <v>ND No planning</v>
          </cell>
          <cell r="G4393" t="str">
            <v>ERSA Spare parts</v>
          </cell>
          <cell r="H4393" t="str">
            <v>EN039     PlantEquipmentSpares</v>
          </cell>
          <cell r="I4393" t="str">
            <v>L003 Ankleshwar</v>
          </cell>
          <cell r="J4393" t="str">
            <v>99 Input/Byprodt/Scrap</v>
          </cell>
          <cell r="K4393" t="str">
            <v>10.2012</v>
          </cell>
          <cell r="L4393">
            <v>55</v>
          </cell>
          <cell r="M4393" t="str">
            <v>EA</v>
          </cell>
          <cell r="N4393">
            <v>47965.5</v>
          </cell>
          <cell r="O4393" t="str">
            <v>INR</v>
          </cell>
        </row>
        <row r="4394">
          <cell r="A4394" t="str">
            <v>L003 Ankleshwar</v>
          </cell>
          <cell r="B4394">
            <v>659331</v>
          </cell>
          <cell r="C4394" t="str">
            <v>PHE EPDM GASKET ALFA LAVAL AK20FM B-TYPE</v>
          </cell>
          <cell r="D4394" t="str">
            <v>L0030151                       EnggStore</v>
          </cell>
          <cell r="E4394">
            <v>0</v>
          </cell>
          <cell r="F4394" t="str">
            <v>ND No planning</v>
          </cell>
          <cell r="G4394" t="str">
            <v>ERSA Spare parts</v>
          </cell>
          <cell r="H4394" t="str">
            <v>EN040     Prinitng &amp;Stationery</v>
          </cell>
          <cell r="I4394" t="str">
            <v>L003 Ankleshwar</v>
          </cell>
          <cell r="J4394" t="str">
            <v>99 Input/Byprodt/Scrap</v>
          </cell>
          <cell r="K4394" t="str">
            <v>10.2012</v>
          </cell>
          <cell r="L4394">
            <v>55</v>
          </cell>
          <cell r="M4394" t="str">
            <v>EA</v>
          </cell>
          <cell r="N4394">
            <v>47965.5</v>
          </cell>
          <cell r="O4394" t="str">
            <v>INR</v>
          </cell>
        </row>
        <row r="4395">
          <cell r="A4395" t="str">
            <v>L003 Ankleshwar</v>
          </cell>
          <cell r="B4395">
            <v>659345</v>
          </cell>
          <cell r="C4395" t="str">
            <v>INDOKOPP MAKE MCB SINGLE POLE/6A</v>
          </cell>
          <cell r="D4395" t="str">
            <v>L0030151                       EnggStore</v>
          </cell>
          <cell r="E4395" t="str">
            <v>E36 E36</v>
          </cell>
          <cell r="F4395" t="str">
            <v>VB Manual reorder point planning</v>
          </cell>
          <cell r="G4395" t="str">
            <v>ERSA Spare parts</v>
          </cell>
          <cell r="H4395" t="str">
            <v>EN006     Elec Switchgear</v>
          </cell>
          <cell r="I4395" t="str">
            <v>L003 Ankleshwar</v>
          </cell>
          <cell r="J4395" t="str">
            <v>99 Input/Byprodt/Scrap</v>
          </cell>
          <cell r="K4395" t="str">
            <v>10.2012</v>
          </cell>
          <cell r="L4395">
            <v>2</v>
          </cell>
          <cell r="M4395" t="str">
            <v>EA</v>
          </cell>
          <cell r="N4395">
            <v>230.91</v>
          </cell>
          <cell r="O4395" t="str">
            <v>INR</v>
          </cell>
        </row>
        <row r="4396">
          <cell r="A4396" t="str">
            <v>L003 Ankleshwar</v>
          </cell>
          <cell r="B4396">
            <v>659348</v>
          </cell>
          <cell r="C4396" t="str">
            <v>SS COLLAPSIBLE GATE: 6' LX6'.3" H</v>
          </cell>
          <cell r="D4396" t="str">
            <v>L0030151                       EnggStore</v>
          </cell>
          <cell r="E4396">
            <v>0</v>
          </cell>
          <cell r="F4396" t="str">
            <v>ND No planning</v>
          </cell>
          <cell r="G4396" t="str">
            <v>ERSA Spare parts</v>
          </cell>
          <cell r="H4396" t="str">
            <v>EN015     MaterialHandlingspar</v>
          </cell>
          <cell r="I4396" t="str">
            <v>L003 Ankleshwar</v>
          </cell>
          <cell r="J4396" t="str">
            <v>99 Input/Byprodt/Scrap</v>
          </cell>
          <cell r="K4396" t="str">
            <v>10.2012</v>
          </cell>
          <cell r="L4396">
            <v>1</v>
          </cell>
          <cell r="M4396" t="str">
            <v>EA</v>
          </cell>
          <cell r="N4396">
            <v>33915</v>
          </cell>
          <cell r="O4396" t="str">
            <v>INR</v>
          </cell>
        </row>
        <row r="4397">
          <cell r="A4397" t="str">
            <v>L003 Ankleshwar</v>
          </cell>
          <cell r="B4397">
            <v>659389</v>
          </cell>
          <cell r="C4397" t="str">
            <v>KNOB FOR A/C M/C: 1.5 TR, ST-MORITZ</v>
          </cell>
          <cell r="D4397" t="str">
            <v>L0030151                       EnggStore</v>
          </cell>
          <cell r="E4397">
            <v>0</v>
          </cell>
          <cell r="F4397" t="str">
            <v>ND No planning</v>
          </cell>
          <cell r="G4397" t="str">
            <v>ERSA Spare parts</v>
          </cell>
          <cell r="H4397" t="str">
            <v>EN037     Refrigeration&amp;A/Cspa</v>
          </cell>
          <cell r="I4397" t="str">
            <v>L003 Ankleshwar</v>
          </cell>
          <cell r="J4397" t="str">
            <v>99 Input/Byprodt/Scrap</v>
          </cell>
          <cell r="K4397" t="str">
            <v>10.2012</v>
          </cell>
          <cell r="L4397">
            <v>4</v>
          </cell>
          <cell r="M4397" t="str">
            <v>EA</v>
          </cell>
          <cell r="N4397">
            <v>100</v>
          </cell>
          <cell r="O4397" t="str">
            <v>INR</v>
          </cell>
        </row>
        <row r="4398">
          <cell r="A4398" t="str">
            <v>L003 Ankleshwar</v>
          </cell>
          <cell r="B4398">
            <v>659399</v>
          </cell>
          <cell r="C4398" t="str">
            <v>STRAINER SCREEN ELEMENT-SUPERFREEZE-32MM</v>
          </cell>
          <cell r="D4398" t="str">
            <v>L0030151                       EnggStore</v>
          </cell>
          <cell r="E4398">
            <v>0</v>
          </cell>
          <cell r="F4398" t="str">
            <v>ND No planning</v>
          </cell>
          <cell r="G4398" t="str">
            <v>ERSA Spare parts</v>
          </cell>
          <cell r="H4398" t="str">
            <v>EN037     Refrigeration&amp;A/Cspa</v>
          </cell>
          <cell r="I4398" t="str">
            <v>L003 Ankleshwar</v>
          </cell>
          <cell r="J4398" t="str">
            <v>99 Input/Byprodt/Scrap</v>
          </cell>
          <cell r="K4398" t="str">
            <v>10.2012</v>
          </cell>
          <cell r="L4398">
            <v>3</v>
          </cell>
          <cell r="M4398" t="str">
            <v>EA</v>
          </cell>
          <cell r="N4398">
            <v>2754</v>
          </cell>
          <cell r="O4398" t="str">
            <v>INR</v>
          </cell>
        </row>
        <row r="4399">
          <cell r="A4399" t="str">
            <v>L003 Ankleshwar</v>
          </cell>
          <cell r="B4399">
            <v>659400</v>
          </cell>
          <cell r="C4399" t="str">
            <v>O-RING FOR STRAINER-SUPERFREEZE-32MM</v>
          </cell>
          <cell r="D4399" t="str">
            <v>L0030151                       EnggStore</v>
          </cell>
          <cell r="E4399">
            <v>0</v>
          </cell>
          <cell r="F4399" t="str">
            <v>ND No planning</v>
          </cell>
          <cell r="G4399" t="str">
            <v>ERSA Spare parts</v>
          </cell>
          <cell r="H4399" t="str">
            <v>EN037     Refrigeration&amp;A/Cspa</v>
          </cell>
          <cell r="I4399" t="str">
            <v>L003 Ankleshwar</v>
          </cell>
          <cell r="J4399" t="str">
            <v>99 Input/Byprodt/Scrap</v>
          </cell>
          <cell r="K4399" t="str">
            <v>10.2012</v>
          </cell>
          <cell r="L4399">
            <v>9</v>
          </cell>
          <cell r="M4399" t="str">
            <v>EA</v>
          </cell>
          <cell r="N4399">
            <v>437.39999999999901</v>
          </cell>
          <cell r="O4399" t="str">
            <v>INR</v>
          </cell>
        </row>
        <row r="4400">
          <cell r="A4400" t="str">
            <v>L003 Ankleshwar</v>
          </cell>
          <cell r="B4400">
            <v>659481</v>
          </cell>
          <cell r="C4400" t="str">
            <v>SS316-WIRE BREDED HOSE PIPE ¾"X1MTR LONG</v>
          </cell>
          <cell r="D4400" t="str">
            <v>L0030151                       EnggStore</v>
          </cell>
          <cell r="E4400">
            <v>0</v>
          </cell>
          <cell r="F4400" t="str">
            <v>ND No planning</v>
          </cell>
          <cell r="G4400" t="str">
            <v>ERSA Spare parts</v>
          </cell>
          <cell r="H4400" t="str">
            <v>EN039     PlantEquipmentSpares</v>
          </cell>
          <cell r="I4400" t="str">
            <v>L003 Ankleshwar</v>
          </cell>
          <cell r="J4400" t="str">
            <v>99 Input/Byprodt/Scrap</v>
          </cell>
          <cell r="K4400" t="str">
            <v>10.2012</v>
          </cell>
          <cell r="L4400">
            <v>2</v>
          </cell>
          <cell r="M4400" t="str">
            <v>EA</v>
          </cell>
          <cell r="N4400">
            <v>1667.5999999999899</v>
          </cell>
          <cell r="O4400" t="str">
            <v>INR</v>
          </cell>
        </row>
        <row r="4401">
          <cell r="A4401" t="str">
            <v>L003 Ankleshwar</v>
          </cell>
          <cell r="B4401">
            <v>659482</v>
          </cell>
          <cell r="C4401" t="str">
            <v>PADSTAL TYPE BEARING: UCP-206J</v>
          </cell>
          <cell r="D4401" t="str">
            <v>L0030151                       EnggStore</v>
          </cell>
          <cell r="E4401">
            <v>0</v>
          </cell>
          <cell r="F4401" t="str">
            <v>ND No planning</v>
          </cell>
          <cell r="G4401" t="str">
            <v>ERSA Spare parts</v>
          </cell>
          <cell r="H4401" t="str">
            <v>EN009     Bearings</v>
          </cell>
          <cell r="I4401" t="str">
            <v>L003 Ankleshwar</v>
          </cell>
          <cell r="J4401" t="str">
            <v>99 Input/Byprodt/Scrap</v>
          </cell>
          <cell r="K4401" t="str">
            <v>10.2012</v>
          </cell>
          <cell r="L4401">
            <v>1</v>
          </cell>
          <cell r="M4401" t="str">
            <v>EA</v>
          </cell>
          <cell r="N4401">
            <v>960</v>
          </cell>
          <cell r="O4401" t="str">
            <v>INR</v>
          </cell>
        </row>
        <row r="4402">
          <cell r="A4402" t="str">
            <v>L003 Ankleshwar</v>
          </cell>
          <cell r="B4402">
            <v>659529</v>
          </cell>
          <cell r="C4402" t="str">
            <v>SS316 IMPELLER-AT 25-150 LF GOLD PUMP</v>
          </cell>
          <cell r="D4402" t="str">
            <v>L0030151                       EnggStore</v>
          </cell>
          <cell r="E4402">
            <v>0</v>
          </cell>
          <cell r="F4402" t="str">
            <v>ND No planning</v>
          </cell>
          <cell r="G4402" t="str">
            <v>ERSA Spare parts</v>
          </cell>
          <cell r="H4402" t="str">
            <v>EN038     MechanicalSeals&amp;Spar</v>
          </cell>
          <cell r="I4402" t="str">
            <v>L003 Ankleshwar</v>
          </cell>
          <cell r="J4402" t="str">
            <v>99 Input/Byprodt/Scrap</v>
          </cell>
          <cell r="K4402" t="str">
            <v>10.2012</v>
          </cell>
          <cell r="L4402">
            <v>1</v>
          </cell>
          <cell r="M4402" t="str">
            <v>EA</v>
          </cell>
          <cell r="N4402">
            <v>2766.78</v>
          </cell>
          <cell r="O4402" t="str">
            <v>INR</v>
          </cell>
        </row>
        <row r="4403">
          <cell r="A4403" t="str">
            <v>L003 Ankleshwar</v>
          </cell>
          <cell r="B4403">
            <v>659534</v>
          </cell>
          <cell r="C4403" t="str">
            <v>COMPRESSION UNIT W/H CARBON-SSDB: E2-155</v>
          </cell>
          <cell r="D4403" t="str">
            <v>L0030151                       EnggStore</v>
          </cell>
          <cell r="E4403">
            <v>0</v>
          </cell>
          <cell r="F4403" t="str">
            <v>ND No planning</v>
          </cell>
          <cell r="G4403" t="str">
            <v>ERSA Spare parts</v>
          </cell>
          <cell r="H4403" t="str">
            <v>EN038     MechanicalSeals&amp;Spar</v>
          </cell>
          <cell r="I4403" t="str">
            <v>L003 Ankleshwar</v>
          </cell>
          <cell r="J4403" t="str">
            <v>99 Input/Byprodt/Scrap</v>
          </cell>
          <cell r="K4403" t="str">
            <v>10.2012</v>
          </cell>
          <cell r="L4403">
            <v>1</v>
          </cell>
          <cell r="M4403" t="str">
            <v>EA</v>
          </cell>
          <cell r="N4403">
            <v>50244.879999999903</v>
          </cell>
          <cell r="O4403" t="str">
            <v>INR</v>
          </cell>
        </row>
        <row r="4404">
          <cell r="A4404" t="str">
            <v>L003 Ankleshwar</v>
          </cell>
          <cell r="B4404">
            <v>659535</v>
          </cell>
          <cell r="C4404" t="str">
            <v>NEOPRENE RUBBER STRIP SQUARE: 10MMX14MM</v>
          </cell>
          <cell r="D4404" t="str">
            <v>L0030151                       EnggStore</v>
          </cell>
          <cell r="E4404">
            <v>0</v>
          </cell>
          <cell r="F4404" t="str">
            <v>ND No planning</v>
          </cell>
          <cell r="G4404" t="str">
            <v>ERSA Spare parts</v>
          </cell>
          <cell r="H4404" t="str">
            <v>EN024     EnggConsumables</v>
          </cell>
          <cell r="I4404" t="str">
            <v>L003 Ankleshwar</v>
          </cell>
          <cell r="J4404" t="str">
            <v>99 Input/Byprodt/Scrap</v>
          </cell>
          <cell r="K4404" t="str">
            <v>10.2012</v>
          </cell>
          <cell r="L4404">
            <v>13</v>
          </cell>
          <cell r="M4404" t="str">
            <v>M</v>
          </cell>
          <cell r="N4404">
            <v>913.89999999999895</v>
          </cell>
          <cell r="O4404" t="str">
            <v>INR</v>
          </cell>
        </row>
        <row r="4405">
          <cell r="A4405" t="str">
            <v>L003 Ankleshwar</v>
          </cell>
          <cell r="B4405">
            <v>659539</v>
          </cell>
          <cell r="C4405" t="str">
            <v>SPARES KIT-IV MAKE-BF VALVE: 200MM</v>
          </cell>
          <cell r="D4405" t="str">
            <v>L0030151                       EnggStore</v>
          </cell>
          <cell r="E4405">
            <v>0</v>
          </cell>
          <cell r="F4405" t="str">
            <v>ND No planning</v>
          </cell>
          <cell r="G4405" t="str">
            <v>ERSA Spare parts</v>
          </cell>
          <cell r="H4405" t="str">
            <v>EN023     Valves&amp;spares</v>
          </cell>
          <cell r="I4405" t="str">
            <v>L003 Ankleshwar</v>
          </cell>
          <cell r="J4405" t="str">
            <v>99 Input/Byprodt/Scrap</v>
          </cell>
          <cell r="K4405" t="str">
            <v>10.2012</v>
          </cell>
          <cell r="L4405">
            <v>2</v>
          </cell>
          <cell r="M4405" t="str">
            <v>SET</v>
          </cell>
          <cell r="N4405">
            <v>2700</v>
          </cell>
          <cell r="O4405" t="str">
            <v>INR</v>
          </cell>
        </row>
        <row r="4406">
          <cell r="A4406" t="str">
            <v>L003 Ankleshwar</v>
          </cell>
          <cell r="B4406">
            <v>659540</v>
          </cell>
          <cell r="C4406" t="str">
            <v>SS316-SHAFT-MSP1A AKAY PUMP: 40X25X160</v>
          </cell>
          <cell r="D4406" t="str">
            <v>L0030151                       EnggStore</v>
          </cell>
          <cell r="E4406" t="str">
            <v>E34 E34</v>
          </cell>
          <cell r="F4406" t="str">
            <v>VB Manual reorder point planning</v>
          </cell>
          <cell r="G4406" t="str">
            <v>ERSA Spare parts</v>
          </cell>
          <cell r="H4406" t="str">
            <v>EN032     Pumpspares</v>
          </cell>
          <cell r="I4406" t="str">
            <v>L003 Ankleshwar</v>
          </cell>
          <cell r="J4406" t="str">
            <v>99 Input/Byprodt/Scrap</v>
          </cell>
          <cell r="K4406" t="str">
            <v>10.2012</v>
          </cell>
          <cell r="L4406">
            <v>1</v>
          </cell>
          <cell r="M4406" t="str">
            <v>EA</v>
          </cell>
          <cell r="N4406">
            <v>4284</v>
          </cell>
          <cell r="O4406" t="str">
            <v>INR</v>
          </cell>
        </row>
        <row r="4407">
          <cell r="A4407" t="str">
            <v>L003 Ankleshwar</v>
          </cell>
          <cell r="B4407">
            <v>659541</v>
          </cell>
          <cell r="C4407" t="str">
            <v>BEARING COVER-DE: MSP1A-AKAY PUMP</v>
          </cell>
          <cell r="D4407" t="str">
            <v>L0030151                       EnggStore</v>
          </cell>
          <cell r="E4407" t="str">
            <v>E34 E34</v>
          </cell>
          <cell r="F4407" t="str">
            <v>VB Manual reorder point planning</v>
          </cell>
          <cell r="G4407" t="str">
            <v>ERSA Spare parts</v>
          </cell>
          <cell r="H4407" t="str">
            <v>EN032     Pumpspares</v>
          </cell>
          <cell r="I4407" t="str">
            <v>L003 Ankleshwar</v>
          </cell>
          <cell r="J4407" t="str">
            <v>99 Input/Byprodt/Scrap</v>
          </cell>
          <cell r="K4407" t="str">
            <v>10.2012</v>
          </cell>
          <cell r="L4407">
            <v>1</v>
          </cell>
          <cell r="M4407" t="str">
            <v>EA</v>
          </cell>
          <cell r="N4407">
            <v>1503.23</v>
          </cell>
          <cell r="O4407" t="str">
            <v>INR</v>
          </cell>
        </row>
        <row r="4408">
          <cell r="A4408" t="str">
            <v>L003 Ankleshwar</v>
          </cell>
          <cell r="B4408">
            <v>659546</v>
          </cell>
          <cell r="C4408" t="str">
            <v>SS SHAFT SLEEVE-HSUT: 1 1/8" AKAY-MSP1A</v>
          </cell>
          <cell r="D4408" t="str">
            <v>L0030151                       EnggStore</v>
          </cell>
          <cell r="E4408" t="str">
            <v>E34 E34</v>
          </cell>
          <cell r="F4408" t="str">
            <v>VB Manual reorder point planning</v>
          </cell>
          <cell r="G4408" t="str">
            <v>ERSA Spare parts</v>
          </cell>
          <cell r="H4408" t="str">
            <v>EN038     MechanicalSeals&amp;Spar</v>
          </cell>
          <cell r="I4408" t="str">
            <v>L003 Ankleshwar</v>
          </cell>
          <cell r="J4408" t="str">
            <v>99 Input/Byprodt/Scrap</v>
          </cell>
          <cell r="K4408" t="str">
            <v>10.2012</v>
          </cell>
          <cell r="L4408">
            <v>2</v>
          </cell>
          <cell r="M4408" t="str">
            <v>EA</v>
          </cell>
          <cell r="N4408">
            <v>2737.65</v>
          </cell>
          <cell r="O4408" t="str">
            <v>INR</v>
          </cell>
        </row>
        <row r="4409">
          <cell r="A4409" t="str">
            <v>L003 Ankleshwar</v>
          </cell>
          <cell r="B4409">
            <v>659552</v>
          </cell>
          <cell r="C4409" t="str">
            <v>SS SHAFT SLEEVE-SSUT-1 3/8" GOLD PUMP</v>
          </cell>
          <cell r="D4409" t="str">
            <v>L0030151                       EnggStore</v>
          </cell>
          <cell r="E4409" t="str">
            <v>E34 E34</v>
          </cell>
          <cell r="F4409" t="str">
            <v>VB Manual reorder point planning</v>
          </cell>
          <cell r="G4409" t="str">
            <v>ERSA Spare parts</v>
          </cell>
          <cell r="H4409" t="str">
            <v>EN038     MechanicalSeals&amp;Spar</v>
          </cell>
          <cell r="I4409" t="str">
            <v>L003 Ankleshwar</v>
          </cell>
          <cell r="J4409" t="str">
            <v>99 Input/Byprodt/Scrap</v>
          </cell>
          <cell r="K4409" t="str">
            <v>10.2012</v>
          </cell>
          <cell r="L4409">
            <v>1</v>
          </cell>
          <cell r="M4409" t="str">
            <v>EA</v>
          </cell>
          <cell r="N4409">
            <v>1256.6199999999899</v>
          </cell>
          <cell r="O4409" t="str">
            <v>INR</v>
          </cell>
        </row>
        <row r="4410">
          <cell r="A4410" t="str">
            <v>L003 Ankleshwar</v>
          </cell>
          <cell r="B4410">
            <v>659568</v>
          </cell>
          <cell r="C4410" t="str">
            <v>CI BEARING HOUSING FOR KSB PUMP P.NO:350</v>
          </cell>
          <cell r="D4410" t="str">
            <v>L0030151                       EnggStore</v>
          </cell>
          <cell r="E4410">
            <v>0</v>
          </cell>
          <cell r="F4410" t="str">
            <v>ND No planning</v>
          </cell>
          <cell r="G4410" t="str">
            <v>ERSA Spare parts</v>
          </cell>
          <cell r="H4410" t="str">
            <v>EN032     Pumpspares</v>
          </cell>
          <cell r="I4410" t="str">
            <v>L003 Ankleshwar</v>
          </cell>
          <cell r="J4410" t="str">
            <v>99 Input/Byprodt/Scrap</v>
          </cell>
          <cell r="K4410" t="str">
            <v>10.2012</v>
          </cell>
          <cell r="L4410">
            <v>2</v>
          </cell>
          <cell r="M4410" t="str">
            <v>EA</v>
          </cell>
          <cell r="N4410">
            <v>7700</v>
          </cell>
          <cell r="O4410" t="str">
            <v>INR</v>
          </cell>
        </row>
        <row r="4411">
          <cell r="A4411" t="str">
            <v>L003 Ankleshwar</v>
          </cell>
          <cell r="B4411">
            <v>659835</v>
          </cell>
          <cell r="C4411" t="str">
            <v>GI WIRE BR.RUBER HOSE ASLY BOTH END:5/8"</v>
          </cell>
          <cell r="D4411" t="str">
            <v>L0030151                       EnggStore</v>
          </cell>
          <cell r="E4411">
            <v>0</v>
          </cell>
          <cell r="F4411" t="str">
            <v>ND No planning</v>
          </cell>
          <cell r="G4411" t="str">
            <v>ERSA Spare parts</v>
          </cell>
          <cell r="H4411" t="str">
            <v>EN028     Pipes&amp;pipefittings</v>
          </cell>
          <cell r="I4411" t="str">
            <v>L003 Ankleshwar</v>
          </cell>
          <cell r="J4411" t="str">
            <v>99 Input/Byprodt/Scrap</v>
          </cell>
          <cell r="K4411" t="str">
            <v>10.2012</v>
          </cell>
          <cell r="L4411">
            <v>2</v>
          </cell>
          <cell r="M4411" t="str">
            <v>EA</v>
          </cell>
          <cell r="N4411">
            <v>384</v>
          </cell>
          <cell r="O4411" t="str">
            <v>INR</v>
          </cell>
        </row>
        <row r="4412">
          <cell r="A4412" t="str">
            <v>L003 Ankleshwar</v>
          </cell>
          <cell r="B4412">
            <v>659863</v>
          </cell>
          <cell r="C4412" t="str">
            <v>HPMV LAMP-SCREW TYPE: 400W/230V</v>
          </cell>
          <cell r="D4412" t="str">
            <v>L0030151                       EnggStore</v>
          </cell>
          <cell r="E4412" t="str">
            <v>E36 E36</v>
          </cell>
          <cell r="F4412" t="str">
            <v>VB Manual reorder point planning</v>
          </cell>
          <cell r="G4412" t="str">
            <v>ERSA Spare parts</v>
          </cell>
          <cell r="H4412" t="str">
            <v>EN007     Elec Motors &amp; Spares</v>
          </cell>
          <cell r="I4412" t="str">
            <v>L003 Ankleshwar</v>
          </cell>
          <cell r="J4412" t="str">
            <v>99 Input/Byprodt/Scrap</v>
          </cell>
          <cell r="K4412" t="str">
            <v>10.2012</v>
          </cell>
          <cell r="L4412">
            <v>2</v>
          </cell>
          <cell r="M4412" t="str">
            <v>EA</v>
          </cell>
          <cell r="N4412">
            <v>690</v>
          </cell>
          <cell r="O4412" t="str">
            <v>INR</v>
          </cell>
        </row>
        <row r="4413">
          <cell r="A4413" t="str">
            <v>L003 Ankleshwar</v>
          </cell>
          <cell r="B4413">
            <v>659927</v>
          </cell>
          <cell r="C4413" t="str">
            <v>WEAR PLATE-CI: P.NO-KPD 50/13-QF</v>
          </cell>
          <cell r="D4413" t="str">
            <v>L0030151                       EnggStore</v>
          </cell>
          <cell r="E4413">
            <v>0</v>
          </cell>
          <cell r="F4413" t="str">
            <v>ND No planning</v>
          </cell>
          <cell r="G4413" t="str">
            <v>ERSA Spare parts</v>
          </cell>
          <cell r="H4413" t="str">
            <v>EN032     Pumpspares</v>
          </cell>
          <cell r="I4413" t="str">
            <v>L003 Ankleshwar</v>
          </cell>
          <cell r="J4413" t="str">
            <v>99 Input/Byprodt/Scrap</v>
          </cell>
          <cell r="K4413" t="str">
            <v>10.2012</v>
          </cell>
          <cell r="L4413">
            <v>2</v>
          </cell>
          <cell r="M4413" t="str">
            <v>EA</v>
          </cell>
          <cell r="N4413">
            <v>12491.44</v>
          </cell>
          <cell r="O4413" t="str">
            <v>INR</v>
          </cell>
        </row>
        <row r="4414">
          <cell r="A4414" t="str">
            <v>L003 Ankleshwar</v>
          </cell>
          <cell r="B4414">
            <v>659942</v>
          </cell>
          <cell r="C4414" t="str">
            <v>GASKET PACKING CASE: P.N.X156118</v>
          </cell>
          <cell r="D4414" t="str">
            <v>L0030151                       EnggStore</v>
          </cell>
          <cell r="E4414">
            <v>0</v>
          </cell>
          <cell r="F4414" t="str">
            <v>ND No planning</v>
          </cell>
          <cell r="G4414" t="str">
            <v>ERSA Spare parts</v>
          </cell>
          <cell r="H4414" t="str">
            <v>EN037     Refrigeration&amp;A/Cspa</v>
          </cell>
          <cell r="I4414" t="str">
            <v>L003 Ankleshwar</v>
          </cell>
          <cell r="J4414" t="str">
            <v>99 Input/Byprodt/Scrap</v>
          </cell>
          <cell r="K4414" t="str">
            <v>10.2012</v>
          </cell>
          <cell r="L4414">
            <v>1</v>
          </cell>
          <cell r="M4414" t="str">
            <v>EA</v>
          </cell>
          <cell r="N4414">
            <v>113.849999999999</v>
          </cell>
          <cell r="O4414" t="str">
            <v>INR</v>
          </cell>
        </row>
        <row r="4415">
          <cell r="A4415" t="str">
            <v>L003 Ankleshwar</v>
          </cell>
          <cell r="B4415">
            <v>659952</v>
          </cell>
          <cell r="C4415" t="str">
            <v>CABLE PVC INS CU ARMOURED: 3CX6.0MM²</v>
          </cell>
          <cell r="D4415" t="str">
            <v>L0030151                       EnggStore</v>
          </cell>
          <cell r="E4415">
            <v>0</v>
          </cell>
          <cell r="F4415" t="str">
            <v>ND No planning</v>
          </cell>
          <cell r="G4415" t="str">
            <v>ERSA Spare parts</v>
          </cell>
          <cell r="H4415" t="str">
            <v>EN004     Cable &amp; Cable Acc.</v>
          </cell>
          <cell r="I4415" t="str">
            <v>L003 Ankleshwar</v>
          </cell>
          <cell r="J4415" t="str">
            <v>99 Input/Byprodt/Scrap</v>
          </cell>
          <cell r="K4415" t="str">
            <v>10.2012</v>
          </cell>
          <cell r="L4415">
            <v>200</v>
          </cell>
          <cell r="M4415" t="str">
            <v>M</v>
          </cell>
          <cell r="N4415">
            <v>26235.639999999901</v>
          </cell>
          <cell r="O4415" t="str">
            <v>INR</v>
          </cell>
        </row>
        <row r="4416">
          <cell r="A4416" t="str">
            <v>L003 Ankleshwar</v>
          </cell>
          <cell r="B4416">
            <v>659971</v>
          </cell>
          <cell r="C4416" t="str">
            <v>HASTALLOY C BOLT W/T 2 NUT 1/2"X2"</v>
          </cell>
          <cell r="D4416" t="str">
            <v>L0030151                       EnggStore</v>
          </cell>
          <cell r="E4416">
            <v>0</v>
          </cell>
          <cell r="F4416" t="str">
            <v>ND No planning</v>
          </cell>
          <cell r="G4416" t="str">
            <v>ERSA Spare parts</v>
          </cell>
          <cell r="H4416" t="str">
            <v>EN022     Hardwareitems</v>
          </cell>
          <cell r="I4416" t="str">
            <v>L003 Ankleshwar</v>
          </cell>
          <cell r="J4416" t="str">
            <v>99 Input/Byprodt/Scrap</v>
          </cell>
          <cell r="K4416" t="str">
            <v>10.2012</v>
          </cell>
          <cell r="L4416">
            <v>74</v>
          </cell>
          <cell r="M4416" t="str">
            <v>EA</v>
          </cell>
          <cell r="N4416">
            <v>30192</v>
          </cell>
          <cell r="O4416" t="str">
            <v>INR</v>
          </cell>
        </row>
        <row r="4417">
          <cell r="A4417" t="str">
            <v>L003 Ankleshwar</v>
          </cell>
          <cell r="B4417">
            <v>659991</v>
          </cell>
          <cell r="C4417" t="str">
            <v>SPRAY NOZZLE-SS316 HOLLOW CONE 375-LPH</v>
          </cell>
          <cell r="D4417" t="str">
            <v>L0030151                       EnggStore</v>
          </cell>
          <cell r="E4417" t="str">
            <v>E01 E01</v>
          </cell>
          <cell r="F4417" t="str">
            <v>VB Manual reorder point planning</v>
          </cell>
          <cell r="G4417" t="str">
            <v>ERSA Spare parts</v>
          </cell>
          <cell r="H4417" t="str">
            <v>EN039     PlantEquipmentSpares</v>
          </cell>
          <cell r="I4417" t="str">
            <v>L003 Ankleshwar</v>
          </cell>
          <cell r="J4417" t="str">
            <v>99 Input/Byprodt/Scrap</v>
          </cell>
          <cell r="K4417" t="str">
            <v>10.2012</v>
          </cell>
          <cell r="L4417">
            <v>1</v>
          </cell>
          <cell r="M4417" t="str">
            <v>EA</v>
          </cell>
          <cell r="N4417">
            <v>919.48</v>
          </cell>
          <cell r="O4417" t="str">
            <v>INR</v>
          </cell>
        </row>
        <row r="4418">
          <cell r="A4418" t="str">
            <v>L003 Ankleshwar</v>
          </cell>
          <cell r="B4418">
            <v>660016</v>
          </cell>
          <cell r="C4418" t="str">
            <v>JOINT P.N.0231409050</v>
          </cell>
          <cell r="D4418" t="str">
            <v>L0030151                       EnggStore</v>
          </cell>
          <cell r="E4418">
            <v>0</v>
          </cell>
          <cell r="F4418" t="str">
            <v>ND No planning</v>
          </cell>
          <cell r="G4418" t="str">
            <v>ERSA Spare parts</v>
          </cell>
          <cell r="H4418" t="str">
            <v>EN037     Refrigeration&amp;A/Cspa</v>
          </cell>
          <cell r="I4418" t="str">
            <v>L003 Ankleshwar</v>
          </cell>
          <cell r="J4418" t="str">
            <v>99 Input/Byprodt/Scrap</v>
          </cell>
          <cell r="K4418" t="str">
            <v>10.2012</v>
          </cell>
          <cell r="L4418">
            <v>1</v>
          </cell>
          <cell r="M4418" t="str">
            <v>EA</v>
          </cell>
          <cell r="N4418">
            <v>135</v>
          </cell>
          <cell r="O4418" t="str">
            <v>INR</v>
          </cell>
        </row>
        <row r="4419">
          <cell r="A4419" t="str">
            <v>L003 Ankleshwar</v>
          </cell>
          <cell r="B4419">
            <v>660018</v>
          </cell>
          <cell r="C4419" t="str">
            <v>JOINT (C'CASETOCROSS HD) P.N.1710140150</v>
          </cell>
          <cell r="D4419" t="str">
            <v>L0030151                       EnggStore</v>
          </cell>
          <cell r="E4419">
            <v>0</v>
          </cell>
          <cell r="F4419" t="str">
            <v>ND No planning</v>
          </cell>
          <cell r="G4419" t="str">
            <v>ERSA Spare parts</v>
          </cell>
          <cell r="H4419" t="str">
            <v>EN037     Refrigeration&amp;A/Cspa</v>
          </cell>
          <cell r="I4419" t="str">
            <v>L003 Ankleshwar</v>
          </cell>
          <cell r="J4419" t="str">
            <v>99 Input/Byprodt/Scrap</v>
          </cell>
          <cell r="K4419" t="str">
            <v>10.2012</v>
          </cell>
          <cell r="L4419">
            <v>1</v>
          </cell>
          <cell r="M4419" t="str">
            <v>EA</v>
          </cell>
          <cell r="N4419">
            <v>247.5</v>
          </cell>
          <cell r="O4419" t="str">
            <v>INR</v>
          </cell>
        </row>
        <row r="4420">
          <cell r="A4420" t="str">
            <v>L003 Ankleshwar</v>
          </cell>
          <cell r="B4420">
            <v>660033</v>
          </cell>
          <cell r="C4420" t="str">
            <v>CI CASING: DB-40X16 PUMP</v>
          </cell>
          <cell r="D4420" t="str">
            <v>L0030151                       EnggStore</v>
          </cell>
          <cell r="E4420" t="str">
            <v>E34 E34</v>
          </cell>
          <cell r="F4420" t="str">
            <v>VB Manual reorder point planning</v>
          </cell>
          <cell r="G4420" t="str">
            <v>ERSA Spare parts</v>
          </cell>
          <cell r="H4420" t="str">
            <v>EN032     Pumpspares</v>
          </cell>
          <cell r="I4420" t="str">
            <v>L003 Ankleshwar</v>
          </cell>
          <cell r="J4420" t="str">
            <v>99 Input/Byprodt/Scrap</v>
          </cell>
          <cell r="K4420" t="str">
            <v>10.2012</v>
          </cell>
          <cell r="L4420">
            <v>1</v>
          </cell>
          <cell r="M4420" t="str">
            <v>EA</v>
          </cell>
          <cell r="N4420">
            <v>7326</v>
          </cell>
          <cell r="O4420" t="str">
            <v>INR</v>
          </cell>
        </row>
        <row r="4421">
          <cell r="A4421" t="str">
            <v>L003 Ankleshwar</v>
          </cell>
          <cell r="B4421">
            <v>660034</v>
          </cell>
          <cell r="C4421" t="str">
            <v>CI STUFFING BOX: DB-40X16 PUMP</v>
          </cell>
          <cell r="D4421" t="str">
            <v>L0030151                       EnggStore</v>
          </cell>
          <cell r="E4421" t="str">
            <v>E34 E34</v>
          </cell>
          <cell r="F4421" t="str">
            <v>VB Manual reorder point planning</v>
          </cell>
          <cell r="G4421" t="str">
            <v>ERSA Spare parts</v>
          </cell>
          <cell r="H4421" t="str">
            <v>EN032     Pumpspares</v>
          </cell>
          <cell r="I4421" t="str">
            <v>L003 Ankleshwar</v>
          </cell>
          <cell r="J4421" t="str">
            <v>99 Input/Byprodt/Scrap</v>
          </cell>
          <cell r="K4421" t="str">
            <v>10.2012</v>
          </cell>
          <cell r="L4421">
            <v>2</v>
          </cell>
          <cell r="M4421" t="str">
            <v>EA</v>
          </cell>
          <cell r="N4421">
            <v>3032.25</v>
          </cell>
          <cell r="O4421" t="str">
            <v>INR</v>
          </cell>
        </row>
        <row r="4422">
          <cell r="A4422" t="str">
            <v>L003 Ankleshwar</v>
          </cell>
          <cell r="B4422">
            <v>660035</v>
          </cell>
          <cell r="C4422" t="str">
            <v>MS SHAFT: DB-40X16 PUMP</v>
          </cell>
          <cell r="D4422" t="str">
            <v>L0030151                       EnggStore</v>
          </cell>
          <cell r="E4422" t="str">
            <v>E34 E34</v>
          </cell>
          <cell r="F4422" t="str">
            <v>VB Manual reorder point planning</v>
          </cell>
          <cell r="G4422" t="str">
            <v>ERSA Spare parts</v>
          </cell>
          <cell r="H4422" t="str">
            <v>EN032     Pumpspares</v>
          </cell>
          <cell r="I4422" t="str">
            <v>L003 Ankleshwar</v>
          </cell>
          <cell r="J4422" t="str">
            <v>99 Input/Byprodt/Scrap</v>
          </cell>
          <cell r="K4422" t="str">
            <v>10.2012</v>
          </cell>
          <cell r="L4422">
            <v>1</v>
          </cell>
          <cell r="M4422" t="str">
            <v>EA</v>
          </cell>
          <cell r="N4422">
            <v>1073</v>
          </cell>
          <cell r="O4422" t="str">
            <v>INR</v>
          </cell>
        </row>
        <row r="4423">
          <cell r="A4423" t="str">
            <v>L003 Ankleshwar</v>
          </cell>
          <cell r="B4423">
            <v>660067</v>
          </cell>
          <cell r="C4423" t="str">
            <v>OIL WIPER RING P.N.0481574050</v>
          </cell>
          <cell r="D4423" t="str">
            <v>L0030151                       EnggStore</v>
          </cell>
          <cell r="E4423" t="str">
            <v>E01 E01</v>
          </cell>
          <cell r="F4423" t="str">
            <v>ND No planning</v>
          </cell>
          <cell r="G4423" t="str">
            <v>ERSA Spare parts</v>
          </cell>
          <cell r="H4423" t="str">
            <v>EN037     Refrigeration&amp;A/Cspa</v>
          </cell>
          <cell r="I4423" t="str">
            <v>L003 Ankleshwar</v>
          </cell>
          <cell r="J4423" t="str">
            <v>99 Input/Byprodt/Scrap</v>
          </cell>
          <cell r="K4423" t="str">
            <v>10.2012</v>
          </cell>
          <cell r="L4423">
            <v>1</v>
          </cell>
          <cell r="M4423" t="str">
            <v>EA</v>
          </cell>
          <cell r="N4423">
            <v>724.09</v>
          </cell>
          <cell r="O4423" t="str">
            <v>INR</v>
          </cell>
        </row>
        <row r="4424">
          <cell r="A4424" t="str">
            <v>L003 Ankleshwar</v>
          </cell>
          <cell r="B4424">
            <v>660080</v>
          </cell>
          <cell r="C4424" t="str">
            <v>CI PULLY: 7" B-SECTION 3-GROOVE</v>
          </cell>
          <cell r="D4424" t="str">
            <v>L0030151                       EnggStore</v>
          </cell>
          <cell r="E4424">
            <v>0</v>
          </cell>
          <cell r="F4424" t="str">
            <v>ND No planning</v>
          </cell>
          <cell r="G4424" t="str">
            <v>ERSA Spare parts</v>
          </cell>
          <cell r="H4424" t="str">
            <v>EN021     VbeltCoupling&amp;Pulley</v>
          </cell>
          <cell r="I4424" t="str">
            <v>L003 Ankleshwar</v>
          </cell>
          <cell r="J4424" t="str">
            <v>99 Input/Byprodt/Scrap</v>
          </cell>
          <cell r="K4424" t="str">
            <v>10.2012</v>
          </cell>
          <cell r="L4424">
            <v>1</v>
          </cell>
          <cell r="M4424" t="str">
            <v>EA</v>
          </cell>
          <cell r="N4424">
            <v>580</v>
          </cell>
          <cell r="O4424" t="str">
            <v>INR</v>
          </cell>
        </row>
        <row r="4425">
          <cell r="A4425" t="str">
            <v>L003 Ankleshwar</v>
          </cell>
          <cell r="B4425">
            <v>660081</v>
          </cell>
          <cell r="C4425" t="str">
            <v>WASHER SUCTION VALVE: PNO: 0232057050</v>
          </cell>
          <cell r="D4425" t="str">
            <v>L0030151                       EnggStore</v>
          </cell>
          <cell r="E4425">
            <v>0</v>
          </cell>
          <cell r="F4425" t="str">
            <v>ND No planning</v>
          </cell>
          <cell r="G4425" t="str">
            <v>ERSA Spare parts</v>
          </cell>
          <cell r="H4425" t="str">
            <v>EN037     Refrigeration&amp;A/Cspa</v>
          </cell>
          <cell r="I4425" t="str">
            <v>L003 Ankleshwar</v>
          </cell>
          <cell r="J4425" t="str">
            <v>99 Input/Byprodt/Scrap</v>
          </cell>
          <cell r="K4425" t="str">
            <v>10.2012</v>
          </cell>
          <cell r="L4425">
            <v>1</v>
          </cell>
          <cell r="M4425" t="str">
            <v>EA</v>
          </cell>
          <cell r="N4425">
            <v>63</v>
          </cell>
          <cell r="O4425" t="str">
            <v>INR</v>
          </cell>
        </row>
        <row r="4426">
          <cell r="A4426" t="str">
            <v>L003 Ankleshwar</v>
          </cell>
          <cell r="B4426">
            <v>660082</v>
          </cell>
          <cell r="C4426" t="str">
            <v>WASHER DELIVERY VALVE: PNO: 0232056050</v>
          </cell>
          <cell r="D4426" t="str">
            <v>L0030151                       EnggStore</v>
          </cell>
          <cell r="E4426" t="str">
            <v>E32 E32</v>
          </cell>
          <cell r="F4426" t="str">
            <v>VB Manual reorder point planning</v>
          </cell>
          <cell r="G4426" t="str">
            <v>ERSA Spare parts</v>
          </cell>
          <cell r="H4426" t="str">
            <v>EN037     Refrigeration&amp;A/Cspa</v>
          </cell>
          <cell r="I4426" t="str">
            <v>L003 Ankleshwar</v>
          </cell>
          <cell r="J4426" t="str">
            <v>99 Input/Byprodt/Scrap</v>
          </cell>
          <cell r="K4426" t="str">
            <v>10.2012</v>
          </cell>
          <cell r="L4426">
            <v>1</v>
          </cell>
          <cell r="M4426" t="str">
            <v>EA</v>
          </cell>
          <cell r="N4426">
            <v>62.829999999999899</v>
          </cell>
          <cell r="O4426" t="str">
            <v>INR</v>
          </cell>
        </row>
        <row r="4427">
          <cell r="A4427" t="str">
            <v>L003 Ankleshwar</v>
          </cell>
          <cell r="B4427">
            <v>660094</v>
          </cell>
          <cell r="C4427" t="str">
            <v>PACKING RING SET: PNO: 03G18S</v>
          </cell>
          <cell r="D4427" t="str">
            <v>L0030151                       EnggStore</v>
          </cell>
          <cell r="E4427" t="str">
            <v>E32 E32</v>
          </cell>
          <cell r="F4427" t="str">
            <v>VB Manual reorder point planning</v>
          </cell>
          <cell r="G4427" t="str">
            <v>ERSA Spare parts</v>
          </cell>
          <cell r="H4427" t="str">
            <v>EN037     Refrigeration&amp;A/Cspa</v>
          </cell>
          <cell r="I4427" t="str">
            <v>L003 Ankleshwar</v>
          </cell>
          <cell r="J4427" t="str">
            <v>99 Input/Byprodt/Scrap</v>
          </cell>
          <cell r="K4427" t="str">
            <v>10.2012</v>
          </cell>
          <cell r="L4427">
            <v>1</v>
          </cell>
          <cell r="M4427" t="str">
            <v>SET</v>
          </cell>
          <cell r="N4427">
            <v>11412.9</v>
          </cell>
          <cell r="O4427" t="str">
            <v>INR</v>
          </cell>
        </row>
        <row r="4428">
          <cell r="A4428" t="str">
            <v>L003 Ankleshwar</v>
          </cell>
          <cell r="B4428">
            <v>660119</v>
          </cell>
          <cell r="C4428" t="str">
            <v>ALUMINIUM CABLE LUGS SOCKET TYPE: 35MM²</v>
          </cell>
          <cell r="D4428" t="str">
            <v>L0030151                       EnggStore</v>
          </cell>
          <cell r="E4428">
            <v>0</v>
          </cell>
          <cell r="F4428" t="str">
            <v>ND No planning</v>
          </cell>
          <cell r="G4428" t="str">
            <v>ERSA Spare parts</v>
          </cell>
          <cell r="H4428" t="str">
            <v>EN004     Cable &amp; Cable Acc.</v>
          </cell>
          <cell r="I4428" t="str">
            <v>L003 Ankleshwar</v>
          </cell>
          <cell r="J4428" t="str">
            <v>99 Input/Byprodt/Scrap</v>
          </cell>
          <cell r="K4428" t="str">
            <v>10.2012</v>
          </cell>
          <cell r="L4428">
            <v>43</v>
          </cell>
          <cell r="M4428" t="str">
            <v>EA</v>
          </cell>
          <cell r="N4428">
            <v>104.83</v>
          </cell>
          <cell r="O4428" t="str">
            <v>INR</v>
          </cell>
        </row>
        <row r="4429">
          <cell r="A4429" t="str">
            <v>L003 Ankleshwar</v>
          </cell>
          <cell r="B4429">
            <v>660120</v>
          </cell>
          <cell r="C4429" t="str">
            <v>ALUMINIUM CABLE LUGS SOCKET TYPE: 25MM²</v>
          </cell>
          <cell r="D4429" t="str">
            <v>L0030151                       EnggStore</v>
          </cell>
          <cell r="E4429">
            <v>0</v>
          </cell>
          <cell r="F4429" t="str">
            <v>ND No planning</v>
          </cell>
          <cell r="G4429" t="str">
            <v>ERSA Spare parts</v>
          </cell>
          <cell r="H4429" t="str">
            <v>EN004     Cable &amp; Cable Acc.</v>
          </cell>
          <cell r="I4429" t="str">
            <v>L003 Ankleshwar</v>
          </cell>
          <cell r="J4429" t="str">
            <v>99 Input/Byprodt/Scrap</v>
          </cell>
          <cell r="K4429" t="str">
            <v>10.2012</v>
          </cell>
          <cell r="L4429">
            <v>63</v>
          </cell>
          <cell r="M4429" t="str">
            <v>EA</v>
          </cell>
          <cell r="N4429">
            <v>125.16</v>
          </cell>
          <cell r="O4429" t="str">
            <v>INR</v>
          </cell>
        </row>
        <row r="4430">
          <cell r="A4430" t="str">
            <v>L003 Ankleshwar</v>
          </cell>
          <cell r="B4430">
            <v>660166</v>
          </cell>
          <cell r="C4430" t="str">
            <v>RADIATOR FAN PATKAR OTL 175 VAC.PUMP</v>
          </cell>
          <cell r="D4430" t="str">
            <v>L0030151                       EnggStore</v>
          </cell>
          <cell r="E4430" t="str">
            <v>E34 E34</v>
          </cell>
          <cell r="F4430" t="str">
            <v>VB Manual reorder point planning</v>
          </cell>
          <cell r="G4430" t="str">
            <v>ERSA Spare parts</v>
          </cell>
          <cell r="H4430" t="str">
            <v>EN032     Pumpspares</v>
          </cell>
          <cell r="I4430" t="str">
            <v>L003 Ankleshwar</v>
          </cell>
          <cell r="J4430" t="str">
            <v>99 Input/Byprodt/Scrap</v>
          </cell>
          <cell r="K4430" t="str">
            <v>10.2012</v>
          </cell>
          <cell r="L4430">
            <v>2</v>
          </cell>
          <cell r="M4430" t="str">
            <v>EA</v>
          </cell>
          <cell r="N4430">
            <v>244.8</v>
          </cell>
          <cell r="O4430" t="str">
            <v>INR</v>
          </cell>
        </row>
        <row r="4431">
          <cell r="A4431" t="str">
            <v>L003 Ankleshwar</v>
          </cell>
          <cell r="B4431">
            <v>660169</v>
          </cell>
          <cell r="C4431" t="str">
            <v>CARBON SEAL RING: EPIL P01 90MM SPL</v>
          </cell>
          <cell r="D4431" t="str">
            <v>L0030151                       EnggStore</v>
          </cell>
          <cell r="E4431" t="str">
            <v>E34 E34</v>
          </cell>
          <cell r="F4431" t="str">
            <v>VB Manual reorder point planning</v>
          </cell>
          <cell r="G4431" t="str">
            <v>ERSA Spare parts</v>
          </cell>
          <cell r="H4431" t="str">
            <v>EN038     MechanicalSeals&amp;Spar</v>
          </cell>
          <cell r="I4431" t="str">
            <v>L003 Ankleshwar</v>
          </cell>
          <cell r="J4431" t="str">
            <v>99 Input/Byprodt/Scrap</v>
          </cell>
          <cell r="K4431" t="str">
            <v>10.2012</v>
          </cell>
          <cell r="L4431">
            <v>1</v>
          </cell>
          <cell r="M4431" t="str">
            <v>EA</v>
          </cell>
          <cell r="N4431">
            <v>5525</v>
          </cell>
          <cell r="O4431" t="str">
            <v>INR</v>
          </cell>
        </row>
        <row r="4432">
          <cell r="A4432" t="str">
            <v>L003 Ankleshwar</v>
          </cell>
          <cell r="B4432">
            <v>660182</v>
          </cell>
          <cell r="C4432" t="str">
            <v>THRUST WASHER: EPIL P01 90MM SPL</v>
          </cell>
          <cell r="D4432" t="str">
            <v>L0030151                       EnggStore</v>
          </cell>
          <cell r="E4432">
            <v>0</v>
          </cell>
          <cell r="F4432" t="str">
            <v>ND No planning</v>
          </cell>
          <cell r="G4432" t="str">
            <v>ERSA Spare parts</v>
          </cell>
          <cell r="H4432" t="str">
            <v>EN038     MechanicalSeals&amp;Spar</v>
          </cell>
          <cell r="I4432" t="str">
            <v>L003 Ankleshwar</v>
          </cell>
          <cell r="J4432" t="str">
            <v>99 Input/Byprodt/Scrap</v>
          </cell>
          <cell r="K4432" t="str">
            <v>10.2012</v>
          </cell>
          <cell r="L4432">
            <v>2</v>
          </cell>
          <cell r="M4432" t="str">
            <v>EA</v>
          </cell>
          <cell r="N4432">
            <v>1650.76</v>
          </cell>
          <cell r="O4432" t="str">
            <v>INR</v>
          </cell>
        </row>
        <row r="4433">
          <cell r="A4433" t="str">
            <v>L003 Ankleshwar</v>
          </cell>
          <cell r="B4433">
            <v>660185</v>
          </cell>
          <cell r="C4433" t="str">
            <v>SOC. SET SCREW: EPIL P01 90MM SPL</v>
          </cell>
          <cell r="D4433" t="str">
            <v>L0030151                       EnggStore</v>
          </cell>
          <cell r="E4433">
            <v>0</v>
          </cell>
          <cell r="F4433" t="str">
            <v>ND No planning</v>
          </cell>
          <cell r="G4433" t="str">
            <v>ERSA Spare parts</v>
          </cell>
          <cell r="H4433" t="str">
            <v>EN038     MechanicalSeals&amp;Spar</v>
          </cell>
          <cell r="I4433" t="str">
            <v>L003 Ankleshwar</v>
          </cell>
          <cell r="J4433" t="str">
            <v>99 Input/Byprodt/Scrap</v>
          </cell>
          <cell r="K4433" t="str">
            <v>10.2012</v>
          </cell>
          <cell r="L4433">
            <v>1</v>
          </cell>
          <cell r="M4433" t="str">
            <v>SET</v>
          </cell>
          <cell r="N4433">
            <v>816.41999999999905</v>
          </cell>
          <cell r="O4433" t="str">
            <v>INR</v>
          </cell>
        </row>
        <row r="4434">
          <cell r="A4434" t="str">
            <v>L003 Ankleshwar</v>
          </cell>
          <cell r="B4434">
            <v>660186</v>
          </cell>
          <cell r="C4434" t="str">
            <v>VITON O RING BRG.PLATE:EPIL P01 90MM SPL</v>
          </cell>
          <cell r="D4434" t="str">
            <v>L0030151                       EnggStore</v>
          </cell>
          <cell r="E4434" t="str">
            <v>E34 E34</v>
          </cell>
          <cell r="F4434" t="str">
            <v>VB Manual reorder point planning</v>
          </cell>
          <cell r="G4434" t="str">
            <v>ERSA Spare parts</v>
          </cell>
          <cell r="H4434" t="str">
            <v>EN038     MechanicalSeals&amp;Spar</v>
          </cell>
          <cell r="I4434" t="str">
            <v>L003 Ankleshwar</v>
          </cell>
          <cell r="J4434" t="str">
            <v>99 Input/Byprodt/Scrap</v>
          </cell>
          <cell r="K4434" t="str">
            <v>10.2012</v>
          </cell>
          <cell r="L4434">
            <v>1</v>
          </cell>
          <cell r="M4434" t="str">
            <v>EA</v>
          </cell>
          <cell r="N4434">
            <v>297</v>
          </cell>
          <cell r="O4434" t="str">
            <v>INR</v>
          </cell>
        </row>
        <row r="4435">
          <cell r="A4435" t="str">
            <v>L003 Ankleshwar</v>
          </cell>
          <cell r="B4435">
            <v>660187</v>
          </cell>
          <cell r="C4435" t="str">
            <v>PVC OIL PIPE PATKAR OTL 175 VAC.PUMP</v>
          </cell>
          <cell r="D4435" t="str">
            <v>L0030151                       EnggStore</v>
          </cell>
          <cell r="E4435" t="str">
            <v>E34 E34</v>
          </cell>
          <cell r="F4435" t="str">
            <v>VB Manual reorder point planning</v>
          </cell>
          <cell r="G4435" t="str">
            <v>ERSA Spare parts</v>
          </cell>
          <cell r="H4435" t="str">
            <v>EN032     Pumpspares</v>
          </cell>
          <cell r="I4435" t="str">
            <v>L003 Ankleshwar</v>
          </cell>
          <cell r="J4435" t="str">
            <v>99 Input/Byprodt/Scrap</v>
          </cell>
          <cell r="K4435" t="str">
            <v>10.2012</v>
          </cell>
          <cell r="L4435">
            <v>1</v>
          </cell>
          <cell r="M4435" t="str">
            <v>SET</v>
          </cell>
          <cell r="N4435">
            <v>2094.9099999999899</v>
          </cell>
          <cell r="O4435" t="str">
            <v>INR</v>
          </cell>
        </row>
        <row r="4436">
          <cell r="A4436" t="str">
            <v>L003 Ankleshwar</v>
          </cell>
          <cell r="B4436">
            <v>660208</v>
          </cell>
          <cell r="C4436" t="str">
            <v>2.5 SQMM CU-RING LUG-M8 HOLE:RS-7014</v>
          </cell>
          <cell r="D4436" t="str">
            <v>L0030151                       EnggStore</v>
          </cell>
          <cell r="E4436" t="str">
            <v>E36 E36</v>
          </cell>
          <cell r="F4436" t="str">
            <v>VB Manual reorder point planning</v>
          </cell>
          <cell r="G4436" t="str">
            <v>ERSA Spare parts</v>
          </cell>
          <cell r="H4436" t="str">
            <v>EN004     Cable &amp; Cable Acc.</v>
          </cell>
          <cell r="I4436" t="str">
            <v>L003 Ankleshwar</v>
          </cell>
          <cell r="J4436" t="str">
            <v>99 Input/Byprodt/Scrap</v>
          </cell>
          <cell r="K4436" t="str">
            <v>10.2012</v>
          </cell>
          <cell r="L4436">
            <v>10</v>
          </cell>
          <cell r="M4436" t="str">
            <v>EA</v>
          </cell>
          <cell r="N4436">
            <v>20.899999999999899</v>
          </cell>
          <cell r="O4436" t="str">
            <v>INR</v>
          </cell>
        </row>
        <row r="4437">
          <cell r="A4437" t="str">
            <v>L003 Ankleshwar</v>
          </cell>
          <cell r="B4437">
            <v>660241</v>
          </cell>
          <cell r="C4437" t="str">
            <v>HRC FUSE-SIEMENS-NH00:3NA3805-7Y 16</v>
          </cell>
          <cell r="D4437" t="str">
            <v>L0030151                       EnggStore</v>
          </cell>
          <cell r="E4437" t="str">
            <v>E36 E36</v>
          </cell>
          <cell r="F4437" t="str">
            <v>VB Manual reorder point planning</v>
          </cell>
          <cell r="G4437" t="str">
            <v>ERSA Spare parts</v>
          </cell>
          <cell r="H4437" t="str">
            <v>EN006     Elec Switchgear</v>
          </cell>
          <cell r="I4437" t="str">
            <v>L003 Ankleshwar</v>
          </cell>
          <cell r="J4437" t="str">
            <v>99 Input/Byprodt/Scrap</v>
          </cell>
          <cell r="K4437" t="str">
            <v>10.2012</v>
          </cell>
          <cell r="L4437">
            <v>5</v>
          </cell>
          <cell r="M4437" t="str">
            <v>EA</v>
          </cell>
          <cell r="N4437">
            <v>715</v>
          </cell>
          <cell r="O4437" t="str">
            <v>INR</v>
          </cell>
        </row>
        <row r="4438">
          <cell r="A4438" t="str">
            <v>L003 Ankleshwar</v>
          </cell>
          <cell r="B4438">
            <v>660242</v>
          </cell>
          <cell r="C4438" t="str">
            <v>HRC FUSE-SIEMENS-NH00:3NA3807-7Y 20</v>
          </cell>
          <cell r="D4438" t="str">
            <v>L0030151                       EnggStore</v>
          </cell>
          <cell r="E4438" t="str">
            <v>E36 E36</v>
          </cell>
          <cell r="F4438" t="str">
            <v>VB Manual reorder point planning</v>
          </cell>
          <cell r="G4438" t="str">
            <v>ERSA Spare parts</v>
          </cell>
          <cell r="H4438" t="str">
            <v>EN006     Elec Switchgear</v>
          </cell>
          <cell r="I4438" t="str">
            <v>L003 Ankleshwar</v>
          </cell>
          <cell r="J4438" t="str">
            <v>99 Input/Byprodt/Scrap</v>
          </cell>
          <cell r="K4438" t="str">
            <v>10.2012</v>
          </cell>
          <cell r="L4438">
            <v>6</v>
          </cell>
          <cell r="M4438" t="str">
            <v>EA</v>
          </cell>
          <cell r="N4438">
            <v>859.80999999999904</v>
          </cell>
          <cell r="O4438" t="str">
            <v>INR</v>
          </cell>
        </row>
        <row r="4439">
          <cell r="A4439" t="str">
            <v>L003 Ankleshwar</v>
          </cell>
          <cell r="B4439">
            <v>660243</v>
          </cell>
          <cell r="C4439" t="str">
            <v>HRC FUSE-SIEMENS-NH00:3NA3810-7Y 25</v>
          </cell>
          <cell r="D4439" t="str">
            <v>L0030151                       EnggStore</v>
          </cell>
          <cell r="E4439" t="str">
            <v>E36 E36</v>
          </cell>
          <cell r="F4439" t="str">
            <v>VB Manual reorder point planning</v>
          </cell>
          <cell r="G4439" t="str">
            <v>ERSA Spare parts</v>
          </cell>
          <cell r="H4439" t="str">
            <v>EN006     Elec Switchgear</v>
          </cell>
          <cell r="I4439" t="str">
            <v>L003 Ankleshwar</v>
          </cell>
          <cell r="J4439" t="str">
            <v>99 Input/Byprodt/Scrap</v>
          </cell>
          <cell r="K4439" t="str">
            <v>10.2012</v>
          </cell>
          <cell r="L4439">
            <v>13</v>
          </cell>
          <cell r="M4439" t="str">
            <v>EA</v>
          </cell>
          <cell r="N4439">
            <v>1860.3699999999899</v>
          </cell>
          <cell r="O4439" t="str">
            <v>INR</v>
          </cell>
        </row>
        <row r="4440">
          <cell r="A4440" t="str">
            <v>L003 Ankleshwar</v>
          </cell>
          <cell r="B4440">
            <v>660244</v>
          </cell>
          <cell r="C4440" t="str">
            <v>HRC FUSE-SIEMENS-NH00:3NA3812-7Y 32</v>
          </cell>
          <cell r="D4440" t="str">
            <v>L0030151                       EnggStore</v>
          </cell>
          <cell r="E4440" t="str">
            <v>E36 E36</v>
          </cell>
          <cell r="F4440" t="str">
            <v>VB Manual reorder point planning</v>
          </cell>
          <cell r="G4440" t="str">
            <v>ERSA Spare parts</v>
          </cell>
          <cell r="H4440" t="str">
            <v>EN006     Elec Switchgear</v>
          </cell>
          <cell r="I4440" t="str">
            <v>L003 Ankleshwar</v>
          </cell>
          <cell r="J4440" t="str">
            <v>99 Input/Byprodt/Scrap</v>
          </cell>
          <cell r="K4440" t="str">
            <v>10.2012</v>
          </cell>
          <cell r="L4440">
            <v>5</v>
          </cell>
          <cell r="M4440" t="str">
            <v>EA</v>
          </cell>
          <cell r="N4440">
            <v>714.67999999999904</v>
          </cell>
          <cell r="O4440" t="str">
            <v>INR</v>
          </cell>
        </row>
        <row r="4441">
          <cell r="A4441" t="str">
            <v>L003 Ankleshwar</v>
          </cell>
          <cell r="B4441">
            <v>660245</v>
          </cell>
          <cell r="C4441" t="str">
            <v>HRC FUSE-SIEMENS-NH00:3NA3830-7Y 100</v>
          </cell>
          <cell r="D4441" t="str">
            <v>L0030151                       EnggStore</v>
          </cell>
          <cell r="E4441" t="str">
            <v>E36 E36</v>
          </cell>
          <cell r="F4441" t="str">
            <v>VB Manual reorder point planning</v>
          </cell>
          <cell r="G4441" t="str">
            <v>ERSA Spare parts</v>
          </cell>
          <cell r="H4441" t="str">
            <v>EN006     Elec Switchgear</v>
          </cell>
          <cell r="I4441" t="str">
            <v>L003 Ankleshwar</v>
          </cell>
          <cell r="J4441" t="str">
            <v>99 Input/Byprodt/Scrap</v>
          </cell>
          <cell r="K4441" t="str">
            <v>10.2012</v>
          </cell>
          <cell r="L4441">
            <v>11</v>
          </cell>
          <cell r="M4441" t="str">
            <v>EA</v>
          </cell>
          <cell r="N4441">
            <v>1919.3099999999899</v>
          </cell>
          <cell r="O4441" t="str">
            <v>INR</v>
          </cell>
        </row>
        <row r="4442">
          <cell r="A4442" t="str">
            <v>L003 Ankleshwar</v>
          </cell>
          <cell r="B4442">
            <v>660253</v>
          </cell>
          <cell r="C4442" t="str">
            <v>IMPELLER: CR8-180-AUUE</v>
          </cell>
          <cell r="D4442" t="str">
            <v>L0030151                       EnggStore</v>
          </cell>
          <cell r="E4442">
            <v>0</v>
          </cell>
          <cell r="F4442" t="str">
            <v>ND No planning</v>
          </cell>
          <cell r="G4442" t="str">
            <v>ERSA Spare parts</v>
          </cell>
          <cell r="H4442" t="str">
            <v>EN032     Pumpspares</v>
          </cell>
          <cell r="I4442" t="str">
            <v>L003 Ankleshwar</v>
          </cell>
          <cell r="J4442" t="str">
            <v>99 Input/Byprodt/Scrap</v>
          </cell>
          <cell r="K4442" t="str">
            <v>10.2012</v>
          </cell>
          <cell r="L4442">
            <v>4</v>
          </cell>
          <cell r="M4442" t="str">
            <v>EA</v>
          </cell>
          <cell r="N4442">
            <v>3168</v>
          </cell>
          <cell r="O4442" t="str">
            <v>INR</v>
          </cell>
        </row>
        <row r="4443">
          <cell r="A4443" t="str">
            <v>L003 Ankleshwar</v>
          </cell>
          <cell r="B4443">
            <v>660268</v>
          </cell>
          <cell r="C4443" t="str">
            <v>BRASS STRAIGHT CONNECTOR: 1/4"X1/4 FALRE</v>
          </cell>
          <cell r="D4443" t="str">
            <v>L0030151                       EnggStore</v>
          </cell>
          <cell r="E4443">
            <v>0</v>
          </cell>
          <cell r="F4443" t="str">
            <v>ND No planning</v>
          </cell>
          <cell r="G4443" t="str">
            <v>ERSA Spare parts</v>
          </cell>
          <cell r="H4443" t="str">
            <v>EN037     Refrigeration&amp;A/Cspa</v>
          </cell>
          <cell r="I4443" t="str">
            <v>L003 Ankleshwar</v>
          </cell>
          <cell r="J4443" t="str">
            <v>99 Input/Byprodt/Scrap</v>
          </cell>
          <cell r="K4443" t="str">
            <v>10.2012</v>
          </cell>
          <cell r="L4443">
            <v>6</v>
          </cell>
          <cell r="M4443" t="str">
            <v>EA</v>
          </cell>
          <cell r="N4443">
            <v>249.479999999999</v>
          </cell>
          <cell r="O4443" t="str">
            <v>INR</v>
          </cell>
        </row>
        <row r="4444">
          <cell r="A4444" t="str">
            <v>L003 Ankleshwar</v>
          </cell>
          <cell r="B4444">
            <v>660269</v>
          </cell>
          <cell r="C4444" t="str">
            <v>F22 CHARGING TUBE: 1/4"X1/4" FLAREXI MTR</v>
          </cell>
          <cell r="D4444" t="str">
            <v>L0030151                       EnggStore</v>
          </cell>
          <cell r="E4444" t="str">
            <v>E32 E32</v>
          </cell>
          <cell r="F4444" t="str">
            <v>VB Manual reorder point planning</v>
          </cell>
          <cell r="G4444" t="str">
            <v>ERSA Spare parts</v>
          </cell>
          <cell r="H4444" t="str">
            <v>EN037     Refrigeration&amp;A/Cspa</v>
          </cell>
          <cell r="I4444" t="str">
            <v>L003 Ankleshwar</v>
          </cell>
          <cell r="J4444" t="str">
            <v>99 Input/Byprodt/Scrap</v>
          </cell>
          <cell r="K4444" t="str">
            <v>10.2012</v>
          </cell>
          <cell r="L4444">
            <v>1</v>
          </cell>
          <cell r="M4444" t="str">
            <v>EA</v>
          </cell>
          <cell r="N4444">
            <v>213.75</v>
          </cell>
          <cell r="O4444" t="str">
            <v>INR</v>
          </cell>
        </row>
        <row r="4445">
          <cell r="A4445" t="str">
            <v>L003 Ankleshwar</v>
          </cell>
          <cell r="B4445">
            <v>660271</v>
          </cell>
          <cell r="C4445" t="str">
            <v>NECK RING: CR8-180-AUUE</v>
          </cell>
          <cell r="D4445" t="str">
            <v>L0030151                       EnggStore</v>
          </cell>
          <cell r="E4445" t="str">
            <v>E34 E34</v>
          </cell>
          <cell r="F4445" t="str">
            <v>VB Manual reorder point planning</v>
          </cell>
          <cell r="G4445" t="str">
            <v>ERSA Spare parts</v>
          </cell>
          <cell r="H4445" t="str">
            <v>EN032     Pumpspares</v>
          </cell>
          <cell r="I4445" t="str">
            <v>L003 Ankleshwar</v>
          </cell>
          <cell r="J4445" t="str">
            <v>99 Input/Byprodt/Scrap</v>
          </cell>
          <cell r="K4445" t="str">
            <v>10.2012</v>
          </cell>
          <cell r="L4445">
            <v>14</v>
          </cell>
          <cell r="M4445" t="str">
            <v>EA</v>
          </cell>
          <cell r="N4445">
            <v>745.32</v>
          </cell>
          <cell r="O4445" t="str">
            <v>INR</v>
          </cell>
        </row>
        <row r="4446">
          <cell r="A4446" t="str">
            <v>L003 Ankleshwar</v>
          </cell>
          <cell r="B4446">
            <v>660272</v>
          </cell>
          <cell r="C4446" t="str">
            <v>NECK RING RETAINER: CR8-180-AUUE</v>
          </cell>
          <cell r="D4446" t="str">
            <v>L0030151                       EnggStore</v>
          </cell>
          <cell r="E4446">
            <v>0</v>
          </cell>
          <cell r="F4446" t="str">
            <v>ND No planning</v>
          </cell>
          <cell r="G4446" t="str">
            <v>ERSA Spare parts</v>
          </cell>
          <cell r="H4446" t="str">
            <v>EN032     Pumpspares</v>
          </cell>
          <cell r="I4446" t="str">
            <v>L003 Ankleshwar</v>
          </cell>
          <cell r="J4446" t="str">
            <v>99 Input/Byprodt/Scrap</v>
          </cell>
          <cell r="K4446" t="str">
            <v>10.2012</v>
          </cell>
          <cell r="L4446">
            <v>20</v>
          </cell>
          <cell r="M4446" t="str">
            <v>EA</v>
          </cell>
          <cell r="N4446">
            <v>1378.6099999999899</v>
          </cell>
          <cell r="O4446" t="str">
            <v>INR</v>
          </cell>
        </row>
        <row r="4447">
          <cell r="A4447" t="str">
            <v>L003 Ankleshwar</v>
          </cell>
          <cell r="B4447">
            <v>660273</v>
          </cell>
          <cell r="C4447" t="str">
            <v>GASKETS: CR8-180-AUUE</v>
          </cell>
          <cell r="D4447" t="str">
            <v>L0030151                       EnggStore</v>
          </cell>
          <cell r="E4447">
            <v>0</v>
          </cell>
          <cell r="F4447" t="str">
            <v>ND No planning</v>
          </cell>
          <cell r="G4447" t="str">
            <v>ERSA Spare parts</v>
          </cell>
          <cell r="H4447" t="str">
            <v>EN032     Pumpspares</v>
          </cell>
          <cell r="I4447" t="str">
            <v>L003 Ankleshwar</v>
          </cell>
          <cell r="J4447" t="str">
            <v>99 Input/Byprodt/Scrap</v>
          </cell>
          <cell r="K4447" t="str">
            <v>10.2012</v>
          </cell>
          <cell r="L4447">
            <v>3</v>
          </cell>
          <cell r="M4447" t="str">
            <v>EA</v>
          </cell>
          <cell r="N4447">
            <v>136.84</v>
          </cell>
          <cell r="O4447" t="str">
            <v>INR</v>
          </cell>
        </row>
        <row r="4448">
          <cell r="A4448" t="str">
            <v>L003 Ankleshwar</v>
          </cell>
          <cell r="B4448">
            <v>660278</v>
          </cell>
          <cell r="C4448" t="str">
            <v>WASHER: CR8-180-AUUE</v>
          </cell>
          <cell r="D4448" t="str">
            <v>L0030151                       EnggStore</v>
          </cell>
          <cell r="E4448">
            <v>0</v>
          </cell>
          <cell r="F4448" t="str">
            <v>ND No planning</v>
          </cell>
          <cell r="G4448" t="str">
            <v>ERSA Spare parts</v>
          </cell>
          <cell r="H4448" t="str">
            <v>EN032     Pumpspares</v>
          </cell>
          <cell r="I4448" t="str">
            <v>L003 Ankleshwar</v>
          </cell>
          <cell r="J4448" t="str">
            <v>99 Input/Byprodt/Scrap</v>
          </cell>
          <cell r="K4448" t="str">
            <v>10.2012</v>
          </cell>
          <cell r="L4448">
            <v>4</v>
          </cell>
          <cell r="M4448" t="str">
            <v>EA</v>
          </cell>
          <cell r="N4448">
            <v>134.039999999999</v>
          </cell>
          <cell r="O4448" t="str">
            <v>INR</v>
          </cell>
        </row>
        <row r="4449">
          <cell r="A4449" t="str">
            <v>L003 Ankleshwar</v>
          </cell>
          <cell r="B4449">
            <v>660279</v>
          </cell>
          <cell r="C4449" t="str">
            <v>SHAFT: CR8-180-AUUE</v>
          </cell>
          <cell r="D4449" t="str">
            <v>L0030151                       EnggStore</v>
          </cell>
          <cell r="E4449">
            <v>0</v>
          </cell>
          <cell r="F4449" t="str">
            <v>ND No planning</v>
          </cell>
          <cell r="G4449" t="str">
            <v>ERSA Spare parts</v>
          </cell>
          <cell r="H4449" t="str">
            <v>EN032     Pumpspares</v>
          </cell>
          <cell r="I4449" t="str">
            <v>L003 Ankleshwar</v>
          </cell>
          <cell r="J4449" t="str">
            <v>99 Input/Byprodt/Scrap</v>
          </cell>
          <cell r="K4449" t="str">
            <v>10.2012</v>
          </cell>
          <cell r="L4449">
            <v>1</v>
          </cell>
          <cell r="M4449" t="str">
            <v>EA</v>
          </cell>
          <cell r="N4449">
            <v>1616.04</v>
          </cell>
          <cell r="O4449" t="str">
            <v>INR</v>
          </cell>
        </row>
        <row r="4450">
          <cell r="A4450" t="str">
            <v>L003 Ankleshwar</v>
          </cell>
          <cell r="B4450">
            <v>660313</v>
          </cell>
          <cell r="C4450" t="str">
            <v>SUCTION VALVE LINTRAN TC-50: 0230035001</v>
          </cell>
          <cell r="D4450" t="str">
            <v>L0030151                       EnggStore</v>
          </cell>
          <cell r="E4450">
            <v>0</v>
          </cell>
          <cell r="F4450" t="str">
            <v>ND No planning</v>
          </cell>
          <cell r="G4450" t="str">
            <v>ERSA Spare parts</v>
          </cell>
          <cell r="H4450" t="str">
            <v>EN037     Refrigeration&amp;A/Cspa</v>
          </cell>
          <cell r="I4450" t="str">
            <v>L003 Ankleshwar</v>
          </cell>
          <cell r="J4450" t="str">
            <v>99 Input/Byprodt/Scrap</v>
          </cell>
          <cell r="K4450" t="str">
            <v>10.2012</v>
          </cell>
          <cell r="L4450">
            <v>2</v>
          </cell>
          <cell r="M4450" t="str">
            <v>EA</v>
          </cell>
          <cell r="N4450">
            <v>1620</v>
          </cell>
          <cell r="O4450" t="str">
            <v>INR</v>
          </cell>
        </row>
        <row r="4451">
          <cell r="A4451" t="str">
            <v>L003 Ankleshwar</v>
          </cell>
          <cell r="B4451">
            <v>660322</v>
          </cell>
          <cell r="C4451" t="str">
            <v>BALL BEARING: 6315-C3</v>
          </cell>
          <cell r="D4451" t="str">
            <v>L0030151                       EnggStore</v>
          </cell>
          <cell r="E4451">
            <v>0</v>
          </cell>
          <cell r="F4451" t="str">
            <v>ND No planning</v>
          </cell>
          <cell r="G4451" t="str">
            <v>ERSA Spare parts</v>
          </cell>
          <cell r="H4451" t="str">
            <v>EN009     Bearings</v>
          </cell>
          <cell r="I4451" t="str">
            <v>L003 Ankleshwar</v>
          </cell>
          <cell r="J4451" t="str">
            <v>99 Input/Byprodt/Scrap</v>
          </cell>
          <cell r="K4451" t="str">
            <v>10.2012</v>
          </cell>
          <cell r="L4451">
            <v>1</v>
          </cell>
          <cell r="M4451" t="str">
            <v>EA</v>
          </cell>
          <cell r="N4451">
            <v>3437.2199999999898</v>
          </cell>
          <cell r="O4451" t="str">
            <v>INR</v>
          </cell>
        </row>
        <row r="4452">
          <cell r="A4452" t="str">
            <v>L003 Ankleshwar</v>
          </cell>
          <cell r="B4452">
            <v>660338</v>
          </cell>
          <cell r="C4452" t="str">
            <v>COOLER CLEANING AGENT-FINOKLENE2</v>
          </cell>
          <cell r="D4452" t="str">
            <v>L0030151                       EnggStore</v>
          </cell>
          <cell r="E4452">
            <v>0</v>
          </cell>
          <cell r="F4452" t="str">
            <v>ND No planning</v>
          </cell>
          <cell r="G4452" t="str">
            <v>ERSA Spare parts</v>
          </cell>
          <cell r="H4452" t="str">
            <v>EN029     Powerplantitems</v>
          </cell>
          <cell r="I4452" t="str">
            <v>L003 Ankleshwar</v>
          </cell>
          <cell r="J4452" t="str">
            <v>99 Input/Byprodt/Scrap</v>
          </cell>
          <cell r="K4452" t="str">
            <v>10.2012</v>
          </cell>
          <cell r="L4452">
            <v>50</v>
          </cell>
          <cell r="M4452" t="str">
            <v>L</v>
          </cell>
          <cell r="N4452">
            <v>9789.5</v>
          </cell>
          <cell r="O4452" t="str">
            <v>INR</v>
          </cell>
        </row>
        <row r="4453">
          <cell r="A4453" t="str">
            <v>L003 Ankleshwar</v>
          </cell>
          <cell r="B4453">
            <v>660388</v>
          </cell>
          <cell r="C4453" t="str">
            <v>NM GASKET KLINGER: 820X750X3MM</v>
          </cell>
          <cell r="D4453" t="str">
            <v>L0030151                       EnggStore</v>
          </cell>
          <cell r="E4453" t="str">
            <v>E35 E35</v>
          </cell>
          <cell r="F4453" t="str">
            <v>VB Manual reorder point planning</v>
          </cell>
          <cell r="G4453" t="str">
            <v>ERSA Spare parts</v>
          </cell>
          <cell r="H4453" t="str">
            <v>EN024     EnggConsumables</v>
          </cell>
          <cell r="I4453" t="str">
            <v>L003 Ankleshwar</v>
          </cell>
          <cell r="J4453" t="str">
            <v>99 Input/Byprodt/Scrap</v>
          </cell>
          <cell r="K4453" t="str">
            <v>10.2012</v>
          </cell>
          <cell r="L4453">
            <v>13</v>
          </cell>
          <cell r="M4453" t="str">
            <v>EA</v>
          </cell>
          <cell r="N4453">
            <v>3549</v>
          </cell>
          <cell r="O4453" t="str">
            <v>INR</v>
          </cell>
        </row>
        <row r="4454">
          <cell r="A4454" t="str">
            <v>L003 Ankleshwar</v>
          </cell>
          <cell r="B4454">
            <v>660407</v>
          </cell>
          <cell r="C4454" t="str">
            <v>SILICON SEAT 12" BUTTERFLY VALVE</v>
          </cell>
          <cell r="D4454" t="str">
            <v>L0030151                       EnggStore</v>
          </cell>
          <cell r="E4454">
            <v>0</v>
          </cell>
          <cell r="F4454" t="str">
            <v>ND No planning</v>
          </cell>
          <cell r="G4454" t="str">
            <v>ERSA Spare parts</v>
          </cell>
          <cell r="H4454" t="str">
            <v>EN023     Valves&amp;spares</v>
          </cell>
          <cell r="I4454" t="str">
            <v>L003 Ankleshwar</v>
          </cell>
          <cell r="J4454" t="str">
            <v>99 Input/Byprodt/Scrap</v>
          </cell>
          <cell r="K4454" t="str">
            <v>10.2012</v>
          </cell>
          <cell r="L4454">
            <v>1</v>
          </cell>
          <cell r="M4454" t="str">
            <v>EA</v>
          </cell>
          <cell r="N4454">
            <v>11994.4</v>
          </cell>
          <cell r="O4454" t="str">
            <v>INR</v>
          </cell>
        </row>
        <row r="4455">
          <cell r="A4455" t="str">
            <v>L003 Ankleshwar</v>
          </cell>
          <cell r="B4455">
            <v>660521</v>
          </cell>
          <cell r="C4455" t="str">
            <v>TELEPHONE-JB:167X125X82MM</v>
          </cell>
          <cell r="D4455" t="str">
            <v>L0030151                       EnggStore</v>
          </cell>
          <cell r="E4455">
            <v>0</v>
          </cell>
          <cell r="F4455" t="str">
            <v>ND No planning</v>
          </cell>
          <cell r="G4455" t="str">
            <v>ERSA Spare parts</v>
          </cell>
          <cell r="H4455" t="str">
            <v>EN017     InstrumentSpares</v>
          </cell>
          <cell r="I4455" t="str">
            <v>L003 Ankleshwar</v>
          </cell>
          <cell r="J4455" t="str">
            <v>99 Input/Byprodt/Scrap</v>
          </cell>
          <cell r="K4455" t="str">
            <v>10.2012</v>
          </cell>
          <cell r="L4455">
            <v>1</v>
          </cell>
          <cell r="M4455" t="str">
            <v>EA</v>
          </cell>
          <cell r="N4455">
            <v>1573.42</v>
          </cell>
          <cell r="O4455" t="str">
            <v>INR</v>
          </cell>
        </row>
        <row r="4456">
          <cell r="A4456" t="str">
            <v>L003 Ankleshwar</v>
          </cell>
          <cell r="B4456">
            <v>660528</v>
          </cell>
          <cell r="C4456" t="str">
            <v>CI CASING COVER: STUFFING BOX</v>
          </cell>
          <cell r="D4456" t="str">
            <v>L0030151                       EnggStore</v>
          </cell>
          <cell r="E4456" t="str">
            <v>E35 E35</v>
          </cell>
          <cell r="F4456" t="str">
            <v>VB Manual reorder point planning</v>
          </cell>
          <cell r="G4456" t="str">
            <v>ERSA Spare parts</v>
          </cell>
          <cell r="H4456" t="str">
            <v>EN032     Pumpspares</v>
          </cell>
          <cell r="I4456" t="str">
            <v>L003 Ankleshwar</v>
          </cell>
          <cell r="J4456" t="str">
            <v>99 Input/Byprodt/Scrap</v>
          </cell>
          <cell r="K4456" t="str">
            <v>10.2012</v>
          </cell>
          <cell r="L4456">
            <v>1</v>
          </cell>
          <cell r="M4456" t="str">
            <v>EA</v>
          </cell>
          <cell r="N4456">
            <v>4000.6199999999899</v>
          </cell>
          <cell r="O4456" t="str">
            <v>INR</v>
          </cell>
        </row>
        <row r="4457">
          <cell r="A4457" t="str">
            <v>L003 Ankleshwar</v>
          </cell>
          <cell r="B4457">
            <v>660529</v>
          </cell>
          <cell r="C4457" t="str">
            <v>STUFFING BOX SPRING: PT NO.-N/1092/99</v>
          </cell>
          <cell r="D4457" t="str">
            <v>L0030151                       EnggStore</v>
          </cell>
          <cell r="E4457" t="str">
            <v>E01 E01</v>
          </cell>
          <cell r="F4457" t="str">
            <v>VB Manual reorder point planning</v>
          </cell>
          <cell r="G4457" t="str">
            <v>ERSA Spare parts</v>
          </cell>
          <cell r="H4457" t="str">
            <v>EN032     Pumpspares</v>
          </cell>
          <cell r="I4457" t="str">
            <v>L003 Ankleshwar</v>
          </cell>
          <cell r="J4457" t="str">
            <v>99 Input/Byprodt/Scrap</v>
          </cell>
          <cell r="K4457" t="str">
            <v>10.2012</v>
          </cell>
          <cell r="L4457">
            <v>3</v>
          </cell>
          <cell r="M4457" t="str">
            <v>EA</v>
          </cell>
          <cell r="N4457">
            <v>849.75</v>
          </cell>
          <cell r="O4457" t="str">
            <v>INR</v>
          </cell>
        </row>
        <row r="4458">
          <cell r="A4458" t="str">
            <v>L003 Ankleshwar</v>
          </cell>
          <cell r="B4458">
            <v>660530</v>
          </cell>
          <cell r="C4458" t="str">
            <v>PTFE BUSH: PT NO.-N/1093/99</v>
          </cell>
          <cell r="D4458" t="str">
            <v>L0030151                       EnggStore</v>
          </cell>
          <cell r="E4458" t="str">
            <v>E34 E34</v>
          </cell>
          <cell r="F4458" t="str">
            <v>VB Manual reorder point planning</v>
          </cell>
          <cell r="G4458" t="str">
            <v>ERSA Spare parts</v>
          </cell>
          <cell r="H4458" t="str">
            <v>EN032     Pumpspares</v>
          </cell>
          <cell r="I4458" t="str">
            <v>L003 Ankleshwar</v>
          </cell>
          <cell r="J4458" t="str">
            <v>99 Input/Byprodt/Scrap</v>
          </cell>
          <cell r="K4458" t="str">
            <v>10.2012</v>
          </cell>
          <cell r="L4458">
            <v>3</v>
          </cell>
          <cell r="M4458" t="str">
            <v>EA</v>
          </cell>
          <cell r="N4458">
            <v>540.94000000000005</v>
          </cell>
          <cell r="O4458" t="str">
            <v>INR</v>
          </cell>
        </row>
        <row r="4459">
          <cell r="A4459" t="str">
            <v>L003 Ankleshwar</v>
          </cell>
          <cell r="B4459">
            <v>660550</v>
          </cell>
          <cell r="C4459" t="str">
            <v>CIPIPE WITH BOTH SIDE FLANGE: 5"X2MT L</v>
          </cell>
          <cell r="D4459" t="str">
            <v>L0030151                       EnggStore</v>
          </cell>
          <cell r="E4459">
            <v>0</v>
          </cell>
          <cell r="F4459" t="str">
            <v>ND No planning</v>
          </cell>
          <cell r="G4459" t="str">
            <v>ERSA Spare parts</v>
          </cell>
          <cell r="H4459" t="str">
            <v>EN028     Pipes&amp;pipefittings</v>
          </cell>
          <cell r="I4459" t="str">
            <v>L003 Ankleshwar</v>
          </cell>
          <cell r="J4459" t="str">
            <v>99 Input/Byprodt/Scrap</v>
          </cell>
          <cell r="K4459" t="str">
            <v>10.2012</v>
          </cell>
          <cell r="L4459">
            <v>1</v>
          </cell>
          <cell r="M4459" t="str">
            <v>EA</v>
          </cell>
          <cell r="N4459">
            <v>2660.26</v>
          </cell>
          <cell r="O4459" t="str">
            <v>INR</v>
          </cell>
        </row>
        <row r="4460">
          <cell r="A4460" t="str">
            <v>L003 Ankleshwar</v>
          </cell>
          <cell r="B4460">
            <v>660622</v>
          </cell>
          <cell r="C4460" t="str">
            <v>SOLENOID VALVE ROTEX-TYPE: 30318-5-2R-M6</v>
          </cell>
          <cell r="D4460" t="str">
            <v>L0030151                       EnggStore</v>
          </cell>
          <cell r="E4460" t="str">
            <v>E36 E36</v>
          </cell>
          <cell r="F4460" t="str">
            <v>VB Manual reorder point planning</v>
          </cell>
          <cell r="G4460" t="str">
            <v>ERSA Spare parts</v>
          </cell>
          <cell r="H4460" t="str">
            <v>EN023     Valves&amp;spares</v>
          </cell>
          <cell r="I4460" t="str">
            <v>L003 Ankleshwar</v>
          </cell>
          <cell r="J4460" t="str">
            <v>99 Input/Byprodt/Scrap</v>
          </cell>
          <cell r="K4460" t="str">
            <v>10.2012</v>
          </cell>
          <cell r="L4460">
            <v>1</v>
          </cell>
          <cell r="M4460" t="str">
            <v>EA</v>
          </cell>
          <cell r="N4460">
            <v>2484.4</v>
          </cell>
          <cell r="O4460" t="str">
            <v>INR</v>
          </cell>
        </row>
        <row r="4461">
          <cell r="A4461" t="str">
            <v>L003 Ankleshwar</v>
          </cell>
          <cell r="B4461">
            <v>660639</v>
          </cell>
          <cell r="C4461" t="str">
            <v>CIRCLIP: P.NO- 932.2-KSB-MOVI 32/10</v>
          </cell>
          <cell r="D4461" t="str">
            <v>L0030151                       EnggStore</v>
          </cell>
          <cell r="E4461">
            <v>0</v>
          </cell>
          <cell r="F4461" t="str">
            <v>ND No planning</v>
          </cell>
          <cell r="G4461" t="str">
            <v>ERSA Spare parts</v>
          </cell>
          <cell r="H4461" t="str">
            <v>EN032     Pumpspares</v>
          </cell>
          <cell r="I4461" t="str">
            <v>L003 Ankleshwar</v>
          </cell>
          <cell r="J4461" t="str">
            <v>99 Input/Byprodt/Scrap</v>
          </cell>
          <cell r="K4461" t="str">
            <v>10.2012</v>
          </cell>
          <cell r="L4461">
            <v>2</v>
          </cell>
          <cell r="M4461" t="str">
            <v>EA</v>
          </cell>
          <cell r="N4461">
            <v>105</v>
          </cell>
          <cell r="O4461" t="str">
            <v>INR</v>
          </cell>
        </row>
        <row r="4462">
          <cell r="A4462" t="str">
            <v>L003 Ankleshwar</v>
          </cell>
          <cell r="B4462">
            <v>660643</v>
          </cell>
          <cell r="C4462" t="str">
            <v>THROWER: P.NO- 507.2-KSB-MOVI 32/10</v>
          </cell>
          <cell r="D4462" t="str">
            <v>L0030151                       EnggStore</v>
          </cell>
          <cell r="E4462">
            <v>0</v>
          </cell>
          <cell r="F4462" t="str">
            <v>ND No planning</v>
          </cell>
          <cell r="G4462" t="str">
            <v>ERSA Spare parts</v>
          </cell>
          <cell r="H4462" t="str">
            <v>EN032     Pumpspares</v>
          </cell>
          <cell r="I4462" t="str">
            <v>L003 Ankleshwar</v>
          </cell>
          <cell r="J4462" t="str">
            <v>99 Input/Byprodt/Scrap</v>
          </cell>
          <cell r="K4462" t="str">
            <v>10.2012</v>
          </cell>
          <cell r="L4462">
            <v>2</v>
          </cell>
          <cell r="M4462" t="str">
            <v>EA</v>
          </cell>
          <cell r="N4462">
            <v>787.5</v>
          </cell>
          <cell r="O4462" t="str">
            <v>INR</v>
          </cell>
        </row>
        <row r="4463">
          <cell r="A4463" t="str">
            <v>L003 Ankleshwar</v>
          </cell>
          <cell r="B4463">
            <v>660676</v>
          </cell>
          <cell r="C4463" t="str">
            <v>MAIN CONTACT KIT: 3TF32 CAT-3TY74200A</v>
          </cell>
          <cell r="D4463" t="str">
            <v>L0030151                       EnggStore</v>
          </cell>
          <cell r="E4463">
            <v>0</v>
          </cell>
          <cell r="F4463" t="str">
            <v>ND No planning</v>
          </cell>
          <cell r="G4463" t="str">
            <v>ERSA Spare parts</v>
          </cell>
          <cell r="H4463" t="str">
            <v>EN006     Elec Switchgear</v>
          </cell>
          <cell r="I4463" t="str">
            <v>L003 Ankleshwar</v>
          </cell>
          <cell r="J4463" t="str">
            <v>99 Input/Byprodt/Scrap</v>
          </cell>
          <cell r="K4463" t="str">
            <v>10.2012</v>
          </cell>
          <cell r="L4463">
            <v>1</v>
          </cell>
          <cell r="M4463" t="str">
            <v>EA</v>
          </cell>
          <cell r="N4463">
            <v>240.53</v>
          </cell>
          <cell r="O4463" t="str">
            <v>INR</v>
          </cell>
        </row>
        <row r="4464">
          <cell r="A4464" t="str">
            <v>L003 Ankleshwar</v>
          </cell>
          <cell r="B4464">
            <v>660677</v>
          </cell>
          <cell r="C4464" t="str">
            <v>MAIN CONTACT KIT: 3TF33 CAT-3TY74300A</v>
          </cell>
          <cell r="D4464" t="str">
            <v>L0030151                       EnggStore</v>
          </cell>
          <cell r="E4464">
            <v>0</v>
          </cell>
          <cell r="F4464" t="str">
            <v>ND No planning</v>
          </cell>
          <cell r="G4464" t="str">
            <v>ERSA Spare parts</v>
          </cell>
          <cell r="H4464" t="str">
            <v>EN006     Elec Switchgear</v>
          </cell>
          <cell r="I4464" t="str">
            <v>L003 Ankleshwar</v>
          </cell>
          <cell r="J4464" t="str">
            <v>99 Input/Byprodt/Scrap</v>
          </cell>
          <cell r="K4464" t="str">
            <v>10.2012</v>
          </cell>
          <cell r="L4464">
            <v>1</v>
          </cell>
          <cell r="M4464" t="str">
            <v>EA</v>
          </cell>
          <cell r="N4464">
            <v>351.13</v>
          </cell>
          <cell r="O4464" t="str">
            <v>INR</v>
          </cell>
        </row>
        <row r="4465">
          <cell r="A4465" t="str">
            <v>L003 Ankleshwar</v>
          </cell>
          <cell r="B4465">
            <v>660719</v>
          </cell>
          <cell r="C4465" t="str">
            <v>CI Y-TYPE STRAINER S/T: ½" NIBR</v>
          </cell>
          <cell r="D4465" t="str">
            <v>L0030151                       EnggStore</v>
          </cell>
          <cell r="E4465">
            <v>0</v>
          </cell>
          <cell r="F4465" t="str">
            <v>ND No planning</v>
          </cell>
          <cell r="G4465" t="str">
            <v>ERSA Spare parts</v>
          </cell>
          <cell r="H4465" t="str">
            <v>EN023     Valves&amp;spares</v>
          </cell>
          <cell r="I4465" t="str">
            <v>L003 Ankleshwar</v>
          </cell>
          <cell r="J4465" t="str">
            <v>99 Input/Byprodt/Scrap</v>
          </cell>
          <cell r="K4465" t="str">
            <v>10.2012</v>
          </cell>
          <cell r="L4465">
            <v>1</v>
          </cell>
          <cell r="M4465" t="str">
            <v>EA</v>
          </cell>
          <cell r="N4465">
            <v>0</v>
          </cell>
          <cell r="O4465" t="str">
            <v>INR</v>
          </cell>
        </row>
        <row r="4466">
          <cell r="A4466" t="str">
            <v>L003 Ankleshwar</v>
          </cell>
          <cell r="B4466">
            <v>660769</v>
          </cell>
          <cell r="C4466" t="str">
            <v>PVC SPRAY NOZZLE: 1"</v>
          </cell>
          <cell r="D4466" t="str">
            <v>L0030151                       EnggStore</v>
          </cell>
          <cell r="E4466" t="str">
            <v>E32 E32</v>
          </cell>
          <cell r="F4466" t="str">
            <v>VB Manual reorder point planning</v>
          </cell>
          <cell r="G4466" t="str">
            <v>ERSA Spare parts</v>
          </cell>
          <cell r="H4466" t="str">
            <v>EN018     UtilityEquipmentSpar</v>
          </cell>
          <cell r="I4466" t="str">
            <v>L003 Ankleshwar</v>
          </cell>
          <cell r="J4466" t="str">
            <v>99 Input/Byprodt/Scrap</v>
          </cell>
          <cell r="K4466" t="str">
            <v>10.2012</v>
          </cell>
          <cell r="L4466">
            <v>44</v>
          </cell>
          <cell r="M4466" t="str">
            <v>EA</v>
          </cell>
          <cell r="N4466">
            <v>799.26999999999896</v>
          </cell>
          <cell r="O4466" t="str">
            <v>INR</v>
          </cell>
        </row>
        <row r="4467">
          <cell r="A4467" t="str">
            <v>L003 Ankleshwar</v>
          </cell>
          <cell r="B4467">
            <v>660781</v>
          </cell>
          <cell r="C4467" t="str">
            <v>SEAL RING SHELL-SS316: SSBCQ-0349</v>
          </cell>
          <cell r="D4467" t="str">
            <v>L0030151                       EnggStore</v>
          </cell>
          <cell r="E4467" t="str">
            <v>E01 E01</v>
          </cell>
          <cell r="F4467" t="str">
            <v>VB Manual reorder point planning</v>
          </cell>
          <cell r="G4467" t="str">
            <v>ERSA Spare parts</v>
          </cell>
          <cell r="H4467" t="str">
            <v>EN032     Pumpspares</v>
          </cell>
          <cell r="I4467" t="str">
            <v>L003 Ankleshwar</v>
          </cell>
          <cell r="J4467" t="str">
            <v>99 Input/Byprodt/Scrap</v>
          </cell>
          <cell r="K4467" t="str">
            <v>10.2012</v>
          </cell>
          <cell r="L4467">
            <v>1</v>
          </cell>
          <cell r="M4467" t="str">
            <v>EA</v>
          </cell>
          <cell r="N4467">
            <v>2121.4099999999899</v>
          </cell>
          <cell r="O4467" t="str">
            <v>INR</v>
          </cell>
        </row>
        <row r="4468">
          <cell r="A4468" t="str">
            <v>L003 Ankleshwar</v>
          </cell>
          <cell r="B4468">
            <v>660782</v>
          </cell>
          <cell r="C4468" t="str">
            <v>SLEEVE-SS316: SSBCQ-0349</v>
          </cell>
          <cell r="D4468" t="str">
            <v>L0030151                       EnggStore</v>
          </cell>
          <cell r="E4468" t="str">
            <v>E01 E01</v>
          </cell>
          <cell r="F4468" t="str">
            <v>VB Manual reorder point planning</v>
          </cell>
          <cell r="G4468" t="str">
            <v>ERSA Spare parts</v>
          </cell>
          <cell r="H4468" t="str">
            <v>EN032     Pumpspares</v>
          </cell>
          <cell r="I4468" t="str">
            <v>L003 Ankleshwar</v>
          </cell>
          <cell r="J4468" t="str">
            <v>99 Input/Byprodt/Scrap</v>
          </cell>
          <cell r="K4468" t="str">
            <v>10.2012</v>
          </cell>
          <cell r="L4468">
            <v>1</v>
          </cell>
          <cell r="M4468" t="str">
            <v>EA</v>
          </cell>
          <cell r="N4468">
            <v>1782.01</v>
          </cell>
          <cell r="O4468" t="str">
            <v>INR</v>
          </cell>
        </row>
        <row r="4469">
          <cell r="A4469" t="str">
            <v>L003 Ankleshwar</v>
          </cell>
          <cell r="B4469">
            <v>660784</v>
          </cell>
          <cell r="C4469" t="str">
            <v>DRIVE COLLAR-SS304: SSBCQ-0349</v>
          </cell>
          <cell r="D4469" t="str">
            <v>L0030151                       EnggStore</v>
          </cell>
          <cell r="E4469" t="str">
            <v>E01 E01</v>
          </cell>
          <cell r="F4469" t="str">
            <v>VB Manual reorder point planning</v>
          </cell>
          <cell r="G4469" t="str">
            <v>ERSA Spare parts</v>
          </cell>
          <cell r="H4469" t="str">
            <v>EN032     Pumpspares</v>
          </cell>
          <cell r="I4469" t="str">
            <v>L003 Ankleshwar</v>
          </cell>
          <cell r="J4469" t="str">
            <v>99 Input/Byprodt/Scrap</v>
          </cell>
          <cell r="K4469" t="str">
            <v>10.2012</v>
          </cell>
          <cell r="L4469">
            <v>1</v>
          </cell>
          <cell r="M4469" t="str">
            <v>EA</v>
          </cell>
          <cell r="N4469">
            <v>848.55999999999904</v>
          </cell>
          <cell r="O4469" t="str">
            <v>INR</v>
          </cell>
        </row>
        <row r="4470">
          <cell r="A4470" t="str">
            <v>L003 Ankleshwar</v>
          </cell>
          <cell r="B4470">
            <v>660838</v>
          </cell>
          <cell r="C4470" t="str">
            <v>CARBON RING-RI-SSUT-0444</v>
          </cell>
          <cell r="D4470" t="str">
            <v>L0030151                       EnggStore</v>
          </cell>
          <cell r="E4470" t="str">
            <v>E34 E34</v>
          </cell>
          <cell r="F4470" t="str">
            <v>VB Manual reorder point planning</v>
          </cell>
          <cell r="G4470" t="str">
            <v>ERSA Spare parts</v>
          </cell>
          <cell r="H4470" t="str">
            <v>EN038     MechanicalSeals&amp;Spar</v>
          </cell>
          <cell r="I4470" t="str">
            <v>L003 Ankleshwar</v>
          </cell>
          <cell r="J4470" t="str">
            <v>99 Input/Byprodt/Scrap</v>
          </cell>
          <cell r="K4470" t="str">
            <v>10.2012</v>
          </cell>
          <cell r="L4470">
            <v>2</v>
          </cell>
          <cell r="M4470" t="str">
            <v>EA</v>
          </cell>
          <cell r="N4470">
            <v>3100.9299999999898</v>
          </cell>
          <cell r="O4470" t="str">
            <v>INR</v>
          </cell>
        </row>
        <row r="4471">
          <cell r="A4471" t="str">
            <v>L003 Ankleshwar</v>
          </cell>
          <cell r="B4471">
            <v>660840</v>
          </cell>
          <cell r="C4471" t="str">
            <v>Y-PACK PTFE-SSUT-0444</v>
          </cell>
          <cell r="D4471" t="str">
            <v>L0030151                       EnggStore</v>
          </cell>
          <cell r="E4471" t="str">
            <v>E34 E34</v>
          </cell>
          <cell r="F4471" t="str">
            <v>VB Manual reorder point planning</v>
          </cell>
          <cell r="G4471" t="str">
            <v>ERSA Spare parts</v>
          </cell>
          <cell r="H4471" t="str">
            <v>EN038     MechanicalSeals&amp;Spar</v>
          </cell>
          <cell r="I4471" t="str">
            <v>L003 Ankleshwar</v>
          </cell>
          <cell r="J4471" t="str">
            <v>99 Input/Byprodt/Scrap</v>
          </cell>
          <cell r="K4471" t="str">
            <v>10.2012</v>
          </cell>
          <cell r="L4471">
            <v>1</v>
          </cell>
          <cell r="M4471" t="str">
            <v>SET</v>
          </cell>
          <cell r="N4471">
            <v>335.38</v>
          </cell>
          <cell r="O4471" t="str">
            <v>INR</v>
          </cell>
        </row>
        <row r="4472">
          <cell r="A4472" t="str">
            <v>L003 Ankleshwar</v>
          </cell>
          <cell r="B4472">
            <v>660843</v>
          </cell>
          <cell r="C4472" t="str">
            <v>SS316 SLEEVE-SSUT-0444 FOR DB80/16</v>
          </cell>
          <cell r="D4472" t="str">
            <v>L0030151                       EnggStore</v>
          </cell>
          <cell r="E4472">
            <v>0</v>
          </cell>
          <cell r="F4472" t="str">
            <v>ND No planning</v>
          </cell>
          <cell r="G4472" t="str">
            <v>ERSA Spare parts</v>
          </cell>
          <cell r="H4472" t="str">
            <v>EN038     MechanicalSeals&amp;Spar</v>
          </cell>
          <cell r="I4472" t="str">
            <v>L003 Ankleshwar</v>
          </cell>
          <cell r="J4472" t="str">
            <v>99 Input/Byprodt/Scrap</v>
          </cell>
          <cell r="K4472" t="str">
            <v>10.2012</v>
          </cell>
          <cell r="L4472">
            <v>1</v>
          </cell>
          <cell r="M4472" t="str">
            <v>EA</v>
          </cell>
          <cell r="N4472">
            <v>2304.75</v>
          </cell>
          <cell r="O4472" t="str">
            <v>INR</v>
          </cell>
        </row>
        <row r="4473">
          <cell r="A4473" t="str">
            <v>L003 Ankleshwar</v>
          </cell>
          <cell r="B4473">
            <v>660844</v>
          </cell>
          <cell r="C4473" t="str">
            <v>GASKET PTFE-SSUT-0444</v>
          </cell>
          <cell r="D4473" t="str">
            <v>L0030151                       EnggStore</v>
          </cell>
          <cell r="E4473" t="str">
            <v>E34 E34</v>
          </cell>
          <cell r="F4473" t="str">
            <v>VB Manual reorder point planning</v>
          </cell>
          <cell r="G4473" t="str">
            <v>ERSA Spare parts</v>
          </cell>
          <cell r="H4473" t="str">
            <v>EN038     MechanicalSeals&amp;Spar</v>
          </cell>
          <cell r="I4473" t="str">
            <v>L003 Ankleshwar</v>
          </cell>
          <cell r="J4473" t="str">
            <v>99 Input/Byprodt/Scrap</v>
          </cell>
          <cell r="K4473" t="str">
            <v>10.2012</v>
          </cell>
          <cell r="L4473">
            <v>2</v>
          </cell>
          <cell r="M4473" t="str">
            <v>EA</v>
          </cell>
          <cell r="N4473">
            <v>485.55</v>
          </cell>
          <cell r="O4473" t="str">
            <v>INR</v>
          </cell>
        </row>
        <row r="4474">
          <cell r="A4474" t="str">
            <v>L003 Ankleshwar</v>
          </cell>
          <cell r="B4474">
            <v>660847</v>
          </cell>
          <cell r="C4474" t="str">
            <v>GLAND PLATE-SS316: KSB MEGA G 32/160</v>
          </cell>
          <cell r="D4474" t="str">
            <v>L0030151                       EnggStore</v>
          </cell>
          <cell r="E4474">
            <v>0</v>
          </cell>
          <cell r="F4474" t="str">
            <v>ND No planning</v>
          </cell>
          <cell r="G4474" t="str">
            <v>ERSA Spare parts</v>
          </cell>
          <cell r="H4474" t="str">
            <v>EN032     Pumpspares</v>
          </cell>
          <cell r="I4474" t="str">
            <v>L003 Ankleshwar</v>
          </cell>
          <cell r="J4474" t="str">
            <v>99 Input/Byprodt/Scrap</v>
          </cell>
          <cell r="K4474" t="str">
            <v>10.2012</v>
          </cell>
          <cell r="L4474">
            <v>1</v>
          </cell>
          <cell r="M4474" t="str">
            <v>EA</v>
          </cell>
          <cell r="N4474">
            <v>2508.5500000000002</v>
          </cell>
          <cell r="O4474" t="str">
            <v>INR</v>
          </cell>
        </row>
        <row r="4475">
          <cell r="A4475" t="str">
            <v>L003 Ankleshwar</v>
          </cell>
          <cell r="B4475">
            <v>660849</v>
          </cell>
          <cell r="C4475" t="str">
            <v>CI BEARING HOUSING FOR 48" DIA.C/F</v>
          </cell>
          <cell r="D4475" t="str">
            <v>L0030151                       EnggStore</v>
          </cell>
          <cell r="E4475">
            <v>0</v>
          </cell>
          <cell r="F4475" t="str">
            <v>ND No planning</v>
          </cell>
          <cell r="G4475" t="str">
            <v>ERSA Spare parts</v>
          </cell>
          <cell r="H4475" t="str">
            <v>EN039     PlantEquipmentSpares</v>
          </cell>
          <cell r="I4475" t="str">
            <v>L003 Ankleshwar</v>
          </cell>
          <cell r="J4475" t="str">
            <v>99 Input/Byprodt/Scrap</v>
          </cell>
          <cell r="K4475" t="str">
            <v>10.2012</v>
          </cell>
          <cell r="L4475">
            <v>1</v>
          </cell>
          <cell r="M4475" t="str">
            <v>EA</v>
          </cell>
          <cell r="N4475">
            <v>26512.9</v>
          </cell>
          <cell r="O4475" t="str">
            <v>INR</v>
          </cell>
        </row>
        <row r="4476">
          <cell r="A4476" t="str">
            <v>L003 Ankleshwar</v>
          </cell>
          <cell r="B4476">
            <v>660919</v>
          </cell>
          <cell r="C4476" t="str">
            <v>PINION FOR MOTOR SHAFT FOR JAYCOLIFT</v>
          </cell>
          <cell r="D4476" t="str">
            <v>L0030151                       EnggStore</v>
          </cell>
          <cell r="E4476" t="str">
            <v>E01 E01</v>
          </cell>
          <cell r="F4476" t="str">
            <v>VB Manual reorder point planning</v>
          </cell>
          <cell r="G4476" t="str">
            <v>ERSA Spare parts</v>
          </cell>
          <cell r="H4476" t="str">
            <v>EN039     PlantEquipmentSpares</v>
          </cell>
          <cell r="I4476" t="str">
            <v>L003 Ankleshwar</v>
          </cell>
          <cell r="J4476" t="str">
            <v>99 Input/Byprodt/Scrap</v>
          </cell>
          <cell r="K4476" t="str">
            <v>10.2012</v>
          </cell>
          <cell r="L4476">
            <v>1</v>
          </cell>
          <cell r="M4476" t="str">
            <v>EA</v>
          </cell>
          <cell r="N4476">
            <v>2121.8000000000002</v>
          </cell>
          <cell r="O4476" t="str">
            <v>INR</v>
          </cell>
        </row>
        <row r="4477">
          <cell r="A4477" t="str">
            <v>L003 Ankleshwar</v>
          </cell>
          <cell r="B4477">
            <v>660962</v>
          </cell>
          <cell r="C4477" t="str">
            <v>FIRST GEAR FOR JAYCOLIFT</v>
          </cell>
          <cell r="D4477" t="str">
            <v>L0030151                       EnggStore</v>
          </cell>
          <cell r="E4477" t="str">
            <v>E01 E01</v>
          </cell>
          <cell r="F4477" t="str">
            <v>VB Manual reorder point planning</v>
          </cell>
          <cell r="G4477" t="str">
            <v>ERSA Spare parts</v>
          </cell>
          <cell r="H4477" t="str">
            <v>EN039     PlantEquipmentSpares</v>
          </cell>
          <cell r="I4477" t="str">
            <v>L003 Ankleshwar</v>
          </cell>
          <cell r="J4477" t="str">
            <v>99 Input/Byprodt/Scrap</v>
          </cell>
          <cell r="K4477" t="str">
            <v>10.2012</v>
          </cell>
          <cell r="L4477">
            <v>2</v>
          </cell>
          <cell r="M4477" t="str">
            <v>EA</v>
          </cell>
          <cell r="N4477">
            <v>10077.6</v>
          </cell>
          <cell r="O4477" t="str">
            <v>INR</v>
          </cell>
        </row>
        <row r="4478">
          <cell r="A4478" t="str">
            <v>L003 Ankleshwar</v>
          </cell>
          <cell r="B4478">
            <v>660965</v>
          </cell>
          <cell r="C4478" t="str">
            <v>SPRING FOR MECH.CLUTCH FOR JAYCOLIFT</v>
          </cell>
          <cell r="D4478" t="str">
            <v>L0030151                       EnggStore</v>
          </cell>
          <cell r="E4478" t="str">
            <v>E01 E01</v>
          </cell>
          <cell r="F4478" t="str">
            <v>VB Manual reorder point planning</v>
          </cell>
          <cell r="G4478" t="str">
            <v>ERSA Spare parts</v>
          </cell>
          <cell r="H4478" t="str">
            <v>EN039     PlantEquipmentSpares</v>
          </cell>
          <cell r="I4478" t="str">
            <v>L003 Ankleshwar</v>
          </cell>
          <cell r="J4478" t="str">
            <v>99 Input/Byprodt/Scrap</v>
          </cell>
          <cell r="K4478" t="str">
            <v>10.2012</v>
          </cell>
          <cell r="L4478">
            <v>1</v>
          </cell>
          <cell r="M4478" t="str">
            <v>EA</v>
          </cell>
          <cell r="N4478">
            <v>190.96</v>
          </cell>
          <cell r="O4478" t="str">
            <v>INR</v>
          </cell>
        </row>
        <row r="4479">
          <cell r="A4479" t="str">
            <v>L003 Ankleshwar</v>
          </cell>
          <cell r="B4479">
            <v>660966</v>
          </cell>
          <cell r="C4479" t="str">
            <v>COTTER PIN FOR MECH.CLUTCH JAYCOLIFT</v>
          </cell>
          <cell r="D4479" t="str">
            <v>L0030151                       EnggStore</v>
          </cell>
          <cell r="E4479" t="str">
            <v>E01 E01</v>
          </cell>
          <cell r="F4479" t="str">
            <v>VB Manual reorder point planning</v>
          </cell>
          <cell r="G4479" t="str">
            <v>ERSA Spare parts</v>
          </cell>
          <cell r="H4479" t="str">
            <v>EN039     PlantEquipmentSpares</v>
          </cell>
          <cell r="I4479" t="str">
            <v>L003 Ankleshwar</v>
          </cell>
          <cell r="J4479" t="str">
            <v>99 Input/Byprodt/Scrap</v>
          </cell>
          <cell r="K4479" t="str">
            <v>10.2012</v>
          </cell>
          <cell r="L4479">
            <v>2</v>
          </cell>
          <cell r="M4479" t="str">
            <v>EA</v>
          </cell>
          <cell r="N4479">
            <v>63.649999999999899</v>
          </cell>
          <cell r="O4479" t="str">
            <v>INR</v>
          </cell>
        </row>
        <row r="4480">
          <cell r="A4480" t="str">
            <v>L003 Ankleshwar</v>
          </cell>
          <cell r="B4480">
            <v>660967</v>
          </cell>
          <cell r="C4480" t="str">
            <v>EVA TUBE AIP0250</v>
          </cell>
          <cell r="D4480" t="str">
            <v>L0030151                       EnggStore</v>
          </cell>
          <cell r="E4480" t="str">
            <v>E32 E32</v>
          </cell>
          <cell r="F4480" t="str">
            <v>VB Manual reorder point planning</v>
          </cell>
          <cell r="G4480" t="str">
            <v>ERSA Spare parts</v>
          </cell>
          <cell r="H4480" t="str">
            <v>EN037     Refrigeration&amp;A/Cspa</v>
          </cell>
          <cell r="I4480" t="str">
            <v>L003 Ankleshwar</v>
          </cell>
          <cell r="J4480" t="str">
            <v>99 Input/Byprodt/Scrap</v>
          </cell>
          <cell r="K4480" t="str">
            <v>10.2012</v>
          </cell>
          <cell r="L4480">
            <v>10</v>
          </cell>
          <cell r="M4480" t="str">
            <v>M</v>
          </cell>
          <cell r="N4480">
            <v>599.95000000000005</v>
          </cell>
          <cell r="O4480" t="str">
            <v>INR</v>
          </cell>
        </row>
        <row r="4481">
          <cell r="A4481" t="str">
            <v>L003 Ankleshwar</v>
          </cell>
          <cell r="B4481">
            <v>660968</v>
          </cell>
          <cell r="C4481" t="str">
            <v>P.F. NOZZLE AIPO110</v>
          </cell>
          <cell r="D4481" t="str">
            <v>L0030151                       EnggStore</v>
          </cell>
          <cell r="E4481" t="str">
            <v>E32 E32</v>
          </cell>
          <cell r="F4481" t="str">
            <v>VB Manual reorder point planning</v>
          </cell>
          <cell r="G4481" t="str">
            <v>ERSA Spare parts</v>
          </cell>
          <cell r="H4481" t="str">
            <v>EN037     Refrigeration&amp;A/Cspa</v>
          </cell>
          <cell r="I4481" t="str">
            <v>L003 Ankleshwar</v>
          </cell>
          <cell r="J4481" t="str">
            <v>99 Input/Byprodt/Scrap</v>
          </cell>
          <cell r="K4481" t="str">
            <v>10.2012</v>
          </cell>
          <cell r="L4481">
            <v>12</v>
          </cell>
          <cell r="M4481" t="str">
            <v>EA</v>
          </cell>
          <cell r="N4481">
            <v>360.00999999999902</v>
          </cell>
          <cell r="O4481" t="str">
            <v>INR</v>
          </cell>
        </row>
        <row r="4482">
          <cell r="A4482" t="str">
            <v>L003 Ankleshwar</v>
          </cell>
          <cell r="B4482">
            <v>660970</v>
          </cell>
          <cell r="C4482" t="str">
            <v>M.S. WIRE ROUND BRUSH: 3 "</v>
          </cell>
          <cell r="D4482" t="str">
            <v>L0030151                       EnggStore</v>
          </cell>
          <cell r="E4482" t="str">
            <v>E32 E32</v>
          </cell>
          <cell r="F4482" t="str">
            <v>VB Manual reorder point planning</v>
          </cell>
          <cell r="G4482" t="str">
            <v>ERSA Spare parts</v>
          </cell>
          <cell r="H4482" t="str">
            <v>EN024     EnggConsumables</v>
          </cell>
          <cell r="I4482" t="str">
            <v>L003 Ankleshwar</v>
          </cell>
          <cell r="J4482" t="str">
            <v>99 Input/Byprodt/Scrap</v>
          </cell>
          <cell r="K4482" t="str">
            <v>10.2012</v>
          </cell>
          <cell r="L4482">
            <v>10</v>
          </cell>
          <cell r="M4482" t="str">
            <v>EA</v>
          </cell>
          <cell r="N4482">
            <v>300</v>
          </cell>
          <cell r="O4482" t="str">
            <v>INR</v>
          </cell>
        </row>
        <row r="4483">
          <cell r="A4483" t="str">
            <v>L003 Ankleshwar</v>
          </cell>
          <cell r="B4483">
            <v>660971</v>
          </cell>
          <cell r="C4483" t="str">
            <v>EMMERY PASTE SMOOTH</v>
          </cell>
          <cell r="D4483" t="str">
            <v>L0030151                       EnggStore</v>
          </cell>
          <cell r="E4483" t="str">
            <v>E32 E32</v>
          </cell>
          <cell r="F4483" t="str">
            <v>VB Manual reorder point planning</v>
          </cell>
          <cell r="G4483" t="str">
            <v>ERSA Spare parts</v>
          </cell>
          <cell r="H4483" t="str">
            <v>EN018     UtilityEquipmentSpar</v>
          </cell>
          <cell r="I4483" t="str">
            <v>L003 Ankleshwar</v>
          </cell>
          <cell r="J4483" t="str">
            <v>99 Input/Byprodt/Scrap</v>
          </cell>
          <cell r="K4483" t="str">
            <v>10.2012</v>
          </cell>
          <cell r="L4483">
            <v>0.4</v>
          </cell>
          <cell r="M4483" t="str">
            <v>KG</v>
          </cell>
          <cell r="N4483">
            <v>140</v>
          </cell>
          <cell r="O4483" t="str">
            <v>INR</v>
          </cell>
        </row>
        <row r="4484">
          <cell r="A4484" t="str">
            <v>L003 Ankleshwar</v>
          </cell>
          <cell r="B4484">
            <v>660972</v>
          </cell>
          <cell r="C4484" t="str">
            <v>EMMERY PASTE RUOGH</v>
          </cell>
          <cell r="D4484" t="str">
            <v>L0030151                       EnggStore</v>
          </cell>
          <cell r="E4484">
            <v>0</v>
          </cell>
          <cell r="F4484" t="str">
            <v>ND No planning</v>
          </cell>
          <cell r="G4484" t="str">
            <v>ERSA Spare parts</v>
          </cell>
          <cell r="H4484" t="str">
            <v>EN018     UtilityEquipmentSpar</v>
          </cell>
          <cell r="I4484" t="str">
            <v>L003 Ankleshwar</v>
          </cell>
          <cell r="J4484" t="str">
            <v>99 Input/Byprodt/Scrap</v>
          </cell>
          <cell r="K4484" t="str">
            <v>10.2012</v>
          </cell>
          <cell r="L4484">
            <v>0.29999999999999899</v>
          </cell>
          <cell r="M4484" t="str">
            <v>KG</v>
          </cell>
          <cell r="N4484">
            <v>105</v>
          </cell>
          <cell r="O4484" t="str">
            <v>INR</v>
          </cell>
        </row>
        <row r="4485">
          <cell r="A4485" t="str">
            <v>L003 Ankleshwar</v>
          </cell>
          <cell r="B4485">
            <v>661021</v>
          </cell>
          <cell r="C4485" t="str">
            <v>MS-SHAFT: ANTICO EXP-160CT</v>
          </cell>
          <cell r="D4485" t="str">
            <v>L0030151                       EnggStore</v>
          </cell>
          <cell r="E4485" t="str">
            <v>E34 E34</v>
          </cell>
          <cell r="F4485" t="str">
            <v>VB Manual reorder point planning</v>
          </cell>
          <cell r="G4485" t="str">
            <v>ERSA Spare parts</v>
          </cell>
          <cell r="H4485" t="str">
            <v>EN032     Pumpspares</v>
          </cell>
          <cell r="I4485" t="str">
            <v>L003 Ankleshwar</v>
          </cell>
          <cell r="J4485" t="str">
            <v>99 Input/Byprodt/Scrap</v>
          </cell>
          <cell r="K4485" t="str">
            <v>10.2012</v>
          </cell>
          <cell r="L4485">
            <v>3</v>
          </cell>
          <cell r="M4485" t="str">
            <v>EA</v>
          </cell>
          <cell r="N4485">
            <v>3600</v>
          </cell>
          <cell r="O4485" t="str">
            <v>INR</v>
          </cell>
        </row>
        <row r="4486">
          <cell r="A4486" t="str">
            <v>L003 Ankleshwar</v>
          </cell>
          <cell r="B4486">
            <v>661062</v>
          </cell>
          <cell r="C4486" t="str">
            <v>SOLENOID VALVE-NH3: ½" TYPE SVRA MANIK</v>
          </cell>
          <cell r="D4486" t="str">
            <v>L0030151                       EnggStore</v>
          </cell>
          <cell r="E4486" t="str">
            <v>E36 E36</v>
          </cell>
          <cell r="F4486" t="str">
            <v>VB Manual reorder point planning</v>
          </cell>
          <cell r="G4486" t="str">
            <v>ERSA Spare parts</v>
          </cell>
          <cell r="H4486" t="str">
            <v>EN037     Refrigeration&amp;A/Cspa</v>
          </cell>
          <cell r="I4486" t="str">
            <v>L003 Ankleshwar</v>
          </cell>
          <cell r="J4486" t="str">
            <v>99 Input/Byprodt/Scrap</v>
          </cell>
          <cell r="K4486" t="str">
            <v>10.2012</v>
          </cell>
          <cell r="L4486">
            <v>1</v>
          </cell>
          <cell r="M4486" t="str">
            <v>EA</v>
          </cell>
          <cell r="N4486">
            <v>9717.9500000000007</v>
          </cell>
          <cell r="O4486" t="str">
            <v>INR</v>
          </cell>
        </row>
        <row r="4487">
          <cell r="A4487" t="str">
            <v>L003 Ankleshwar</v>
          </cell>
          <cell r="B4487">
            <v>661213</v>
          </cell>
          <cell r="C4487" t="str">
            <v>SICOP CONTACTORTYPE: 3TF33 00-0A: 240V</v>
          </cell>
          <cell r="D4487" t="str">
            <v>L0030151                       EnggStore</v>
          </cell>
          <cell r="E4487" t="str">
            <v>E36 E36</v>
          </cell>
          <cell r="F4487" t="str">
            <v>VB Manual reorder point planning</v>
          </cell>
          <cell r="G4487" t="str">
            <v>ERSA Spare parts</v>
          </cell>
          <cell r="H4487" t="str">
            <v>EN006     Elec Switchgear</v>
          </cell>
          <cell r="I4487" t="str">
            <v>L003 Ankleshwar</v>
          </cell>
          <cell r="J4487" t="str">
            <v>99 Input/Byprodt/Scrap</v>
          </cell>
          <cell r="K4487" t="str">
            <v>10.2012</v>
          </cell>
          <cell r="L4487">
            <v>5</v>
          </cell>
          <cell r="M4487" t="str">
            <v>EA</v>
          </cell>
          <cell r="N4487">
            <v>2796.5599999999899</v>
          </cell>
          <cell r="O4487" t="str">
            <v>INR</v>
          </cell>
        </row>
        <row r="4488">
          <cell r="A4488" t="str">
            <v>L003 Ankleshwar</v>
          </cell>
          <cell r="B4488">
            <v>661249</v>
          </cell>
          <cell r="C4488" t="str">
            <v>SLEEVE-SS316-SSUT-0444: KPD80/16</v>
          </cell>
          <cell r="D4488" t="str">
            <v>L0030151                       EnggStore</v>
          </cell>
          <cell r="E4488" t="str">
            <v>E34 E34</v>
          </cell>
          <cell r="F4488" t="str">
            <v>VB Manual reorder point planning</v>
          </cell>
          <cell r="G4488" t="str">
            <v>ERSA Spare parts</v>
          </cell>
          <cell r="H4488" t="str">
            <v>EN038     MechanicalSeals&amp;Spar</v>
          </cell>
          <cell r="I4488" t="str">
            <v>L003 Ankleshwar</v>
          </cell>
          <cell r="J4488" t="str">
            <v>99 Input/Byprodt/Scrap</v>
          </cell>
          <cell r="K4488" t="str">
            <v>10.2012</v>
          </cell>
          <cell r="L4488">
            <v>1</v>
          </cell>
          <cell r="M4488" t="str">
            <v>EA</v>
          </cell>
          <cell r="N4488">
            <v>2529.75</v>
          </cell>
          <cell r="O4488" t="str">
            <v>INR</v>
          </cell>
        </row>
        <row r="4489">
          <cell r="A4489" t="str">
            <v>L003 Ankleshwar</v>
          </cell>
          <cell r="B4489">
            <v>661264</v>
          </cell>
          <cell r="C4489" t="str">
            <v>SPARE KIT-GG50R0: 2" AIR/GAS PRV</v>
          </cell>
          <cell r="D4489" t="str">
            <v>L0030151                       EnggStore</v>
          </cell>
          <cell r="E4489">
            <v>0</v>
          </cell>
          <cell r="F4489" t="str">
            <v>ND No planning</v>
          </cell>
          <cell r="G4489" t="str">
            <v>ERSA Spare parts</v>
          </cell>
          <cell r="H4489" t="str">
            <v>EN035     Measuring&amp;TestingIns</v>
          </cell>
          <cell r="I4489" t="str">
            <v>L003 Ankleshwar</v>
          </cell>
          <cell r="J4489" t="str">
            <v>99 Input/Byprodt/Scrap</v>
          </cell>
          <cell r="K4489" t="str">
            <v>10.2012</v>
          </cell>
          <cell r="L4489">
            <v>1</v>
          </cell>
          <cell r="M4489" t="str">
            <v>EA</v>
          </cell>
          <cell r="N4489">
            <v>6068.7399999999898</v>
          </cell>
          <cell r="O4489" t="str">
            <v>INR</v>
          </cell>
        </row>
        <row r="4490">
          <cell r="A4490" t="str">
            <v>L003 Ankleshwar</v>
          </cell>
          <cell r="B4490">
            <v>661271</v>
          </cell>
          <cell r="C4490" t="str">
            <v>EXHAUST ROCKER ARM: PNO:12032880-CLY</v>
          </cell>
          <cell r="D4490" t="str">
            <v>L0030151                       EnggStore</v>
          </cell>
          <cell r="E4490">
            <v>0</v>
          </cell>
          <cell r="F4490" t="str">
            <v>ND No planning</v>
          </cell>
          <cell r="G4490" t="str">
            <v>ERSA Spare parts</v>
          </cell>
          <cell r="H4490" t="str">
            <v>EN029     Powerplantitems</v>
          </cell>
          <cell r="I4490" t="str">
            <v>L003 Ankleshwar</v>
          </cell>
          <cell r="J4490" t="str">
            <v>99 Input/Byprodt/Scrap</v>
          </cell>
          <cell r="K4490" t="str">
            <v>10.2012</v>
          </cell>
          <cell r="L4490">
            <v>1</v>
          </cell>
          <cell r="M4490" t="str">
            <v>EA</v>
          </cell>
          <cell r="N4490">
            <v>42672.01</v>
          </cell>
          <cell r="O4490" t="str">
            <v>INR</v>
          </cell>
        </row>
        <row r="4491">
          <cell r="A4491" t="str">
            <v>L003 Ankleshwar</v>
          </cell>
          <cell r="B4491">
            <v>661286</v>
          </cell>
          <cell r="C4491" t="str">
            <v>NEOPRENE SLEEVE:6"-BUTTERFLY VALVE:SR.80</v>
          </cell>
          <cell r="D4491" t="str">
            <v>L0030151                       EnggStore</v>
          </cell>
          <cell r="E4491">
            <v>0</v>
          </cell>
          <cell r="F4491" t="str">
            <v>ND No planning</v>
          </cell>
          <cell r="G4491" t="str">
            <v>ERSA Spare parts</v>
          </cell>
          <cell r="H4491" t="str">
            <v>EN035     Measuring&amp;TestingIns</v>
          </cell>
          <cell r="I4491" t="str">
            <v>L003 Ankleshwar</v>
          </cell>
          <cell r="J4491" t="str">
            <v>99 Input/Byprodt/Scrap</v>
          </cell>
          <cell r="K4491" t="str">
            <v>10.2012</v>
          </cell>
          <cell r="L4491">
            <v>1</v>
          </cell>
          <cell r="M4491" t="str">
            <v>EA</v>
          </cell>
          <cell r="N4491">
            <v>2657.36</v>
          </cell>
          <cell r="O4491" t="str">
            <v>INR</v>
          </cell>
        </row>
        <row r="4492">
          <cell r="A4492" t="str">
            <v>L003 Ankleshwar</v>
          </cell>
          <cell r="B4492">
            <v>661362</v>
          </cell>
          <cell r="C4492" t="str">
            <v>OIL SEAL: 95X120X10 VITON</v>
          </cell>
          <cell r="D4492" t="str">
            <v>L0030151                       EnggStore</v>
          </cell>
          <cell r="E4492" t="str">
            <v>E35 E35</v>
          </cell>
          <cell r="F4492" t="str">
            <v>VB Manual reorder point planning</v>
          </cell>
          <cell r="G4492" t="str">
            <v>ERSA Spare parts</v>
          </cell>
          <cell r="H4492" t="str">
            <v>EN020     RubberItems&amp;Oil Seal</v>
          </cell>
          <cell r="I4492" t="str">
            <v>L003 Ankleshwar</v>
          </cell>
          <cell r="J4492" t="str">
            <v>99 Input/Byprodt/Scrap</v>
          </cell>
          <cell r="K4492" t="str">
            <v>10.2012</v>
          </cell>
          <cell r="L4492">
            <v>6</v>
          </cell>
          <cell r="M4492" t="str">
            <v>EA</v>
          </cell>
          <cell r="N4492">
            <v>3135</v>
          </cell>
          <cell r="O4492" t="str">
            <v>INR</v>
          </cell>
        </row>
        <row r="4493">
          <cell r="A4493" t="str">
            <v>L003 Ankleshwar</v>
          </cell>
          <cell r="B4493">
            <v>661363</v>
          </cell>
          <cell r="C4493" t="str">
            <v>OIL SEAL: 75X95X10 VITON</v>
          </cell>
          <cell r="D4493" t="str">
            <v>L0030151                       EnggStore</v>
          </cell>
          <cell r="E4493" t="str">
            <v>E35 E35</v>
          </cell>
          <cell r="F4493" t="str">
            <v>VB Manual reorder point planning</v>
          </cell>
          <cell r="G4493" t="str">
            <v>ERSA Spare parts</v>
          </cell>
          <cell r="H4493" t="str">
            <v>EN020     RubberItems&amp;Oil Seal</v>
          </cell>
          <cell r="I4493" t="str">
            <v>L003 Ankleshwar</v>
          </cell>
          <cell r="J4493" t="str">
            <v>99 Input/Byprodt/Scrap</v>
          </cell>
          <cell r="K4493" t="str">
            <v>10.2012</v>
          </cell>
          <cell r="L4493">
            <v>6</v>
          </cell>
          <cell r="M4493" t="str">
            <v>EA</v>
          </cell>
          <cell r="N4493">
            <v>2251.5</v>
          </cell>
          <cell r="O4493" t="str">
            <v>INR</v>
          </cell>
        </row>
        <row r="4494">
          <cell r="A4494" t="str">
            <v>L003 Ankleshwar</v>
          </cell>
          <cell r="B4494">
            <v>661364</v>
          </cell>
          <cell r="C4494" t="str">
            <v>CYLINDRICAL ROLLER BEARING: NU-316 M1/C3</v>
          </cell>
          <cell r="D4494" t="str">
            <v>L0030151                       EnggStore</v>
          </cell>
          <cell r="E4494" t="str">
            <v>E31 E31</v>
          </cell>
          <cell r="F4494" t="str">
            <v>VB Manual reorder point planning</v>
          </cell>
          <cell r="G4494" t="str">
            <v>ERSA Spare parts</v>
          </cell>
          <cell r="H4494" t="str">
            <v>EN009     Bearings</v>
          </cell>
          <cell r="I4494" t="str">
            <v>L003 Ankleshwar</v>
          </cell>
          <cell r="J4494" t="str">
            <v>99 Input/Byprodt/Scrap</v>
          </cell>
          <cell r="K4494" t="str">
            <v>10.2012</v>
          </cell>
          <cell r="L4494">
            <v>1</v>
          </cell>
          <cell r="M4494" t="str">
            <v>EA</v>
          </cell>
          <cell r="N4494">
            <v>13217.48</v>
          </cell>
          <cell r="O4494" t="str">
            <v>INR</v>
          </cell>
        </row>
        <row r="4495">
          <cell r="A4495" t="str">
            <v>L003 Ankleshwar</v>
          </cell>
          <cell r="B4495">
            <v>661364</v>
          </cell>
          <cell r="C4495" t="str">
            <v>CYLINDRICAL ROLLER BEARING: NU-316 M1/C3</v>
          </cell>
          <cell r="D4495" t="str">
            <v>L0030201                       Cons StoreKP</v>
          </cell>
          <cell r="E4495" t="str">
            <v>E31 E31</v>
          </cell>
          <cell r="F4495" t="str">
            <v>VB Manual reorder point planning</v>
          </cell>
          <cell r="G4495" t="str">
            <v>ERSA Spare parts</v>
          </cell>
          <cell r="H4495" t="str">
            <v>EN009     Bearings</v>
          </cell>
          <cell r="I4495" t="str">
            <v>L003 Ankleshwar</v>
          </cell>
          <cell r="J4495" t="str">
            <v>99 Input/Byprodt/Scrap</v>
          </cell>
          <cell r="K4495" t="str">
            <v>10.2012</v>
          </cell>
          <cell r="L4495">
            <v>1</v>
          </cell>
          <cell r="M4495" t="str">
            <v>EA</v>
          </cell>
          <cell r="N4495">
            <v>13217.469999999899</v>
          </cell>
          <cell r="O4495" t="str">
            <v>INR</v>
          </cell>
        </row>
        <row r="4496">
          <cell r="A4496" t="str">
            <v>L003 Ankleshwar</v>
          </cell>
          <cell r="B4496">
            <v>661365</v>
          </cell>
          <cell r="C4496" t="str">
            <v>BALL BEARING: 3315</v>
          </cell>
          <cell r="D4496" t="str">
            <v>L0030151                       EnggStore</v>
          </cell>
          <cell r="E4496" t="str">
            <v>E31 E31</v>
          </cell>
          <cell r="F4496" t="str">
            <v>VB Manual reorder point planning</v>
          </cell>
          <cell r="G4496" t="str">
            <v>ERSA Spare parts</v>
          </cell>
          <cell r="H4496" t="str">
            <v>EN009     Bearings</v>
          </cell>
          <cell r="I4496" t="str">
            <v>L003 Ankleshwar</v>
          </cell>
          <cell r="J4496" t="str">
            <v>99 Input/Byprodt/Scrap</v>
          </cell>
          <cell r="K4496" t="str">
            <v>10.2012</v>
          </cell>
          <cell r="L4496">
            <v>2</v>
          </cell>
          <cell r="M4496" t="str">
            <v>EA</v>
          </cell>
          <cell r="N4496">
            <v>33210.300000000003</v>
          </cell>
          <cell r="O4496" t="str">
            <v>INR</v>
          </cell>
        </row>
        <row r="4497">
          <cell r="A4497" t="str">
            <v>L003 Ankleshwar</v>
          </cell>
          <cell r="B4497">
            <v>661414</v>
          </cell>
          <cell r="C4497" t="str">
            <v>PULLEY-CI C-SECTION 3-GROOVE: 12"</v>
          </cell>
          <cell r="D4497" t="str">
            <v>L0030151                       EnggStore</v>
          </cell>
          <cell r="E4497">
            <v>0</v>
          </cell>
          <cell r="F4497" t="str">
            <v>ND No planning</v>
          </cell>
          <cell r="G4497" t="str">
            <v>ERSA Spare parts</v>
          </cell>
          <cell r="H4497" t="str">
            <v>EN039     PlantEquipmentSpares</v>
          </cell>
          <cell r="I4497" t="str">
            <v>L003 Ankleshwar</v>
          </cell>
          <cell r="J4497" t="str">
            <v>99 Input/Byprodt/Scrap</v>
          </cell>
          <cell r="K4497" t="str">
            <v>10.2012</v>
          </cell>
          <cell r="L4497">
            <v>1</v>
          </cell>
          <cell r="M4497" t="str">
            <v>EA</v>
          </cell>
          <cell r="N4497">
            <v>1200</v>
          </cell>
          <cell r="O4497" t="str">
            <v>INR</v>
          </cell>
        </row>
        <row r="4498">
          <cell r="A4498" t="str">
            <v>L003 Ankleshwar</v>
          </cell>
          <cell r="B4498">
            <v>661458</v>
          </cell>
          <cell r="C4498" t="str">
            <v>CARBON SEAL RING:EPIL-P12/P12-D70: 95MM</v>
          </cell>
          <cell r="D4498" t="str">
            <v>L0030151                       EnggStore</v>
          </cell>
          <cell r="E4498">
            <v>0</v>
          </cell>
          <cell r="F4498" t="str">
            <v>ND No planning</v>
          </cell>
          <cell r="G4498" t="str">
            <v>ERSA Spare parts</v>
          </cell>
          <cell r="H4498" t="str">
            <v>EN038     MechanicalSeals&amp;Spar</v>
          </cell>
          <cell r="I4498" t="str">
            <v>L003 Ankleshwar</v>
          </cell>
          <cell r="J4498" t="str">
            <v>99 Input/Byprodt/Scrap</v>
          </cell>
          <cell r="K4498" t="str">
            <v>10.2012</v>
          </cell>
          <cell r="L4498">
            <v>1</v>
          </cell>
          <cell r="M4498" t="str">
            <v>EA</v>
          </cell>
          <cell r="N4498">
            <v>10820.27</v>
          </cell>
          <cell r="O4498" t="str">
            <v>INR</v>
          </cell>
        </row>
        <row r="4499">
          <cell r="A4499" t="str">
            <v>L003 Ankleshwar</v>
          </cell>
          <cell r="B4499">
            <v>661460</v>
          </cell>
          <cell r="C4499" t="str">
            <v>PTFE WEDGE:EPIL-P12/P12-D70-SPL: 95MM</v>
          </cell>
          <cell r="D4499" t="str">
            <v>L0030151                       EnggStore</v>
          </cell>
          <cell r="E4499" t="str">
            <v>E35 E35</v>
          </cell>
          <cell r="F4499" t="str">
            <v>VB Manual reorder point planning</v>
          </cell>
          <cell r="G4499" t="str">
            <v>ERSA Spare parts</v>
          </cell>
          <cell r="H4499" t="str">
            <v>EN038     MechanicalSeals&amp;Spar</v>
          </cell>
          <cell r="I4499" t="str">
            <v>L003 Ankleshwar</v>
          </cell>
          <cell r="J4499" t="str">
            <v>99 Input/Byprodt/Scrap</v>
          </cell>
          <cell r="K4499" t="str">
            <v>10.2012</v>
          </cell>
          <cell r="L4499">
            <v>1</v>
          </cell>
          <cell r="M4499" t="str">
            <v>EA</v>
          </cell>
          <cell r="N4499">
            <v>395.98</v>
          </cell>
          <cell r="O4499" t="str">
            <v>INR</v>
          </cell>
        </row>
        <row r="4500">
          <cell r="A4500" t="str">
            <v>L003 Ankleshwar</v>
          </cell>
          <cell r="B4500">
            <v>661476</v>
          </cell>
          <cell r="C4500" t="str">
            <v>CI PULLEY A-SECTION: 4" 1-GROOVE</v>
          </cell>
          <cell r="D4500" t="str">
            <v>L0030151                       EnggStore</v>
          </cell>
          <cell r="E4500" t="str">
            <v>E01 E01</v>
          </cell>
          <cell r="F4500" t="str">
            <v>ND No planning</v>
          </cell>
          <cell r="G4500" t="str">
            <v>ERSA Spare parts</v>
          </cell>
          <cell r="H4500" t="str">
            <v>EN021     VbeltCoupling&amp;Pulley</v>
          </cell>
          <cell r="I4500" t="str">
            <v>L003 Ankleshwar</v>
          </cell>
          <cell r="J4500" t="str">
            <v>99 Input/Byprodt/Scrap</v>
          </cell>
          <cell r="K4500" t="str">
            <v>10.2012</v>
          </cell>
          <cell r="L4500">
            <v>1</v>
          </cell>
          <cell r="M4500" t="str">
            <v>EA</v>
          </cell>
          <cell r="N4500">
            <v>150</v>
          </cell>
          <cell r="O4500" t="str">
            <v>INR</v>
          </cell>
        </row>
        <row r="4501">
          <cell r="A4501" t="str">
            <v>L003 Ankleshwar</v>
          </cell>
          <cell r="B4501">
            <v>661491</v>
          </cell>
          <cell r="C4501" t="str">
            <v>SS-CUP: EPIL-P12/P12-D70-SPL: 95MM</v>
          </cell>
          <cell r="D4501" t="str">
            <v>L0030151                       EnggStore</v>
          </cell>
          <cell r="E4501">
            <v>0</v>
          </cell>
          <cell r="F4501" t="str">
            <v>ND No planning</v>
          </cell>
          <cell r="G4501" t="str">
            <v>ERSA Spare parts</v>
          </cell>
          <cell r="H4501" t="str">
            <v>EN038     MechanicalSeals&amp;Spar</v>
          </cell>
          <cell r="I4501" t="str">
            <v>L003 Ankleshwar</v>
          </cell>
          <cell r="J4501" t="str">
            <v>99 Input/Byprodt/Scrap</v>
          </cell>
          <cell r="K4501" t="str">
            <v>10.2012</v>
          </cell>
          <cell r="L4501">
            <v>1</v>
          </cell>
          <cell r="M4501" t="str">
            <v>EA</v>
          </cell>
          <cell r="N4501">
            <v>13488.459999999901</v>
          </cell>
          <cell r="O4501" t="str">
            <v>INR</v>
          </cell>
        </row>
        <row r="4502">
          <cell r="A4502" t="str">
            <v>L003 Ankleshwar</v>
          </cell>
          <cell r="B4502">
            <v>661492</v>
          </cell>
          <cell r="C4502" t="str">
            <v>THRUST WASHER: P12/P12-D70-SPL: 95MM</v>
          </cell>
          <cell r="D4502" t="str">
            <v>L0030151                       EnggStore</v>
          </cell>
          <cell r="E4502">
            <v>0</v>
          </cell>
          <cell r="F4502" t="str">
            <v>ND No planning</v>
          </cell>
          <cell r="G4502" t="str">
            <v>ERSA Spare parts</v>
          </cell>
          <cell r="H4502" t="str">
            <v>EN038     MechanicalSeals&amp;Spar</v>
          </cell>
          <cell r="I4502" t="str">
            <v>L003 Ankleshwar</v>
          </cell>
          <cell r="J4502" t="str">
            <v>99 Input/Byprodt/Scrap</v>
          </cell>
          <cell r="K4502" t="str">
            <v>10.2012</v>
          </cell>
          <cell r="L4502">
            <v>1</v>
          </cell>
          <cell r="M4502" t="str">
            <v>EA</v>
          </cell>
          <cell r="N4502">
            <v>399.85</v>
          </cell>
          <cell r="O4502" t="str">
            <v>INR</v>
          </cell>
        </row>
        <row r="4503">
          <cell r="A4503" t="str">
            <v>L003 Ankleshwar</v>
          </cell>
          <cell r="B4503">
            <v>661493</v>
          </cell>
          <cell r="C4503" t="str">
            <v>SOC.SET SCREW: P12/P12-D70-SPL: 95MM</v>
          </cell>
          <cell r="D4503" t="str">
            <v>L0030151                       EnggStore</v>
          </cell>
          <cell r="E4503">
            <v>0</v>
          </cell>
          <cell r="F4503" t="str">
            <v>ND No planning</v>
          </cell>
          <cell r="G4503" t="str">
            <v>ERSA Spare parts</v>
          </cell>
          <cell r="H4503" t="str">
            <v>EN038     MechanicalSeals&amp;Spar</v>
          </cell>
          <cell r="I4503" t="str">
            <v>L003 Ankleshwar</v>
          </cell>
          <cell r="J4503" t="str">
            <v>99 Input/Byprodt/Scrap</v>
          </cell>
          <cell r="K4503" t="str">
            <v>10.2012</v>
          </cell>
          <cell r="L4503">
            <v>1</v>
          </cell>
          <cell r="M4503" t="str">
            <v>SET</v>
          </cell>
          <cell r="N4503">
            <v>1625.23</v>
          </cell>
          <cell r="O4503" t="str">
            <v>INR</v>
          </cell>
        </row>
        <row r="4504">
          <cell r="A4504" t="str">
            <v>L003 Ankleshwar</v>
          </cell>
          <cell r="B4504">
            <v>661494</v>
          </cell>
          <cell r="C4504" t="str">
            <v>CIRCLIP: P12/P12-D70-SPL: 95MM</v>
          </cell>
          <cell r="D4504" t="str">
            <v>L0030151                       EnggStore</v>
          </cell>
          <cell r="E4504">
            <v>0</v>
          </cell>
          <cell r="F4504" t="str">
            <v>ND No planning</v>
          </cell>
          <cell r="G4504" t="str">
            <v>ERSA Spare parts</v>
          </cell>
          <cell r="H4504" t="str">
            <v>EN038     MechanicalSeals&amp;Spar</v>
          </cell>
          <cell r="I4504" t="str">
            <v>L003 Ankleshwar</v>
          </cell>
          <cell r="J4504" t="str">
            <v>99 Input/Byprodt/Scrap</v>
          </cell>
          <cell r="K4504" t="str">
            <v>10.2012</v>
          </cell>
          <cell r="L4504">
            <v>2</v>
          </cell>
          <cell r="M4504" t="str">
            <v>EA</v>
          </cell>
          <cell r="N4504">
            <v>188.16999999999899</v>
          </cell>
          <cell r="O4504" t="str">
            <v>INR</v>
          </cell>
        </row>
        <row r="4505">
          <cell r="A4505" t="str">
            <v>L003 Ankleshwar</v>
          </cell>
          <cell r="B4505">
            <v>661495</v>
          </cell>
          <cell r="C4505" t="str">
            <v>SEALIDE SEAL RING:P12/P12-D70-SPL: 95MM</v>
          </cell>
          <cell r="D4505" t="str">
            <v>L0030151                       EnggStore</v>
          </cell>
          <cell r="E4505">
            <v>0</v>
          </cell>
          <cell r="F4505" t="str">
            <v>ND No planning</v>
          </cell>
          <cell r="G4505" t="str">
            <v>ERSA Spare parts</v>
          </cell>
          <cell r="H4505" t="str">
            <v>EN038     MechanicalSeals&amp;Spar</v>
          </cell>
          <cell r="I4505" t="str">
            <v>L003 Ankleshwar</v>
          </cell>
          <cell r="J4505" t="str">
            <v>99 Input/Byprodt/Scrap</v>
          </cell>
          <cell r="K4505" t="str">
            <v>10.2012</v>
          </cell>
          <cell r="L4505">
            <v>1</v>
          </cell>
          <cell r="M4505" t="str">
            <v>EA</v>
          </cell>
          <cell r="N4505">
            <v>30500.2599999999</v>
          </cell>
          <cell r="O4505" t="str">
            <v>INR</v>
          </cell>
        </row>
        <row r="4506">
          <cell r="A4506" t="str">
            <v>L003 Ankleshwar</v>
          </cell>
          <cell r="B4506">
            <v>661496</v>
          </cell>
          <cell r="C4506" t="str">
            <v>M.R.PACKING OF SEALIDE:P12/P12-D70:95MM</v>
          </cell>
          <cell r="D4506" t="str">
            <v>L0030151                       EnggStore</v>
          </cell>
          <cell r="E4506">
            <v>0</v>
          </cell>
          <cell r="F4506" t="str">
            <v>ND No planning</v>
          </cell>
          <cell r="G4506" t="str">
            <v>ERSA Spare parts</v>
          </cell>
          <cell r="H4506" t="str">
            <v>EN038     MechanicalSeals&amp;Spar</v>
          </cell>
          <cell r="I4506" t="str">
            <v>L003 Ankleshwar</v>
          </cell>
          <cell r="J4506" t="str">
            <v>99 Input/Byprodt/Scrap</v>
          </cell>
          <cell r="K4506" t="str">
            <v>10.2012</v>
          </cell>
          <cell r="L4506">
            <v>6</v>
          </cell>
          <cell r="M4506" t="str">
            <v>EA</v>
          </cell>
          <cell r="N4506">
            <v>2088.6199999999899</v>
          </cell>
          <cell r="O4506" t="str">
            <v>INR</v>
          </cell>
        </row>
        <row r="4507">
          <cell r="A4507" t="str">
            <v>L003 Ankleshwar</v>
          </cell>
          <cell r="B4507">
            <v>661497</v>
          </cell>
          <cell r="C4507" t="str">
            <v>M.R.O RING: P12/P12-D70-SPL: 95MM</v>
          </cell>
          <cell r="D4507" t="str">
            <v>L0030151                       EnggStore</v>
          </cell>
          <cell r="E4507">
            <v>0</v>
          </cell>
          <cell r="F4507" t="str">
            <v>ND No planning</v>
          </cell>
          <cell r="G4507" t="str">
            <v>ERSA Spare parts</v>
          </cell>
          <cell r="H4507" t="str">
            <v>EN038     MechanicalSeals&amp;Spar</v>
          </cell>
          <cell r="I4507" t="str">
            <v>L003 Ankleshwar</v>
          </cell>
          <cell r="J4507" t="str">
            <v>99 Input/Byprodt/Scrap</v>
          </cell>
          <cell r="K4507" t="str">
            <v>10.2012</v>
          </cell>
          <cell r="L4507">
            <v>1</v>
          </cell>
          <cell r="M4507" t="str">
            <v>EA</v>
          </cell>
          <cell r="N4507">
            <v>348.1</v>
          </cell>
          <cell r="O4507" t="str">
            <v>INR</v>
          </cell>
        </row>
        <row r="4508">
          <cell r="A4508" t="str">
            <v>L003 Ankleshwar</v>
          </cell>
          <cell r="B4508">
            <v>661498</v>
          </cell>
          <cell r="C4508" t="str">
            <v>SOC.SET SCREW: P12/P12-D70-SPL: 95MM</v>
          </cell>
          <cell r="D4508" t="str">
            <v>L0030151                       EnggStore</v>
          </cell>
          <cell r="E4508" t="str">
            <v>E35 E35</v>
          </cell>
          <cell r="F4508" t="str">
            <v>VB Manual reorder point planning</v>
          </cell>
          <cell r="G4508" t="str">
            <v>ERSA Spare parts</v>
          </cell>
          <cell r="H4508" t="str">
            <v>EN038     MechanicalSeals&amp;Spar</v>
          </cell>
          <cell r="I4508" t="str">
            <v>L003 Ankleshwar</v>
          </cell>
          <cell r="J4508" t="str">
            <v>99 Input/Byprodt/Scrap</v>
          </cell>
          <cell r="K4508" t="str">
            <v>10.2012</v>
          </cell>
          <cell r="L4508">
            <v>1</v>
          </cell>
          <cell r="M4508" t="str">
            <v>SET</v>
          </cell>
          <cell r="N4508">
            <v>211.19999999999899</v>
          </cell>
          <cell r="O4508" t="str">
            <v>INR</v>
          </cell>
        </row>
        <row r="4509">
          <cell r="A4509" t="str">
            <v>L003 Ankleshwar</v>
          </cell>
          <cell r="B4509">
            <v>661500</v>
          </cell>
          <cell r="C4509" t="str">
            <v>PTFE-O-RING: P12/P12-D70-SPL: 95MM</v>
          </cell>
          <cell r="D4509" t="str">
            <v>L0030151                       EnggStore</v>
          </cell>
          <cell r="E4509" t="str">
            <v>E01 E01</v>
          </cell>
          <cell r="F4509" t="str">
            <v>ND No planning</v>
          </cell>
          <cell r="G4509" t="str">
            <v>ERSA Spare parts</v>
          </cell>
          <cell r="H4509" t="str">
            <v>EN038     MechanicalSeals&amp;Spar</v>
          </cell>
          <cell r="I4509" t="str">
            <v>L003 Ankleshwar</v>
          </cell>
          <cell r="J4509" t="str">
            <v>99 Input/Byprodt/Scrap</v>
          </cell>
          <cell r="K4509" t="str">
            <v>10.2012</v>
          </cell>
          <cell r="L4509">
            <v>1</v>
          </cell>
          <cell r="M4509" t="str">
            <v>EA</v>
          </cell>
          <cell r="N4509">
            <v>803.04999999999905</v>
          </cell>
          <cell r="O4509" t="str">
            <v>INR</v>
          </cell>
        </row>
        <row r="4510">
          <cell r="A4510" t="str">
            <v>L003 Ankleshwar</v>
          </cell>
          <cell r="B4510">
            <v>661501</v>
          </cell>
          <cell r="C4510" t="str">
            <v>PTFE-O-RING: P12/P12-D70-SPL: 95MM</v>
          </cell>
          <cell r="D4510" t="str">
            <v>L0030151                       EnggStore</v>
          </cell>
          <cell r="E4510" t="str">
            <v>E34 E34</v>
          </cell>
          <cell r="F4510" t="str">
            <v>VB Manual reorder point planning</v>
          </cell>
          <cell r="G4510" t="str">
            <v>ERSA Spare parts</v>
          </cell>
          <cell r="H4510" t="str">
            <v>EN038     MechanicalSeals&amp;Spar</v>
          </cell>
          <cell r="I4510" t="str">
            <v>L003 Ankleshwar</v>
          </cell>
          <cell r="J4510" t="str">
            <v>99 Input/Byprodt/Scrap</v>
          </cell>
          <cell r="K4510" t="str">
            <v>10.2012</v>
          </cell>
          <cell r="L4510">
            <v>4</v>
          </cell>
          <cell r="M4510" t="str">
            <v>EA</v>
          </cell>
          <cell r="N4510">
            <v>1053.28</v>
          </cell>
          <cell r="O4510" t="str">
            <v>INR</v>
          </cell>
        </row>
        <row r="4511">
          <cell r="A4511" t="str">
            <v>L003 Ankleshwar</v>
          </cell>
          <cell r="B4511">
            <v>661503</v>
          </cell>
          <cell r="C4511" t="str">
            <v>SEAL RING SHELL-HIFAB-SCS-0539 MECH.SEAL</v>
          </cell>
          <cell r="D4511" t="str">
            <v>L0030151                       EnggStore</v>
          </cell>
          <cell r="E4511">
            <v>0</v>
          </cell>
          <cell r="F4511" t="str">
            <v>ND No planning</v>
          </cell>
          <cell r="G4511" t="str">
            <v>ERSA Spare parts</v>
          </cell>
          <cell r="H4511" t="str">
            <v>EN038     MechanicalSeals&amp;Spar</v>
          </cell>
          <cell r="I4511" t="str">
            <v>L003 Ankleshwar</v>
          </cell>
          <cell r="J4511" t="str">
            <v>99 Input/Byprodt/Scrap</v>
          </cell>
          <cell r="K4511" t="str">
            <v>10.2012</v>
          </cell>
          <cell r="L4511">
            <v>1</v>
          </cell>
          <cell r="M4511" t="str">
            <v>EA</v>
          </cell>
          <cell r="N4511">
            <v>2004.64</v>
          </cell>
          <cell r="O4511" t="str">
            <v>INR</v>
          </cell>
        </row>
        <row r="4512">
          <cell r="A4512" t="str">
            <v>L003 Ankleshwar</v>
          </cell>
          <cell r="B4512">
            <v>661504</v>
          </cell>
          <cell r="C4512" t="str">
            <v>SPRING-HIFAB-SCS-0539 MECH.SEAL</v>
          </cell>
          <cell r="D4512" t="str">
            <v>L0030151                       EnggStore</v>
          </cell>
          <cell r="E4512">
            <v>0</v>
          </cell>
          <cell r="F4512" t="str">
            <v>ND No planning</v>
          </cell>
          <cell r="G4512" t="str">
            <v>ERSA Spare parts</v>
          </cell>
          <cell r="H4512" t="str">
            <v>EN038     MechanicalSeals&amp;Spar</v>
          </cell>
          <cell r="I4512" t="str">
            <v>L003 Ankleshwar</v>
          </cell>
          <cell r="J4512" t="str">
            <v>99 Input/Byprodt/Scrap</v>
          </cell>
          <cell r="K4512" t="str">
            <v>10.2012</v>
          </cell>
          <cell r="L4512">
            <v>2</v>
          </cell>
          <cell r="M4512" t="str">
            <v>SET</v>
          </cell>
          <cell r="N4512">
            <v>1865.26</v>
          </cell>
          <cell r="O4512" t="str">
            <v>INR</v>
          </cell>
        </row>
        <row r="4513">
          <cell r="A4513" t="str">
            <v>L003 Ankleshwar</v>
          </cell>
          <cell r="B4513">
            <v>661509</v>
          </cell>
          <cell r="C4513" t="str">
            <v>VITON-O-RING-HIFAB-SCS-0539 MECH.SEAL</v>
          </cell>
          <cell r="D4513" t="str">
            <v>L0030151                       EnggStore</v>
          </cell>
          <cell r="E4513">
            <v>0</v>
          </cell>
          <cell r="F4513" t="str">
            <v>ND No planning</v>
          </cell>
          <cell r="G4513" t="str">
            <v>ERSA Spare parts</v>
          </cell>
          <cell r="H4513" t="str">
            <v>EN038     MechanicalSeals&amp;Spar</v>
          </cell>
          <cell r="I4513" t="str">
            <v>L003 Ankleshwar</v>
          </cell>
          <cell r="J4513" t="str">
            <v>99 Input/Byprodt/Scrap</v>
          </cell>
          <cell r="K4513" t="str">
            <v>10.2012</v>
          </cell>
          <cell r="L4513">
            <v>2</v>
          </cell>
          <cell r="M4513" t="str">
            <v>EA</v>
          </cell>
          <cell r="N4513">
            <v>1370.5</v>
          </cell>
          <cell r="O4513" t="str">
            <v>INR</v>
          </cell>
        </row>
        <row r="4514">
          <cell r="A4514" t="str">
            <v>L003 Ankleshwar</v>
          </cell>
          <cell r="B4514">
            <v>661510</v>
          </cell>
          <cell r="C4514" t="str">
            <v>VITON O RING-HIFAB-SCS-0539 MECH.SEAL</v>
          </cell>
          <cell r="D4514" t="str">
            <v>L0030151                       EnggStore</v>
          </cell>
          <cell r="E4514">
            <v>0</v>
          </cell>
          <cell r="F4514" t="str">
            <v>ND No planning</v>
          </cell>
          <cell r="G4514" t="str">
            <v>ERSA Spare parts</v>
          </cell>
          <cell r="H4514" t="str">
            <v>EN038     MechanicalSeals&amp;Spar</v>
          </cell>
          <cell r="I4514" t="str">
            <v>L003 Ankleshwar</v>
          </cell>
          <cell r="J4514" t="str">
            <v>99 Input/Byprodt/Scrap</v>
          </cell>
          <cell r="K4514" t="str">
            <v>10.2012</v>
          </cell>
          <cell r="L4514">
            <v>2</v>
          </cell>
          <cell r="M4514" t="str">
            <v>EA</v>
          </cell>
          <cell r="N4514">
            <v>1044.28</v>
          </cell>
          <cell r="O4514" t="str">
            <v>INR</v>
          </cell>
        </row>
        <row r="4515">
          <cell r="A4515" t="str">
            <v>L003 Ankleshwar</v>
          </cell>
          <cell r="B4515">
            <v>661511</v>
          </cell>
          <cell r="C4515" t="str">
            <v>GRUB SCREW-HIFAB-SCS-0539 MECH.SEAL</v>
          </cell>
          <cell r="D4515" t="str">
            <v>L0030151                       EnggStore</v>
          </cell>
          <cell r="E4515">
            <v>0</v>
          </cell>
          <cell r="F4515" t="str">
            <v>ND No planning</v>
          </cell>
          <cell r="G4515" t="str">
            <v>ERSA Spare parts</v>
          </cell>
          <cell r="H4515" t="str">
            <v>EN038     MechanicalSeals&amp;Spar</v>
          </cell>
          <cell r="I4515" t="str">
            <v>L003 Ankleshwar</v>
          </cell>
          <cell r="J4515" t="str">
            <v>99 Input/Byprodt/Scrap</v>
          </cell>
          <cell r="K4515" t="str">
            <v>10.2012</v>
          </cell>
          <cell r="L4515">
            <v>3</v>
          </cell>
          <cell r="M4515" t="str">
            <v>SET</v>
          </cell>
          <cell r="N4515">
            <v>402.26999999999902</v>
          </cell>
          <cell r="O4515" t="str">
            <v>INR</v>
          </cell>
        </row>
        <row r="4516">
          <cell r="A4516" t="str">
            <v>L003 Ankleshwar</v>
          </cell>
          <cell r="B4516">
            <v>661512</v>
          </cell>
          <cell r="C4516" t="str">
            <v>VITON O RING-HIFAB-SCS-0539 MECH.SEAL</v>
          </cell>
          <cell r="D4516" t="str">
            <v>L0030151                       EnggStore</v>
          </cell>
          <cell r="E4516">
            <v>0</v>
          </cell>
          <cell r="F4516" t="str">
            <v>ND No planning</v>
          </cell>
          <cell r="G4516" t="str">
            <v>ERSA Spare parts</v>
          </cell>
          <cell r="H4516" t="str">
            <v>EN038     MechanicalSeals&amp;Spar</v>
          </cell>
          <cell r="I4516" t="str">
            <v>L003 Ankleshwar</v>
          </cell>
          <cell r="J4516" t="str">
            <v>99 Input/Byprodt/Scrap</v>
          </cell>
          <cell r="K4516" t="str">
            <v>10.2012</v>
          </cell>
          <cell r="L4516">
            <v>2</v>
          </cell>
          <cell r="M4516" t="str">
            <v>EA</v>
          </cell>
          <cell r="N4516">
            <v>1155.9100000000001</v>
          </cell>
          <cell r="O4516" t="str">
            <v>INR</v>
          </cell>
        </row>
        <row r="4517">
          <cell r="A4517" t="str">
            <v>L003 Ankleshwar</v>
          </cell>
          <cell r="B4517">
            <v>661522</v>
          </cell>
          <cell r="C4517" t="str">
            <v>EPDM FIELD GASKET-M10BWFG-ALFA PHE</v>
          </cell>
          <cell r="D4517" t="str">
            <v>L0030151                       EnggStore</v>
          </cell>
          <cell r="E4517">
            <v>0</v>
          </cell>
          <cell r="F4517" t="str">
            <v>ND No planning</v>
          </cell>
          <cell r="G4517" t="str">
            <v>ERSA Spare parts</v>
          </cell>
          <cell r="H4517" t="str">
            <v>EN039     PlantEquipmentSpares</v>
          </cell>
          <cell r="I4517" t="str">
            <v>L003 Ankleshwar</v>
          </cell>
          <cell r="J4517" t="str">
            <v>99 Input/Byprodt/Scrap</v>
          </cell>
          <cell r="K4517" t="str">
            <v>10.2012</v>
          </cell>
          <cell r="L4517">
            <v>4</v>
          </cell>
          <cell r="M4517" t="str">
            <v>EA</v>
          </cell>
          <cell r="N4517">
            <v>2068.0700000000002</v>
          </cell>
          <cell r="O4517" t="str">
            <v>INR</v>
          </cell>
        </row>
        <row r="4518">
          <cell r="A4518" t="str">
            <v>L003 Ankleshwar</v>
          </cell>
          <cell r="B4518">
            <v>661526</v>
          </cell>
          <cell r="C4518" t="str">
            <v>PRE FILTER: 5 MICRONX10" L FOR AQUAGUARD</v>
          </cell>
          <cell r="D4518" t="str">
            <v>L0030151                       EnggStore</v>
          </cell>
          <cell r="E4518">
            <v>0</v>
          </cell>
          <cell r="F4518" t="str">
            <v>ND No planning</v>
          </cell>
          <cell r="G4518" t="str">
            <v>ERSA Spare parts</v>
          </cell>
          <cell r="H4518" t="str">
            <v>EN001     Filters Spares</v>
          </cell>
          <cell r="I4518" t="str">
            <v>L003 Ankleshwar</v>
          </cell>
          <cell r="J4518" t="str">
            <v>99 Input/Byprodt/Scrap</v>
          </cell>
          <cell r="K4518" t="str">
            <v>10.2012</v>
          </cell>
          <cell r="L4518">
            <v>2</v>
          </cell>
          <cell r="M4518" t="str">
            <v>EA</v>
          </cell>
          <cell r="N4518">
            <v>1158.3299999999899</v>
          </cell>
          <cell r="O4518" t="str">
            <v>INR</v>
          </cell>
        </row>
        <row r="4519">
          <cell r="A4519" t="str">
            <v>L003 Ankleshwar</v>
          </cell>
          <cell r="B4519">
            <v>661593</v>
          </cell>
          <cell r="C4519" t="str">
            <v>FOLLOWER RING SS 316:HI-FAB SRRUT 0349</v>
          </cell>
          <cell r="D4519" t="str">
            <v>L0030151                       EnggStore</v>
          </cell>
          <cell r="E4519">
            <v>0</v>
          </cell>
          <cell r="F4519" t="str">
            <v>ND No planning</v>
          </cell>
          <cell r="G4519" t="str">
            <v>ERSA Spare parts</v>
          </cell>
          <cell r="H4519" t="str">
            <v>EN038     MechanicalSeals&amp;Spar</v>
          </cell>
          <cell r="I4519" t="str">
            <v>L003 Ankleshwar</v>
          </cell>
          <cell r="J4519" t="str">
            <v>99 Input/Byprodt/Scrap</v>
          </cell>
          <cell r="K4519" t="str">
            <v>10.2012</v>
          </cell>
          <cell r="L4519">
            <v>1</v>
          </cell>
          <cell r="M4519" t="str">
            <v>EA</v>
          </cell>
          <cell r="N4519">
            <v>787.5</v>
          </cell>
          <cell r="O4519" t="str">
            <v>INR</v>
          </cell>
        </row>
        <row r="4520">
          <cell r="A4520" t="str">
            <v>L003 Ankleshwar</v>
          </cell>
          <cell r="B4520">
            <v>661595</v>
          </cell>
          <cell r="C4520" t="str">
            <v>SPRING SLEEVE SS 316:HI-FAB SRRUT 0349</v>
          </cell>
          <cell r="D4520" t="str">
            <v>L0030151                       EnggStore</v>
          </cell>
          <cell r="E4520">
            <v>0</v>
          </cell>
          <cell r="F4520" t="str">
            <v>ND No planning</v>
          </cell>
          <cell r="G4520" t="str">
            <v>ERSA Spare parts</v>
          </cell>
          <cell r="H4520" t="str">
            <v>EN038     MechanicalSeals&amp;Spar</v>
          </cell>
          <cell r="I4520" t="str">
            <v>L003 Ankleshwar</v>
          </cell>
          <cell r="J4520" t="str">
            <v>99 Input/Byprodt/Scrap</v>
          </cell>
          <cell r="K4520" t="str">
            <v>10.2012</v>
          </cell>
          <cell r="L4520">
            <v>1</v>
          </cell>
          <cell r="M4520" t="str">
            <v>EA</v>
          </cell>
          <cell r="N4520">
            <v>867.5</v>
          </cell>
          <cell r="O4520" t="str">
            <v>INR</v>
          </cell>
        </row>
        <row r="4521">
          <cell r="A4521" t="str">
            <v>L003 Ankleshwar</v>
          </cell>
          <cell r="B4521">
            <v>661598</v>
          </cell>
          <cell r="C4521" t="str">
            <v>O-RING PTFE:HI-FAB SRRUT 0349</v>
          </cell>
          <cell r="D4521" t="str">
            <v>L0030151                       EnggStore</v>
          </cell>
          <cell r="E4521" t="str">
            <v>E34 E34</v>
          </cell>
          <cell r="F4521" t="str">
            <v>VB Manual reorder point planning</v>
          </cell>
          <cell r="G4521" t="str">
            <v>ERSA Spare parts</v>
          </cell>
          <cell r="H4521" t="str">
            <v>EN038     MechanicalSeals&amp;Spar</v>
          </cell>
          <cell r="I4521" t="str">
            <v>L003 Ankleshwar</v>
          </cell>
          <cell r="J4521" t="str">
            <v>99 Input/Byprodt/Scrap</v>
          </cell>
          <cell r="K4521" t="str">
            <v>10.2012</v>
          </cell>
          <cell r="L4521">
            <v>2</v>
          </cell>
          <cell r="M4521" t="str">
            <v>EA</v>
          </cell>
          <cell r="N4521">
            <v>419.04</v>
          </cell>
          <cell r="O4521" t="str">
            <v>INR</v>
          </cell>
        </row>
        <row r="4522">
          <cell r="A4522" t="str">
            <v>L003 Ankleshwar</v>
          </cell>
          <cell r="B4522">
            <v>661619</v>
          </cell>
          <cell r="C4522" t="str">
            <v>VITON O RING: EPIL P01 90MM SPL: P.NO.3</v>
          </cell>
          <cell r="D4522" t="str">
            <v>L0030151                       EnggStore</v>
          </cell>
          <cell r="E4522" t="str">
            <v>E34 E34</v>
          </cell>
          <cell r="F4522" t="str">
            <v>VB Manual reorder point planning</v>
          </cell>
          <cell r="G4522" t="str">
            <v>ERSA Spare parts</v>
          </cell>
          <cell r="H4522" t="str">
            <v>EN038     MechanicalSeals&amp;Spar</v>
          </cell>
          <cell r="I4522" t="str">
            <v>L003 Ankleshwar</v>
          </cell>
          <cell r="J4522" t="str">
            <v>99 Input/Byprodt/Scrap</v>
          </cell>
          <cell r="K4522" t="str">
            <v>10.2012</v>
          </cell>
          <cell r="L4522">
            <v>2</v>
          </cell>
          <cell r="M4522" t="str">
            <v>EA</v>
          </cell>
          <cell r="N4522">
            <v>1567.46</v>
          </cell>
          <cell r="O4522" t="str">
            <v>INR</v>
          </cell>
        </row>
        <row r="4523">
          <cell r="A4523" t="str">
            <v>L003 Ankleshwar</v>
          </cell>
          <cell r="B4523">
            <v>661635</v>
          </cell>
          <cell r="C4523" t="str">
            <v>H.D SWITCH 63A 3LA0605-1YB SIEMENS</v>
          </cell>
          <cell r="D4523" t="str">
            <v>L0030151                       EnggStore</v>
          </cell>
          <cell r="E4523" t="str">
            <v>E36 E36</v>
          </cell>
          <cell r="F4523" t="str">
            <v>VB Manual reorder point planning</v>
          </cell>
          <cell r="G4523" t="str">
            <v>ERSA Spare parts</v>
          </cell>
          <cell r="H4523" t="str">
            <v>EN006     Elec Switchgear</v>
          </cell>
          <cell r="I4523" t="str">
            <v>L003 Ankleshwar</v>
          </cell>
          <cell r="J4523" t="str">
            <v>99 Input/Byprodt/Scrap</v>
          </cell>
          <cell r="K4523" t="str">
            <v>10.2012</v>
          </cell>
          <cell r="L4523">
            <v>1</v>
          </cell>
          <cell r="M4523" t="str">
            <v>EA</v>
          </cell>
          <cell r="N4523">
            <v>780.47</v>
          </cell>
          <cell r="O4523" t="str">
            <v>INR</v>
          </cell>
        </row>
        <row r="4524">
          <cell r="A4524" t="str">
            <v>L003 Ankleshwar</v>
          </cell>
          <cell r="B4524">
            <v>661642</v>
          </cell>
          <cell r="C4524" t="str">
            <v>GASKET PTFE: HI-FAB SRRUT 0349</v>
          </cell>
          <cell r="D4524" t="str">
            <v>L0030151                       EnggStore</v>
          </cell>
          <cell r="E4524" t="str">
            <v>E34 E34</v>
          </cell>
          <cell r="F4524" t="str">
            <v>VB Manual reorder point planning</v>
          </cell>
          <cell r="G4524" t="str">
            <v>ERSA Spare parts</v>
          </cell>
          <cell r="H4524" t="str">
            <v>EN038     MechanicalSeals&amp;Spar</v>
          </cell>
          <cell r="I4524" t="str">
            <v>L003 Ankleshwar</v>
          </cell>
          <cell r="J4524" t="str">
            <v>99 Input/Byprodt/Scrap</v>
          </cell>
          <cell r="K4524" t="str">
            <v>10.2012</v>
          </cell>
          <cell r="L4524">
            <v>2</v>
          </cell>
          <cell r="M4524" t="str">
            <v>EA</v>
          </cell>
          <cell r="N4524">
            <v>469.3</v>
          </cell>
          <cell r="O4524" t="str">
            <v>INR</v>
          </cell>
        </row>
        <row r="4525">
          <cell r="A4525" t="str">
            <v>L003 Ankleshwar</v>
          </cell>
          <cell r="B4525">
            <v>661643</v>
          </cell>
          <cell r="C4525" t="str">
            <v>OIL SEAL STD:HI-FAB SRRUT 0349</v>
          </cell>
          <cell r="D4525" t="str">
            <v>L0030151                       EnggStore</v>
          </cell>
          <cell r="E4525" t="str">
            <v>E34 E34</v>
          </cell>
          <cell r="F4525" t="str">
            <v>VB Manual reorder point planning</v>
          </cell>
          <cell r="G4525" t="str">
            <v>ERSA Spare parts</v>
          </cell>
          <cell r="H4525" t="str">
            <v>EN038     MechanicalSeals&amp;Spar</v>
          </cell>
          <cell r="I4525" t="str">
            <v>L003 Ankleshwar</v>
          </cell>
          <cell r="J4525" t="str">
            <v>99 Input/Byprodt/Scrap</v>
          </cell>
          <cell r="K4525" t="str">
            <v>10.2012</v>
          </cell>
          <cell r="L4525">
            <v>2</v>
          </cell>
          <cell r="M4525" t="str">
            <v>EA</v>
          </cell>
          <cell r="N4525">
            <v>419.38</v>
          </cell>
          <cell r="O4525" t="str">
            <v>INR</v>
          </cell>
        </row>
        <row r="4526">
          <cell r="A4526" t="str">
            <v>L003 Ankleshwar</v>
          </cell>
          <cell r="B4526">
            <v>661645</v>
          </cell>
          <cell r="C4526" t="str">
            <v>LIQUID NH3 LEVEL SWITCH TYPE 137-03A</v>
          </cell>
          <cell r="D4526" t="str">
            <v>L0030151                       EnggStore</v>
          </cell>
          <cell r="E4526">
            <v>0</v>
          </cell>
          <cell r="F4526" t="str">
            <v>ND No planning</v>
          </cell>
          <cell r="G4526" t="str">
            <v>ERSA Spare parts</v>
          </cell>
          <cell r="H4526" t="str">
            <v>EN006     Elec Switchgear</v>
          </cell>
          <cell r="I4526" t="str">
            <v>L003 Ankleshwar</v>
          </cell>
          <cell r="J4526" t="str">
            <v>99 Input/Byprodt/Scrap</v>
          </cell>
          <cell r="K4526" t="str">
            <v>10.2012</v>
          </cell>
          <cell r="L4526">
            <v>1</v>
          </cell>
          <cell r="M4526" t="str">
            <v>EA</v>
          </cell>
          <cell r="N4526">
            <v>5110.3</v>
          </cell>
          <cell r="O4526" t="str">
            <v>INR</v>
          </cell>
        </row>
        <row r="4527">
          <cell r="A4527" t="str">
            <v>L003 Ankleshwar</v>
          </cell>
          <cell r="B4527">
            <v>661646</v>
          </cell>
          <cell r="C4527" t="str">
            <v>SEAL ASSEMBLY MONOBLOCK PUMP DMB 0.5D</v>
          </cell>
          <cell r="D4527" t="str">
            <v>L0030151                       EnggStore</v>
          </cell>
          <cell r="E4527">
            <v>0</v>
          </cell>
          <cell r="F4527" t="str">
            <v>ND No planning</v>
          </cell>
          <cell r="G4527" t="str">
            <v>ERSA Spare parts</v>
          </cell>
          <cell r="H4527" t="str">
            <v>EN032     Pumpspares</v>
          </cell>
          <cell r="I4527" t="str">
            <v>L003 Ankleshwar</v>
          </cell>
          <cell r="J4527" t="str">
            <v>99 Input/Byprodt/Scrap</v>
          </cell>
          <cell r="K4527" t="str">
            <v>10.2012</v>
          </cell>
          <cell r="L4527">
            <v>1</v>
          </cell>
          <cell r="M4527" t="str">
            <v>EA</v>
          </cell>
          <cell r="N4527">
            <v>440</v>
          </cell>
          <cell r="O4527" t="str">
            <v>INR</v>
          </cell>
        </row>
        <row r="4528">
          <cell r="A4528" t="str">
            <v>L003 Ankleshwar</v>
          </cell>
          <cell r="B4528">
            <v>661647</v>
          </cell>
          <cell r="C4528" t="str">
            <v>L/T CONTACTOR MN-110 230V AC</v>
          </cell>
          <cell r="D4528" t="str">
            <v>L0030151                       EnggStore</v>
          </cell>
          <cell r="E4528" t="str">
            <v>E36 E36</v>
          </cell>
          <cell r="F4528" t="str">
            <v>VB Manual reorder point planning</v>
          </cell>
          <cell r="G4528" t="str">
            <v>ERSA Spare parts</v>
          </cell>
          <cell r="H4528" t="str">
            <v>EN006     Elec Switchgear</v>
          </cell>
          <cell r="I4528" t="str">
            <v>L003 Ankleshwar</v>
          </cell>
          <cell r="J4528" t="str">
            <v>99 Input/Byprodt/Scrap</v>
          </cell>
          <cell r="K4528" t="str">
            <v>10.2012</v>
          </cell>
          <cell r="L4528">
            <v>1</v>
          </cell>
          <cell r="M4528" t="str">
            <v>EA</v>
          </cell>
          <cell r="N4528">
            <v>7346.5</v>
          </cell>
          <cell r="O4528" t="str">
            <v>INR</v>
          </cell>
        </row>
        <row r="4529">
          <cell r="A4529" t="str">
            <v>L003 Ankleshwar</v>
          </cell>
          <cell r="B4529">
            <v>661649</v>
          </cell>
          <cell r="C4529" t="str">
            <v>DUNLOP CUSHYFOOT SANDWICH: B-SERIES[HD]</v>
          </cell>
          <cell r="D4529" t="str">
            <v>L0030151                       EnggStore</v>
          </cell>
          <cell r="E4529">
            <v>0</v>
          </cell>
          <cell r="F4529" t="str">
            <v>ND No planning</v>
          </cell>
          <cell r="G4529" t="str">
            <v>ERSA Spare parts</v>
          </cell>
          <cell r="H4529" t="str">
            <v>EN039     PlantEquipmentSpares</v>
          </cell>
          <cell r="I4529" t="str">
            <v>L003 Ankleshwar</v>
          </cell>
          <cell r="J4529" t="str">
            <v>99 Input/Byprodt/Scrap</v>
          </cell>
          <cell r="K4529" t="str">
            <v>10.2012</v>
          </cell>
          <cell r="L4529">
            <v>3</v>
          </cell>
          <cell r="M4529" t="str">
            <v>EA</v>
          </cell>
          <cell r="N4529">
            <v>1007.1</v>
          </cell>
          <cell r="O4529" t="str">
            <v>INR</v>
          </cell>
        </row>
        <row r="4530">
          <cell r="A4530" t="str">
            <v>L003 Ankleshwar</v>
          </cell>
          <cell r="B4530">
            <v>661665</v>
          </cell>
          <cell r="C4530" t="str">
            <v>BALL VALVE WITH ACTUATOR-MS: 1"</v>
          </cell>
          <cell r="D4530" t="str">
            <v>L0030151                       EnggStore</v>
          </cell>
          <cell r="E4530">
            <v>0</v>
          </cell>
          <cell r="F4530" t="str">
            <v>ND No planning</v>
          </cell>
          <cell r="G4530" t="str">
            <v>ERSA Spare parts</v>
          </cell>
          <cell r="H4530" t="str">
            <v>EN017     InstrumentSpares</v>
          </cell>
          <cell r="I4530" t="str">
            <v>L003 Ankleshwar</v>
          </cell>
          <cell r="J4530" t="str">
            <v>99 Input/Byprodt/Scrap</v>
          </cell>
          <cell r="K4530" t="str">
            <v>10.2012</v>
          </cell>
          <cell r="L4530">
            <v>1</v>
          </cell>
          <cell r="M4530" t="str">
            <v>EA</v>
          </cell>
          <cell r="N4530">
            <v>8500</v>
          </cell>
          <cell r="O4530" t="str">
            <v>INR</v>
          </cell>
        </row>
        <row r="4531">
          <cell r="A4531" t="str">
            <v>L003 Ankleshwar</v>
          </cell>
          <cell r="B4531">
            <v>661672</v>
          </cell>
          <cell r="C4531" t="str">
            <v>DOUBLE MAGNETICVALVE 5100/11</v>
          </cell>
          <cell r="D4531" t="str">
            <v>L0030151                       EnggStore</v>
          </cell>
          <cell r="E4531">
            <v>0</v>
          </cell>
          <cell r="F4531" t="str">
            <v>ND No planning</v>
          </cell>
          <cell r="G4531" t="str">
            <v>ERSA Spare parts</v>
          </cell>
          <cell r="H4531" t="str">
            <v>EN017     InstrumentSpares</v>
          </cell>
          <cell r="I4531" t="str">
            <v>L003 Ankleshwar</v>
          </cell>
          <cell r="J4531" t="str">
            <v>99 Input/Byprodt/Scrap</v>
          </cell>
          <cell r="K4531" t="str">
            <v>10.2012</v>
          </cell>
          <cell r="L4531">
            <v>1</v>
          </cell>
          <cell r="M4531" t="str">
            <v>EA</v>
          </cell>
          <cell r="N4531">
            <v>230200.23</v>
          </cell>
          <cell r="O4531" t="str">
            <v>INR</v>
          </cell>
        </row>
        <row r="4532">
          <cell r="A4532" t="str">
            <v>L003 Ankleshwar</v>
          </cell>
          <cell r="B4532">
            <v>661673</v>
          </cell>
          <cell r="C4532" t="str">
            <v>PILOT SOLENOD VALVE SV-D507</v>
          </cell>
          <cell r="D4532" t="str">
            <v>L0030151                       EnggStore</v>
          </cell>
          <cell r="E4532">
            <v>0</v>
          </cell>
          <cell r="F4532" t="str">
            <v>ND No planning</v>
          </cell>
          <cell r="G4532" t="str">
            <v>ERSA Spare parts</v>
          </cell>
          <cell r="H4532" t="str">
            <v>EN017     InstrumentSpares</v>
          </cell>
          <cell r="I4532" t="str">
            <v>L003 Ankleshwar</v>
          </cell>
          <cell r="J4532" t="str">
            <v>99 Input/Byprodt/Scrap</v>
          </cell>
          <cell r="K4532" t="str">
            <v>10.2012</v>
          </cell>
          <cell r="L4532">
            <v>1</v>
          </cell>
          <cell r="M4532" t="str">
            <v>EA</v>
          </cell>
          <cell r="N4532">
            <v>16971.38</v>
          </cell>
          <cell r="O4532" t="str">
            <v>INR</v>
          </cell>
        </row>
        <row r="4533">
          <cell r="A4533" t="str">
            <v>L003 Ankleshwar</v>
          </cell>
          <cell r="B4533">
            <v>661674</v>
          </cell>
          <cell r="C4533" t="str">
            <v>COMBUSTION MANAGER WFM 200</v>
          </cell>
          <cell r="D4533" t="str">
            <v>L0030151                       EnggStore</v>
          </cell>
          <cell r="E4533">
            <v>0</v>
          </cell>
          <cell r="F4533" t="str">
            <v>ND No planning</v>
          </cell>
          <cell r="G4533" t="str">
            <v>ERSA Spare parts</v>
          </cell>
          <cell r="H4533" t="str">
            <v>EN017     InstrumentSpares</v>
          </cell>
          <cell r="I4533" t="str">
            <v>L003 Ankleshwar</v>
          </cell>
          <cell r="J4533" t="str">
            <v>99 Input/Byprodt/Scrap</v>
          </cell>
          <cell r="K4533" t="str">
            <v>10.2012</v>
          </cell>
          <cell r="L4533">
            <v>1</v>
          </cell>
          <cell r="M4533" t="str">
            <v>EA</v>
          </cell>
          <cell r="N4533">
            <v>134104.28</v>
          </cell>
          <cell r="O4533" t="str">
            <v>INR</v>
          </cell>
        </row>
        <row r="4534">
          <cell r="A4534" t="str">
            <v>L003 Ankleshwar</v>
          </cell>
          <cell r="B4534">
            <v>661733</v>
          </cell>
          <cell r="C4534" t="str">
            <v>CR OIL SEAL : 50 X 65 X 8</v>
          </cell>
          <cell r="D4534" t="str">
            <v>L0030151                       EnggStore</v>
          </cell>
          <cell r="E4534" t="str">
            <v>E35 E35</v>
          </cell>
          <cell r="F4534" t="str">
            <v>VB Manual reorder point planning</v>
          </cell>
          <cell r="G4534" t="str">
            <v>ERSA Spare parts</v>
          </cell>
          <cell r="H4534" t="str">
            <v>EN020     RubberItems&amp;Oil Seal</v>
          </cell>
          <cell r="I4534" t="str">
            <v>L003 Ankleshwar</v>
          </cell>
          <cell r="J4534" t="str">
            <v>99 Input/Byprodt/Scrap</v>
          </cell>
          <cell r="K4534" t="str">
            <v>10.2012</v>
          </cell>
          <cell r="L4534">
            <v>5</v>
          </cell>
          <cell r="M4534" t="str">
            <v>EA</v>
          </cell>
          <cell r="N4534">
            <v>989.5</v>
          </cell>
          <cell r="O4534" t="str">
            <v>INR</v>
          </cell>
        </row>
        <row r="4535">
          <cell r="A4535" t="str">
            <v>L003 Ankleshwar</v>
          </cell>
          <cell r="B4535">
            <v>661734</v>
          </cell>
          <cell r="C4535" t="str">
            <v>CR OIL SEAL: 100X120X12</v>
          </cell>
          <cell r="D4535" t="str">
            <v>L0030151                       EnggStore</v>
          </cell>
          <cell r="E4535" t="str">
            <v>E35 E35</v>
          </cell>
          <cell r="F4535" t="str">
            <v>VB Manual reorder point planning</v>
          </cell>
          <cell r="G4535" t="str">
            <v>ERSA Spare parts</v>
          </cell>
          <cell r="H4535" t="str">
            <v>EN020     RubberItems&amp;Oil Seal</v>
          </cell>
          <cell r="I4535" t="str">
            <v>L003 Ankleshwar</v>
          </cell>
          <cell r="J4535" t="str">
            <v>99 Input/Byprodt/Scrap</v>
          </cell>
          <cell r="K4535" t="str">
            <v>10.2012</v>
          </cell>
          <cell r="L4535">
            <v>1</v>
          </cell>
          <cell r="M4535" t="str">
            <v>EA</v>
          </cell>
          <cell r="N4535">
            <v>204.75</v>
          </cell>
          <cell r="O4535" t="str">
            <v>INR</v>
          </cell>
        </row>
        <row r="4536">
          <cell r="A4536" t="str">
            <v>L003 Ankleshwar</v>
          </cell>
          <cell r="B4536">
            <v>661772</v>
          </cell>
          <cell r="C4536" t="str">
            <v>LOCATING FLANGE</v>
          </cell>
          <cell r="D4536" t="str">
            <v>L0030151                       EnggStore</v>
          </cell>
          <cell r="E4536" t="str">
            <v>E34 E34</v>
          </cell>
          <cell r="F4536" t="str">
            <v>VB Manual reorder point planning</v>
          </cell>
          <cell r="G4536" t="str">
            <v>ERSA Spare parts</v>
          </cell>
          <cell r="H4536" t="str">
            <v>EN032     Pumpspares</v>
          </cell>
          <cell r="I4536" t="str">
            <v>L003 Ankleshwar</v>
          </cell>
          <cell r="J4536" t="str">
            <v>99 Input/Byprodt/Scrap</v>
          </cell>
          <cell r="K4536" t="str">
            <v>10.2012</v>
          </cell>
          <cell r="L4536">
            <v>2</v>
          </cell>
          <cell r="M4536" t="str">
            <v>EA</v>
          </cell>
          <cell r="N4536">
            <v>2250</v>
          </cell>
          <cell r="O4536" t="str">
            <v>INR</v>
          </cell>
        </row>
        <row r="4537">
          <cell r="A4537" t="str">
            <v>L003 Ankleshwar</v>
          </cell>
          <cell r="B4537">
            <v>661781</v>
          </cell>
          <cell r="C4537" t="str">
            <v>EPDM+TAF.ENVELOP RING GASKET-M10BWFG-PHE</v>
          </cell>
          <cell r="D4537" t="str">
            <v>L0030151                       EnggStore</v>
          </cell>
          <cell r="E4537" t="str">
            <v>E35 E35</v>
          </cell>
          <cell r="F4537" t="str">
            <v>VB Manual reorder point planning</v>
          </cell>
          <cell r="G4537" t="str">
            <v>ERSA Spare parts</v>
          </cell>
          <cell r="H4537" t="str">
            <v>EN039     PlantEquipmentSpares</v>
          </cell>
          <cell r="I4537" t="str">
            <v>L003 Ankleshwar</v>
          </cell>
          <cell r="J4537" t="str">
            <v>99 Input/Byprodt/Scrap</v>
          </cell>
          <cell r="K4537" t="str">
            <v>10.2012</v>
          </cell>
          <cell r="L4537">
            <v>3</v>
          </cell>
          <cell r="M4537" t="str">
            <v>EA</v>
          </cell>
          <cell r="N4537">
            <v>1615.68</v>
          </cell>
          <cell r="O4537" t="str">
            <v>INR</v>
          </cell>
        </row>
        <row r="4538">
          <cell r="A4538" t="str">
            <v>L003 Ankleshwar</v>
          </cell>
          <cell r="B4538">
            <v>661782</v>
          </cell>
          <cell r="C4538" t="str">
            <v>RUBBER BELLOW SEAL MG3 25.4-KSB MAKE</v>
          </cell>
          <cell r="D4538" t="str">
            <v>L0030151                       EnggStore</v>
          </cell>
          <cell r="E4538" t="str">
            <v>E34 E34</v>
          </cell>
          <cell r="F4538" t="str">
            <v>VB Manual reorder point planning</v>
          </cell>
          <cell r="G4538" t="str">
            <v>ERSA Spare parts</v>
          </cell>
          <cell r="H4538" t="str">
            <v>EN032     Pumpspares</v>
          </cell>
          <cell r="I4538" t="str">
            <v>L003 Ankleshwar</v>
          </cell>
          <cell r="J4538" t="str">
            <v>99 Input/Byprodt/Scrap</v>
          </cell>
          <cell r="K4538" t="str">
            <v>10.2012</v>
          </cell>
          <cell r="L4538">
            <v>2</v>
          </cell>
          <cell r="M4538" t="str">
            <v>EA</v>
          </cell>
          <cell r="N4538">
            <v>9075</v>
          </cell>
          <cell r="O4538" t="str">
            <v>INR</v>
          </cell>
        </row>
        <row r="4539">
          <cell r="A4539" t="str">
            <v>L003 Ankleshwar</v>
          </cell>
          <cell r="B4539">
            <v>661825</v>
          </cell>
          <cell r="C4539" t="str">
            <v>SPRING RETAINER GFT 1.375" STB</v>
          </cell>
          <cell r="D4539" t="str">
            <v>L0030151                       EnggStore</v>
          </cell>
          <cell r="E4539" t="str">
            <v>E34 E34</v>
          </cell>
          <cell r="F4539" t="str">
            <v>VB Manual reorder point planning</v>
          </cell>
          <cell r="G4539" t="str">
            <v>ERSA Spare parts</v>
          </cell>
          <cell r="H4539" t="str">
            <v>EN038     MechanicalSeals&amp;Spar</v>
          </cell>
          <cell r="I4539" t="str">
            <v>L003 Ankleshwar</v>
          </cell>
          <cell r="J4539" t="str">
            <v>99 Input/Byprodt/Scrap</v>
          </cell>
          <cell r="K4539" t="str">
            <v>10.2012</v>
          </cell>
          <cell r="L4539">
            <v>1</v>
          </cell>
          <cell r="M4539" t="str">
            <v>EA</v>
          </cell>
          <cell r="N4539">
            <v>1192.94</v>
          </cell>
          <cell r="O4539" t="str">
            <v>INR</v>
          </cell>
        </row>
        <row r="4540">
          <cell r="A4540" t="str">
            <v>L003 Ankleshwar</v>
          </cell>
          <cell r="B4540">
            <v>661826</v>
          </cell>
          <cell r="C4540" t="str">
            <v>THRUST WASHER SS 1.375" STB</v>
          </cell>
          <cell r="D4540" t="str">
            <v>L0030151                       EnggStore</v>
          </cell>
          <cell r="E4540" t="str">
            <v>E34 E34</v>
          </cell>
          <cell r="F4540" t="str">
            <v>VB Manual reorder point planning</v>
          </cell>
          <cell r="G4540" t="str">
            <v>ERSA Spare parts</v>
          </cell>
          <cell r="H4540" t="str">
            <v>EN038     MechanicalSeals&amp;Spar</v>
          </cell>
          <cell r="I4540" t="str">
            <v>L003 Ankleshwar</v>
          </cell>
          <cell r="J4540" t="str">
            <v>99 Input/Byprodt/Scrap</v>
          </cell>
          <cell r="K4540" t="str">
            <v>10.2012</v>
          </cell>
          <cell r="L4540">
            <v>2</v>
          </cell>
          <cell r="M4540" t="str">
            <v>EA</v>
          </cell>
          <cell r="N4540">
            <v>209.55</v>
          </cell>
          <cell r="O4540" t="str">
            <v>INR</v>
          </cell>
        </row>
        <row r="4541">
          <cell r="A4541" t="str">
            <v>L003 Ankleshwar</v>
          </cell>
          <cell r="B4541">
            <v>661860</v>
          </cell>
          <cell r="C4541" t="str">
            <v>STUFFING BOX: PT. NO. N/1054/99</v>
          </cell>
          <cell r="D4541" t="str">
            <v>L0030151                       EnggStore</v>
          </cell>
          <cell r="E4541" t="str">
            <v>E34 E34</v>
          </cell>
          <cell r="F4541" t="str">
            <v>VB Manual reorder point planning</v>
          </cell>
          <cell r="G4541" t="str">
            <v>ERSA Spare parts</v>
          </cell>
          <cell r="H4541" t="str">
            <v>EN032     Pumpspares</v>
          </cell>
          <cell r="I4541" t="str">
            <v>L003 Ankleshwar</v>
          </cell>
          <cell r="J4541" t="str">
            <v>99 Input/Byprodt/Scrap</v>
          </cell>
          <cell r="K4541" t="str">
            <v>10.2012</v>
          </cell>
          <cell r="L4541">
            <v>1</v>
          </cell>
          <cell r="M4541" t="str">
            <v>EA</v>
          </cell>
          <cell r="N4541">
            <v>3671.9499999999898</v>
          </cell>
          <cell r="O4541" t="str">
            <v>INR</v>
          </cell>
        </row>
        <row r="4542">
          <cell r="A4542" t="str">
            <v>L003 Ankleshwar</v>
          </cell>
          <cell r="B4542">
            <v>661870</v>
          </cell>
          <cell r="C4542" t="str">
            <v>SPOCKET WHEEL SIMPLEX 36 TEETH: 1"PITCH</v>
          </cell>
          <cell r="D4542" t="str">
            <v>L0030151                       EnggStore</v>
          </cell>
          <cell r="E4542">
            <v>0</v>
          </cell>
          <cell r="F4542" t="str">
            <v>ND No planning</v>
          </cell>
          <cell r="G4542" t="str">
            <v>ERSA Spare parts</v>
          </cell>
          <cell r="H4542" t="str">
            <v>EN039     PlantEquipmentSpares</v>
          </cell>
          <cell r="I4542" t="str">
            <v>L003 Ankleshwar</v>
          </cell>
          <cell r="J4542" t="str">
            <v>99 Input/Byprodt/Scrap</v>
          </cell>
          <cell r="K4542" t="str">
            <v>10.2012</v>
          </cell>
          <cell r="L4542">
            <v>1</v>
          </cell>
          <cell r="M4542" t="str">
            <v>EA</v>
          </cell>
          <cell r="N4542">
            <v>850</v>
          </cell>
          <cell r="O4542" t="str">
            <v>INR</v>
          </cell>
        </row>
        <row r="4543">
          <cell r="A4543" t="str">
            <v>L003 Ankleshwar</v>
          </cell>
          <cell r="B4543">
            <v>661873</v>
          </cell>
          <cell r="C4543" t="str">
            <v>OIL SEAL : 100 X 125 X 12</v>
          </cell>
          <cell r="D4543" t="str">
            <v>L0030151                       EnggStore</v>
          </cell>
          <cell r="E4543">
            <v>0</v>
          </cell>
          <cell r="F4543" t="str">
            <v>ND No planning</v>
          </cell>
          <cell r="G4543" t="str">
            <v>ERSA Spare parts</v>
          </cell>
          <cell r="H4543" t="str">
            <v>EN020     RubberItems&amp;Oil Seal</v>
          </cell>
          <cell r="I4543" t="str">
            <v>L003 Ankleshwar</v>
          </cell>
          <cell r="J4543" t="str">
            <v>99 Input/Byprodt/Scrap</v>
          </cell>
          <cell r="K4543" t="str">
            <v>10.2012</v>
          </cell>
          <cell r="L4543">
            <v>4</v>
          </cell>
          <cell r="M4543" t="str">
            <v>EA</v>
          </cell>
          <cell r="N4543">
            <v>224</v>
          </cell>
          <cell r="O4543" t="str">
            <v>INR</v>
          </cell>
        </row>
        <row r="4544">
          <cell r="A4544" t="str">
            <v>L003 Ankleshwar</v>
          </cell>
          <cell r="B4544">
            <v>661910</v>
          </cell>
          <cell r="C4544" t="str">
            <v>CRADLE TERMINAL SL93896 FOR CN-CS2000C</v>
          </cell>
          <cell r="D4544" t="str">
            <v>L0030151                       EnggStore</v>
          </cell>
          <cell r="E4544">
            <v>0</v>
          </cell>
          <cell r="F4544" t="str">
            <v>ND No planning</v>
          </cell>
          <cell r="G4544" t="str">
            <v>ERSA Spare parts</v>
          </cell>
          <cell r="H4544" t="str">
            <v>EN006     Elec Switchgear</v>
          </cell>
          <cell r="I4544" t="str">
            <v>L003 Ankleshwar</v>
          </cell>
          <cell r="J4544" t="str">
            <v>99 Input/Byprodt/Scrap</v>
          </cell>
          <cell r="K4544" t="str">
            <v>10.2012</v>
          </cell>
          <cell r="L4544">
            <v>4</v>
          </cell>
          <cell r="M4544" t="str">
            <v>EA</v>
          </cell>
          <cell r="N4544">
            <v>12729.33</v>
          </cell>
          <cell r="O4544" t="str">
            <v>INR</v>
          </cell>
        </row>
        <row r="4545">
          <cell r="A4545" t="str">
            <v>L003 Ankleshwar</v>
          </cell>
          <cell r="B4545">
            <v>661921</v>
          </cell>
          <cell r="C4545" t="str">
            <v>CRADLE TERMINAL SL92914 FOR CN-CS2500C</v>
          </cell>
          <cell r="D4545" t="str">
            <v>L0030151                       EnggStore</v>
          </cell>
          <cell r="E4545">
            <v>0</v>
          </cell>
          <cell r="F4545" t="str">
            <v>ND No planning</v>
          </cell>
          <cell r="G4545" t="str">
            <v>ERSA Spare parts</v>
          </cell>
          <cell r="H4545" t="str">
            <v>EN006     Elec Switchgear</v>
          </cell>
          <cell r="I4545" t="str">
            <v>L003 Ankleshwar</v>
          </cell>
          <cell r="J4545" t="str">
            <v>99 Input/Byprodt/Scrap</v>
          </cell>
          <cell r="K4545" t="str">
            <v>10.2012</v>
          </cell>
          <cell r="L4545">
            <v>3</v>
          </cell>
          <cell r="M4545" t="str">
            <v>EA</v>
          </cell>
          <cell r="N4545">
            <v>10319.1</v>
          </cell>
          <cell r="O4545" t="str">
            <v>INR</v>
          </cell>
        </row>
        <row r="4546">
          <cell r="A4546" t="str">
            <v>L003 Ankleshwar</v>
          </cell>
          <cell r="B4546">
            <v>661922</v>
          </cell>
          <cell r="C4546" t="str">
            <v>CRADLE SUPPORT SL50178-CNCS1600C/4000HO</v>
          </cell>
          <cell r="D4546" t="str">
            <v>L0030151                       EnggStore</v>
          </cell>
          <cell r="E4546">
            <v>0</v>
          </cell>
          <cell r="F4546" t="str">
            <v>ND No planning</v>
          </cell>
          <cell r="G4546" t="str">
            <v>ERSA Spare parts</v>
          </cell>
          <cell r="H4546" t="str">
            <v>EN006     Elec Switchgear</v>
          </cell>
          <cell r="I4546" t="str">
            <v>L003 Ankleshwar</v>
          </cell>
          <cell r="J4546" t="str">
            <v>99 Input/Byprodt/Scrap</v>
          </cell>
          <cell r="K4546" t="str">
            <v>10.2012</v>
          </cell>
          <cell r="L4546">
            <v>4</v>
          </cell>
          <cell r="M4546" t="str">
            <v>EA</v>
          </cell>
          <cell r="N4546">
            <v>2686.1999999999898</v>
          </cell>
          <cell r="O4546" t="str">
            <v>INR</v>
          </cell>
        </row>
        <row r="4547">
          <cell r="A4547" t="str">
            <v>L003 Ankleshwar</v>
          </cell>
          <cell r="B4547">
            <v>661924</v>
          </cell>
          <cell r="C4547" t="str">
            <v>JAWS CONTACT SL90881 FOR CN-CS2000C</v>
          </cell>
          <cell r="D4547" t="str">
            <v>L0030151                       EnggStore</v>
          </cell>
          <cell r="E4547">
            <v>0</v>
          </cell>
          <cell r="F4547" t="str">
            <v>ND No planning</v>
          </cell>
          <cell r="G4547" t="str">
            <v>ERSA Spare parts</v>
          </cell>
          <cell r="H4547" t="str">
            <v>EN006     Elec Switchgear</v>
          </cell>
          <cell r="I4547" t="str">
            <v>L003 Ankleshwar</v>
          </cell>
          <cell r="J4547" t="str">
            <v>99 Input/Byprodt/Scrap</v>
          </cell>
          <cell r="K4547" t="str">
            <v>10.2012</v>
          </cell>
          <cell r="L4547">
            <v>1</v>
          </cell>
          <cell r="M4547" t="str">
            <v>EA</v>
          </cell>
          <cell r="N4547">
            <v>2738.8299999999899</v>
          </cell>
          <cell r="O4547" t="str">
            <v>INR</v>
          </cell>
        </row>
        <row r="4548">
          <cell r="A4548" t="str">
            <v>L003 Ankleshwar</v>
          </cell>
          <cell r="B4548">
            <v>661925</v>
          </cell>
          <cell r="C4548" t="str">
            <v>FIXED ARCING CONTACTS SL93891- L&amp;T ACB</v>
          </cell>
          <cell r="D4548" t="str">
            <v>L0030151                       EnggStore</v>
          </cell>
          <cell r="E4548">
            <v>0</v>
          </cell>
          <cell r="F4548" t="str">
            <v>ND No planning</v>
          </cell>
          <cell r="G4548" t="str">
            <v>ERSA Spare parts</v>
          </cell>
          <cell r="H4548" t="str">
            <v>EN006     Elec Switchgear</v>
          </cell>
          <cell r="I4548" t="str">
            <v>L003 Ankleshwar</v>
          </cell>
          <cell r="J4548" t="str">
            <v>99 Input/Byprodt/Scrap</v>
          </cell>
          <cell r="K4548" t="str">
            <v>10.2012</v>
          </cell>
          <cell r="L4548">
            <v>6</v>
          </cell>
          <cell r="M4548" t="str">
            <v>EA</v>
          </cell>
          <cell r="N4548">
            <v>7042.67</v>
          </cell>
          <cell r="O4548" t="str">
            <v>INR</v>
          </cell>
        </row>
        <row r="4549">
          <cell r="A4549" t="str">
            <v>L003 Ankleshwar</v>
          </cell>
          <cell r="B4549">
            <v>661928</v>
          </cell>
          <cell r="C4549" t="str">
            <v>SHUNT COIL: 24VDC SL92718- L&amp;T ACB</v>
          </cell>
          <cell r="D4549" t="str">
            <v>L0030151                       EnggStore</v>
          </cell>
          <cell r="E4549">
            <v>0</v>
          </cell>
          <cell r="F4549" t="str">
            <v>ND No planning</v>
          </cell>
          <cell r="G4549" t="str">
            <v>ERSA Spare parts</v>
          </cell>
          <cell r="H4549" t="str">
            <v>EN006     Elec Switchgear</v>
          </cell>
          <cell r="I4549" t="str">
            <v>L003 Ankleshwar</v>
          </cell>
          <cell r="J4549" t="str">
            <v>99 Input/Byprodt/Scrap</v>
          </cell>
          <cell r="K4549" t="str">
            <v>10.2012</v>
          </cell>
          <cell r="L4549">
            <v>1</v>
          </cell>
          <cell r="M4549" t="str">
            <v>EA</v>
          </cell>
          <cell r="N4549">
            <v>1575</v>
          </cell>
          <cell r="O4549" t="str">
            <v>INR</v>
          </cell>
        </row>
        <row r="4550">
          <cell r="A4550" t="str">
            <v>L003 Ankleshwar</v>
          </cell>
          <cell r="B4550">
            <v>661929</v>
          </cell>
          <cell r="C4550" t="str">
            <v>CLOSING COIL: 24VDC ST15954 -L&amp;T ACB</v>
          </cell>
          <cell r="D4550" t="str">
            <v>L0030151                       EnggStore</v>
          </cell>
          <cell r="E4550">
            <v>0</v>
          </cell>
          <cell r="F4550" t="str">
            <v>ND No planning</v>
          </cell>
          <cell r="G4550" t="str">
            <v>ERSA Spare parts</v>
          </cell>
          <cell r="H4550" t="str">
            <v>EN006     Elec Switchgear</v>
          </cell>
          <cell r="I4550" t="str">
            <v>L003 Ankleshwar</v>
          </cell>
          <cell r="J4550" t="str">
            <v>99 Input/Byprodt/Scrap</v>
          </cell>
          <cell r="K4550" t="str">
            <v>10.2012</v>
          </cell>
          <cell r="L4550">
            <v>2</v>
          </cell>
          <cell r="M4550" t="str">
            <v>EA</v>
          </cell>
          <cell r="N4550">
            <v>3002.23</v>
          </cell>
          <cell r="O4550" t="str">
            <v>INR</v>
          </cell>
        </row>
        <row r="4551">
          <cell r="A4551" t="str">
            <v>L003 Ankleshwar</v>
          </cell>
          <cell r="B4551">
            <v>661931</v>
          </cell>
          <cell r="C4551" t="str">
            <v>U/V COIL: 415VAC SL92720 -L&amp;T ACB</v>
          </cell>
          <cell r="D4551" t="str">
            <v>L0030151                       EnggStore</v>
          </cell>
          <cell r="E4551" t="str">
            <v>E36 E36</v>
          </cell>
          <cell r="F4551" t="str">
            <v>VB Manual reorder point planning</v>
          </cell>
          <cell r="G4551" t="str">
            <v>ERSA Spare parts</v>
          </cell>
          <cell r="H4551" t="str">
            <v>EN006     Elec Switchgear</v>
          </cell>
          <cell r="I4551" t="str">
            <v>L003 Ankleshwar</v>
          </cell>
          <cell r="J4551" t="str">
            <v>99 Input/Byprodt/Scrap</v>
          </cell>
          <cell r="K4551" t="str">
            <v>10.2012</v>
          </cell>
          <cell r="L4551">
            <v>2</v>
          </cell>
          <cell r="M4551" t="str">
            <v>EA</v>
          </cell>
          <cell r="N4551">
            <v>4306.8</v>
          </cell>
          <cell r="O4551" t="str">
            <v>INR</v>
          </cell>
        </row>
        <row r="4552">
          <cell r="A4552" t="str">
            <v>L003 Ankleshwar</v>
          </cell>
          <cell r="B4552">
            <v>661942</v>
          </cell>
          <cell r="C4552" t="str">
            <v>CRADLE SUPPORT SL50086-CNCS800C</v>
          </cell>
          <cell r="D4552" t="str">
            <v>L0030151                       EnggStore</v>
          </cell>
          <cell r="E4552">
            <v>0</v>
          </cell>
          <cell r="F4552" t="str">
            <v>ND No planning</v>
          </cell>
          <cell r="G4552" t="str">
            <v>ERSA Spare parts</v>
          </cell>
          <cell r="H4552" t="str">
            <v>EN006     Elec Switchgear</v>
          </cell>
          <cell r="I4552" t="str">
            <v>L003 Ankleshwar</v>
          </cell>
          <cell r="J4552" t="str">
            <v>99 Input/Byprodt/Scrap</v>
          </cell>
          <cell r="K4552" t="str">
            <v>10.2012</v>
          </cell>
          <cell r="L4552">
            <v>1</v>
          </cell>
          <cell r="M4552" t="str">
            <v>EA</v>
          </cell>
          <cell r="N4552">
            <v>477</v>
          </cell>
          <cell r="O4552" t="str">
            <v>INR</v>
          </cell>
        </row>
        <row r="4553">
          <cell r="A4553" t="str">
            <v>L003 Ankleshwar</v>
          </cell>
          <cell r="B4553">
            <v>661944</v>
          </cell>
          <cell r="C4553" t="str">
            <v>CENTRE ROD FOR 14" SPARKLER</v>
          </cell>
          <cell r="D4553" t="str">
            <v>L0030151                       EnggStore</v>
          </cell>
          <cell r="E4553">
            <v>0</v>
          </cell>
          <cell r="F4553" t="str">
            <v>ND No planning</v>
          </cell>
          <cell r="G4553" t="str">
            <v>ERSA Spare parts</v>
          </cell>
          <cell r="H4553" t="str">
            <v>EN039     PlantEquipmentSpares</v>
          </cell>
          <cell r="I4553" t="str">
            <v>L003 Ankleshwar</v>
          </cell>
          <cell r="J4553" t="str">
            <v>99 Input/Byprodt/Scrap</v>
          </cell>
          <cell r="K4553" t="str">
            <v>10.2012</v>
          </cell>
          <cell r="L4553">
            <v>1</v>
          </cell>
          <cell r="M4553" t="str">
            <v>EA</v>
          </cell>
          <cell r="N4553">
            <v>760</v>
          </cell>
          <cell r="O4553" t="str">
            <v>INR</v>
          </cell>
        </row>
        <row r="4554">
          <cell r="A4554" t="str">
            <v>L003 Ankleshwar</v>
          </cell>
          <cell r="B4554">
            <v>661946</v>
          </cell>
          <cell r="C4554" t="str">
            <v>CENTRE ROD FOR 18" SPARKLER</v>
          </cell>
          <cell r="D4554" t="str">
            <v>L0030151                       EnggStore</v>
          </cell>
          <cell r="E4554">
            <v>0</v>
          </cell>
          <cell r="F4554" t="str">
            <v>ND No planning</v>
          </cell>
          <cell r="G4554" t="str">
            <v>ERSA Spare parts</v>
          </cell>
          <cell r="H4554" t="str">
            <v>EN039     PlantEquipmentSpares</v>
          </cell>
          <cell r="I4554" t="str">
            <v>L003 Ankleshwar</v>
          </cell>
          <cell r="J4554" t="str">
            <v>99 Input/Byprodt/Scrap</v>
          </cell>
          <cell r="K4554" t="str">
            <v>10.2012</v>
          </cell>
          <cell r="L4554">
            <v>1</v>
          </cell>
          <cell r="M4554" t="str">
            <v>EA</v>
          </cell>
          <cell r="N4554">
            <v>800</v>
          </cell>
          <cell r="O4554" t="str">
            <v>INR</v>
          </cell>
        </row>
        <row r="4555">
          <cell r="A4555" t="str">
            <v>L003 Ankleshwar</v>
          </cell>
          <cell r="B4555">
            <v>661971</v>
          </cell>
          <cell r="C4555" t="str">
            <v>EQUAL TEE-MS/HDPE LINED: 80MM</v>
          </cell>
          <cell r="D4555" t="str">
            <v>L0030151                       EnggStore</v>
          </cell>
          <cell r="E4555" t="str">
            <v>E01 E01</v>
          </cell>
          <cell r="F4555" t="str">
            <v>ND No planning</v>
          </cell>
          <cell r="G4555" t="str">
            <v>ERSA Spare parts</v>
          </cell>
          <cell r="H4555" t="str">
            <v>EN028     Pipes&amp;pipefittings</v>
          </cell>
          <cell r="I4555" t="str">
            <v>L003 Ankleshwar</v>
          </cell>
          <cell r="J4555" t="str">
            <v>99 Input/Byprodt/Scrap</v>
          </cell>
          <cell r="K4555" t="str">
            <v>10.2012</v>
          </cell>
          <cell r="L4555">
            <v>4</v>
          </cell>
          <cell r="M4555" t="str">
            <v>EA</v>
          </cell>
          <cell r="N4555">
            <v>7005.6599999999899</v>
          </cell>
          <cell r="O4555" t="str">
            <v>INR</v>
          </cell>
        </row>
        <row r="4556">
          <cell r="A4556" t="str">
            <v>L003 Ankleshwar</v>
          </cell>
          <cell r="B4556">
            <v>661982</v>
          </cell>
          <cell r="C4556" t="str">
            <v>TIMBER ASCU TREATED</v>
          </cell>
          <cell r="D4556" t="str">
            <v>L0030151                       EnggStore</v>
          </cell>
          <cell r="E4556">
            <v>0</v>
          </cell>
          <cell r="F4556" t="str">
            <v>ND No planning</v>
          </cell>
          <cell r="G4556" t="str">
            <v>ERSA Spare parts</v>
          </cell>
          <cell r="H4556" t="str">
            <v>EN018     UtilityEquipmentSpar</v>
          </cell>
          <cell r="I4556" t="str">
            <v>L003 Ankleshwar</v>
          </cell>
          <cell r="J4556" t="str">
            <v>99 Input/Byprodt/Scrap</v>
          </cell>
          <cell r="K4556" t="str">
            <v>10.2012</v>
          </cell>
          <cell r="L4556">
            <v>21</v>
          </cell>
          <cell r="M4556" t="str">
            <v>FT3</v>
          </cell>
          <cell r="N4556">
            <v>16317.219999999899</v>
          </cell>
          <cell r="O4556" t="str">
            <v>INR</v>
          </cell>
        </row>
        <row r="4557">
          <cell r="A4557" t="str">
            <v>L003 Ankleshwar</v>
          </cell>
          <cell r="B4557">
            <v>661982</v>
          </cell>
          <cell r="C4557" t="str">
            <v>TIMBER ASCU TREATED</v>
          </cell>
          <cell r="D4557" t="str">
            <v>L0030201                       Cons StoreKP</v>
          </cell>
          <cell r="E4557">
            <v>0</v>
          </cell>
          <cell r="F4557" t="str">
            <v>ND No planning</v>
          </cell>
          <cell r="G4557" t="str">
            <v>ERSA Spare parts</v>
          </cell>
          <cell r="H4557" t="str">
            <v>EN018     UtilityEquipmentSpar</v>
          </cell>
          <cell r="I4557" t="str">
            <v>L003 Ankleshwar</v>
          </cell>
          <cell r="J4557" t="str">
            <v>99 Input/Byprodt/Scrap</v>
          </cell>
          <cell r="K4557" t="str">
            <v>10.2012</v>
          </cell>
          <cell r="L4557">
            <v>29</v>
          </cell>
          <cell r="M4557" t="str">
            <v>FT3</v>
          </cell>
          <cell r="N4557">
            <v>22533.299999999901</v>
          </cell>
          <cell r="O4557" t="str">
            <v>INR</v>
          </cell>
        </row>
        <row r="4558">
          <cell r="A4558" t="str">
            <v>L003 Ankleshwar</v>
          </cell>
          <cell r="B4558">
            <v>661983</v>
          </cell>
          <cell r="C4558" t="str">
            <v>NAIL HDG</v>
          </cell>
          <cell r="D4558" t="str">
            <v>L0030201                       Cons StoreKP</v>
          </cell>
          <cell r="E4558">
            <v>0</v>
          </cell>
          <cell r="F4558" t="str">
            <v>ND No planning</v>
          </cell>
          <cell r="G4558" t="str">
            <v>ERSA Spare parts</v>
          </cell>
          <cell r="H4558" t="str">
            <v>EN018     UtilityEquipmentSpar</v>
          </cell>
          <cell r="I4558" t="str">
            <v>L003 Ankleshwar</v>
          </cell>
          <cell r="J4558" t="str">
            <v>99 Input/Byprodt/Scrap</v>
          </cell>
          <cell r="K4558" t="str">
            <v>10.2012</v>
          </cell>
          <cell r="L4558">
            <v>8</v>
          </cell>
          <cell r="M4558" t="str">
            <v>KG</v>
          </cell>
          <cell r="N4558">
            <v>1400</v>
          </cell>
          <cell r="O4558" t="str">
            <v>INR</v>
          </cell>
        </row>
        <row r="4559">
          <cell r="A4559" t="str">
            <v>L003 Ankleshwar</v>
          </cell>
          <cell r="B4559">
            <v>661994</v>
          </cell>
          <cell r="C4559" t="str">
            <v>BEARING INTERMEDIATE HALF 0.010 U/S</v>
          </cell>
          <cell r="D4559" t="str">
            <v>L0030151                       EnggStore</v>
          </cell>
          <cell r="E4559" t="str">
            <v>E32 E32</v>
          </cell>
          <cell r="F4559" t="str">
            <v>VB Manual reorder point planning</v>
          </cell>
          <cell r="G4559" t="str">
            <v>ERSA Spare parts</v>
          </cell>
          <cell r="H4559" t="str">
            <v>EN037     Refrigeration&amp;A/Cspa</v>
          </cell>
          <cell r="I4559" t="str">
            <v>L003 Ankleshwar</v>
          </cell>
          <cell r="J4559" t="str">
            <v>99 Input/Byprodt/Scrap</v>
          </cell>
          <cell r="K4559" t="str">
            <v>10.2012</v>
          </cell>
          <cell r="L4559">
            <v>1</v>
          </cell>
          <cell r="M4559" t="str">
            <v>SET</v>
          </cell>
          <cell r="N4559">
            <v>1882.8699999999899</v>
          </cell>
          <cell r="O4559" t="str">
            <v>INR</v>
          </cell>
        </row>
        <row r="4560">
          <cell r="A4560" t="str">
            <v>L003 Ankleshwar</v>
          </cell>
          <cell r="B4560">
            <v>662006</v>
          </cell>
          <cell r="C4560" t="str">
            <v>DANFOSS MAGNETIC COIL:230VAC EMCO VALVE</v>
          </cell>
          <cell r="D4560" t="str">
            <v>L0030151                       EnggStore</v>
          </cell>
          <cell r="E4560">
            <v>0</v>
          </cell>
          <cell r="F4560" t="str">
            <v>ND No planning</v>
          </cell>
          <cell r="G4560" t="str">
            <v>ERSA Spare parts</v>
          </cell>
          <cell r="H4560" t="str">
            <v>EN018     UtilityEquipmentSpar</v>
          </cell>
          <cell r="I4560" t="str">
            <v>L003 Ankleshwar</v>
          </cell>
          <cell r="J4560" t="str">
            <v>99 Input/Byprodt/Scrap</v>
          </cell>
          <cell r="K4560" t="str">
            <v>10.2012</v>
          </cell>
          <cell r="L4560">
            <v>1</v>
          </cell>
          <cell r="M4560" t="str">
            <v>EA</v>
          </cell>
          <cell r="N4560">
            <v>1400</v>
          </cell>
          <cell r="O4560" t="str">
            <v>INR</v>
          </cell>
        </row>
        <row r="4561">
          <cell r="A4561" t="str">
            <v>L003 Ankleshwar</v>
          </cell>
          <cell r="B4561">
            <v>662020</v>
          </cell>
          <cell r="C4561" t="str">
            <v>PISTON RING (SMALL): UGRK-300 PT NO:310</v>
          </cell>
          <cell r="D4561" t="str">
            <v>L0030151                       EnggStore</v>
          </cell>
          <cell r="E4561">
            <v>0</v>
          </cell>
          <cell r="F4561" t="str">
            <v>ND No planning</v>
          </cell>
          <cell r="G4561" t="str">
            <v>ERSA Spare parts</v>
          </cell>
          <cell r="H4561" t="str">
            <v>EN029     Powerplantitems</v>
          </cell>
          <cell r="I4561" t="str">
            <v>L003 Ankleshwar</v>
          </cell>
          <cell r="J4561" t="str">
            <v>99 Input/Byprodt/Scrap</v>
          </cell>
          <cell r="K4561" t="str">
            <v>10.2012</v>
          </cell>
          <cell r="L4561">
            <v>8</v>
          </cell>
          <cell r="M4561" t="str">
            <v>EA</v>
          </cell>
          <cell r="N4561">
            <v>893.33</v>
          </cell>
          <cell r="O4561" t="str">
            <v>INR</v>
          </cell>
        </row>
        <row r="4562">
          <cell r="A4562" t="str">
            <v>L003 Ankleshwar</v>
          </cell>
          <cell r="B4562">
            <v>662027</v>
          </cell>
          <cell r="C4562" t="str">
            <v>CONDUCTIVITY CONNECTOR WITH 5MT CABLE</v>
          </cell>
          <cell r="D4562" t="str">
            <v>L0030151                       EnggStore</v>
          </cell>
          <cell r="E4562">
            <v>0</v>
          </cell>
          <cell r="F4562" t="str">
            <v>ND No planning</v>
          </cell>
          <cell r="G4562" t="str">
            <v>ERSA Spare parts</v>
          </cell>
          <cell r="H4562" t="str">
            <v>EN017     InstrumentSpares</v>
          </cell>
          <cell r="I4562" t="str">
            <v>L003 Ankleshwar</v>
          </cell>
          <cell r="J4562" t="str">
            <v>99 Input/Byprodt/Scrap</v>
          </cell>
          <cell r="K4562" t="str">
            <v>10.2012</v>
          </cell>
          <cell r="L4562">
            <v>1</v>
          </cell>
          <cell r="M4562" t="str">
            <v>EA</v>
          </cell>
          <cell r="N4562">
            <v>3885.4</v>
          </cell>
          <cell r="O4562" t="str">
            <v>INR</v>
          </cell>
        </row>
        <row r="4563">
          <cell r="A4563" t="str">
            <v>L003 Ankleshwar</v>
          </cell>
          <cell r="B4563">
            <v>662028</v>
          </cell>
          <cell r="C4563" t="str">
            <v>ANALOG RPM METER,72X72 MM,I/P-4-20</v>
          </cell>
          <cell r="D4563" t="str">
            <v>L0030151                       EnggStore</v>
          </cell>
          <cell r="E4563">
            <v>0</v>
          </cell>
          <cell r="F4563" t="str">
            <v>ND No planning</v>
          </cell>
          <cell r="G4563" t="str">
            <v>ERSA Spare parts</v>
          </cell>
          <cell r="H4563" t="str">
            <v>EN017     InstrumentSpares</v>
          </cell>
          <cell r="I4563" t="str">
            <v>L003 Ankleshwar</v>
          </cell>
          <cell r="J4563" t="str">
            <v>99 Input/Byprodt/Scrap</v>
          </cell>
          <cell r="K4563" t="str">
            <v>10.2012</v>
          </cell>
          <cell r="L4563">
            <v>2</v>
          </cell>
          <cell r="M4563" t="str">
            <v>EA</v>
          </cell>
          <cell r="N4563">
            <v>2020.5999999999899</v>
          </cell>
          <cell r="O4563" t="str">
            <v>INR</v>
          </cell>
        </row>
        <row r="4564">
          <cell r="A4564" t="str">
            <v>L003 Ankleshwar</v>
          </cell>
          <cell r="B4564">
            <v>662042</v>
          </cell>
          <cell r="C4564" t="str">
            <v>V-BELT SPB: 3350</v>
          </cell>
          <cell r="D4564" t="str">
            <v>L0030151                       EnggStore</v>
          </cell>
          <cell r="E4564" t="str">
            <v>E35 E35</v>
          </cell>
          <cell r="F4564" t="str">
            <v>VB Manual reorder point planning</v>
          </cell>
          <cell r="G4564" t="str">
            <v>ERSA Spare parts</v>
          </cell>
          <cell r="H4564" t="str">
            <v>EN021     VbeltCoupling&amp;Pulley</v>
          </cell>
          <cell r="I4564" t="str">
            <v>L003 Ankleshwar</v>
          </cell>
          <cell r="J4564" t="str">
            <v>99 Input/Byprodt/Scrap</v>
          </cell>
          <cell r="K4564" t="str">
            <v>10.2012</v>
          </cell>
          <cell r="L4564">
            <v>4</v>
          </cell>
          <cell r="M4564" t="str">
            <v>EA</v>
          </cell>
          <cell r="N4564">
            <v>2142.4</v>
          </cell>
          <cell r="O4564" t="str">
            <v>INR</v>
          </cell>
        </row>
        <row r="4565">
          <cell r="A4565" t="str">
            <v>L003 Ankleshwar</v>
          </cell>
          <cell r="B4565">
            <v>662045</v>
          </cell>
          <cell r="C4565" t="str">
            <v>TIMER STARDELTA: 20SDTO-MICON225</v>
          </cell>
          <cell r="D4565" t="str">
            <v>L0030151                       EnggStore</v>
          </cell>
          <cell r="E4565" t="str">
            <v>E36 E36</v>
          </cell>
          <cell r="F4565" t="str">
            <v>VB Manual reorder point planning</v>
          </cell>
          <cell r="G4565" t="str">
            <v>ERSA Spare parts</v>
          </cell>
          <cell r="H4565" t="str">
            <v>EN006     Elec Switchgear</v>
          </cell>
          <cell r="I4565" t="str">
            <v>L003 Ankleshwar</v>
          </cell>
          <cell r="J4565" t="str">
            <v>99 Input/Byprodt/Scrap</v>
          </cell>
          <cell r="K4565" t="str">
            <v>10.2012</v>
          </cell>
          <cell r="L4565">
            <v>1</v>
          </cell>
          <cell r="M4565" t="str">
            <v>EA</v>
          </cell>
          <cell r="N4565">
            <v>804.64999999999895</v>
          </cell>
          <cell r="O4565" t="str">
            <v>INR</v>
          </cell>
        </row>
        <row r="4566">
          <cell r="A4566" t="str">
            <v>L003 Ankleshwar</v>
          </cell>
          <cell r="B4566">
            <v>662089</v>
          </cell>
          <cell r="C4566" t="str">
            <v>BRASS CONNECTION: ¼"NPTFX½"NPTM</v>
          </cell>
          <cell r="D4566" t="str">
            <v>L0030151                       EnggStore</v>
          </cell>
          <cell r="E4566">
            <v>0</v>
          </cell>
          <cell r="F4566" t="str">
            <v>ND No planning</v>
          </cell>
          <cell r="G4566" t="str">
            <v>ERSA Spare parts</v>
          </cell>
          <cell r="H4566" t="str">
            <v>EN028     Pipes&amp;pipefittings</v>
          </cell>
          <cell r="I4566" t="str">
            <v>L003 Ankleshwar</v>
          </cell>
          <cell r="J4566" t="str">
            <v>99 Input/Byprodt/Scrap</v>
          </cell>
          <cell r="K4566" t="str">
            <v>10.2012</v>
          </cell>
          <cell r="L4566">
            <v>2</v>
          </cell>
          <cell r="M4566" t="str">
            <v>EA</v>
          </cell>
          <cell r="N4566">
            <v>110</v>
          </cell>
          <cell r="O4566" t="str">
            <v>INR</v>
          </cell>
        </row>
        <row r="4567">
          <cell r="A4567" t="str">
            <v>L003 Ankleshwar</v>
          </cell>
          <cell r="B4567">
            <v>662109</v>
          </cell>
          <cell r="C4567" t="str">
            <v>SOV 5/2 WAY ROTEX WITH EXHAUST</v>
          </cell>
          <cell r="D4567" t="str">
            <v>L0030151                       EnggStore</v>
          </cell>
          <cell r="E4567" t="str">
            <v>E32 E32</v>
          </cell>
          <cell r="F4567" t="str">
            <v>VB Manual reorder point planning</v>
          </cell>
          <cell r="G4567" t="str">
            <v>ERSA Spare parts</v>
          </cell>
          <cell r="H4567" t="str">
            <v>EN017     InstrumentSpares</v>
          </cell>
          <cell r="I4567" t="str">
            <v>L003 Ankleshwar</v>
          </cell>
          <cell r="J4567" t="str">
            <v>99 Input/Byprodt/Scrap</v>
          </cell>
          <cell r="K4567" t="str">
            <v>10.2012</v>
          </cell>
          <cell r="L4567">
            <v>2</v>
          </cell>
          <cell r="M4567" t="str">
            <v>EA</v>
          </cell>
          <cell r="N4567">
            <v>5565.1199999999899</v>
          </cell>
          <cell r="O4567" t="str">
            <v>INR</v>
          </cell>
        </row>
        <row r="4568">
          <cell r="A4568" t="str">
            <v>L003 Ankleshwar</v>
          </cell>
          <cell r="B4568">
            <v>662141</v>
          </cell>
          <cell r="C4568" t="str">
            <v>SS SET SCREW SSDB -E2-HC-75MM PT-8</v>
          </cell>
          <cell r="D4568" t="str">
            <v>L0030151                       EnggStore</v>
          </cell>
          <cell r="E4568">
            <v>0</v>
          </cell>
          <cell r="F4568" t="str">
            <v>ND No planning</v>
          </cell>
          <cell r="G4568" t="str">
            <v>ERSA Spare parts</v>
          </cell>
          <cell r="H4568" t="str">
            <v>EN038     MechanicalSeals&amp;Spar</v>
          </cell>
          <cell r="I4568" t="str">
            <v>L003 Ankleshwar</v>
          </cell>
          <cell r="J4568" t="str">
            <v>99 Input/Byprodt/Scrap</v>
          </cell>
          <cell r="K4568" t="str">
            <v>10.2012</v>
          </cell>
          <cell r="L4568">
            <v>4</v>
          </cell>
          <cell r="M4568" t="str">
            <v>EA</v>
          </cell>
          <cell r="N4568">
            <v>434.20999999999901</v>
          </cell>
          <cell r="O4568" t="str">
            <v>INR</v>
          </cell>
        </row>
        <row r="4569">
          <cell r="A4569" t="str">
            <v>L003 Ankleshwar</v>
          </cell>
          <cell r="B4569">
            <v>662174</v>
          </cell>
          <cell r="C4569" t="str">
            <v>MOBERY MAGNETIC SWITCH FOR BOILER</v>
          </cell>
          <cell r="D4569" t="str">
            <v>L0030151                       EnggStore</v>
          </cell>
          <cell r="E4569">
            <v>0</v>
          </cell>
          <cell r="F4569" t="str">
            <v>ND No planning</v>
          </cell>
          <cell r="G4569" t="str">
            <v>ERSA Spare parts</v>
          </cell>
          <cell r="H4569" t="str">
            <v>EN018     UtilityEquipmentSpar</v>
          </cell>
          <cell r="I4569" t="str">
            <v>L003 Ankleshwar</v>
          </cell>
          <cell r="J4569" t="str">
            <v>99 Input/Byprodt/Scrap</v>
          </cell>
          <cell r="K4569" t="str">
            <v>10.2012</v>
          </cell>
          <cell r="L4569">
            <v>1</v>
          </cell>
          <cell r="M4569" t="str">
            <v>EA</v>
          </cell>
          <cell r="N4569">
            <v>750</v>
          </cell>
          <cell r="O4569" t="str">
            <v>INR</v>
          </cell>
        </row>
        <row r="4570">
          <cell r="A4570" t="str">
            <v>L003 Ankleshwar</v>
          </cell>
          <cell r="B4570">
            <v>662194</v>
          </cell>
          <cell r="C4570" t="str">
            <v>PISTON SEAL DAS: 63X47</v>
          </cell>
          <cell r="D4570" t="str">
            <v>L0030151                       EnggStore</v>
          </cell>
          <cell r="E4570">
            <v>0</v>
          </cell>
          <cell r="F4570" t="str">
            <v>ND No planning</v>
          </cell>
          <cell r="G4570" t="str">
            <v>ERSA Spare parts</v>
          </cell>
          <cell r="H4570" t="str">
            <v>EN039     PlantEquipmentSpares</v>
          </cell>
          <cell r="I4570" t="str">
            <v>L003 Ankleshwar</v>
          </cell>
          <cell r="J4570" t="str">
            <v>99 Input/Byprodt/Scrap</v>
          </cell>
          <cell r="K4570" t="str">
            <v>10.2012</v>
          </cell>
          <cell r="L4570">
            <v>1</v>
          </cell>
          <cell r="M4570" t="str">
            <v>EA</v>
          </cell>
          <cell r="N4570">
            <v>1300.5</v>
          </cell>
          <cell r="O4570" t="str">
            <v>INR</v>
          </cell>
        </row>
        <row r="4571">
          <cell r="A4571" t="str">
            <v>L003 Ankleshwar</v>
          </cell>
          <cell r="B4571">
            <v>662197</v>
          </cell>
          <cell r="C4571" t="str">
            <v>FLANGE FACE O-RING: 3X90ID</v>
          </cell>
          <cell r="D4571" t="str">
            <v>L0030151                       EnggStore</v>
          </cell>
          <cell r="E4571">
            <v>0</v>
          </cell>
          <cell r="F4571" t="str">
            <v>ND No planning</v>
          </cell>
          <cell r="G4571" t="str">
            <v>ERSA Spare parts</v>
          </cell>
          <cell r="H4571" t="str">
            <v>EN039     PlantEquipmentSpares</v>
          </cell>
          <cell r="I4571" t="str">
            <v>L003 Ankleshwar</v>
          </cell>
          <cell r="J4571" t="str">
            <v>99 Input/Byprodt/Scrap</v>
          </cell>
          <cell r="K4571" t="str">
            <v>10.2012</v>
          </cell>
          <cell r="L4571">
            <v>7</v>
          </cell>
          <cell r="M4571" t="str">
            <v>EA</v>
          </cell>
          <cell r="N4571">
            <v>1774</v>
          </cell>
          <cell r="O4571" t="str">
            <v>INR</v>
          </cell>
        </row>
        <row r="4572">
          <cell r="A4572" t="str">
            <v>L003 Ankleshwar</v>
          </cell>
          <cell r="B4572">
            <v>662198</v>
          </cell>
          <cell r="C4572" t="str">
            <v>PISTON SEAL O-RING: 2.62X26.64</v>
          </cell>
          <cell r="D4572" t="str">
            <v>L0030151                       EnggStore</v>
          </cell>
          <cell r="E4572">
            <v>0</v>
          </cell>
          <cell r="F4572" t="str">
            <v>ND No planning</v>
          </cell>
          <cell r="G4572" t="str">
            <v>ERSA Spare parts</v>
          </cell>
          <cell r="H4572" t="str">
            <v>EN039     PlantEquipmentSpares</v>
          </cell>
          <cell r="I4572" t="str">
            <v>L003 Ankleshwar</v>
          </cell>
          <cell r="J4572" t="str">
            <v>99 Input/Byprodt/Scrap</v>
          </cell>
          <cell r="K4572" t="str">
            <v>10.2012</v>
          </cell>
          <cell r="L4572">
            <v>1</v>
          </cell>
          <cell r="M4572" t="str">
            <v>EA</v>
          </cell>
          <cell r="N4572">
            <v>81.599999999999895</v>
          </cell>
          <cell r="O4572" t="str">
            <v>INR</v>
          </cell>
        </row>
        <row r="4573">
          <cell r="A4573" t="str">
            <v>L003 Ankleshwar</v>
          </cell>
          <cell r="B4573">
            <v>662199</v>
          </cell>
          <cell r="C4573" t="str">
            <v>FLANGE INSIDE O-RING: 58X3.55</v>
          </cell>
          <cell r="D4573" t="str">
            <v>L0030151                       EnggStore</v>
          </cell>
          <cell r="E4573">
            <v>0</v>
          </cell>
          <cell r="F4573" t="str">
            <v>ND No planning</v>
          </cell>
          <cell r="G4573" t="str">
            <v>ERSA Spare parts</v>
          </cell>
          <cell r="H4573" t="str">
            <v>EN039     PlantEquipmentSpares</v>
          </cell>
          <cell r="I4573" t="str">
            <v>L003 Ankleshwar</v>
          </cell>
          <cell r="J4573" t="str">
            <v>99 Input/Byprodt/Scrap</v>
          </cell>
          <cell r="K4573" t="str">
            <v>10.2012</v>
          </cell>
          <cell r="L4573">
            <v>2</v>
          </cell>
          <cell r="M4573" t="str">
            <v>EA</v>
          </cell>
          <cell r="N4573">
            <v>306</v>
          </cell>
          <cell r="O4573" t="str">
            <v>INR</v>
          </cell>
        </row>
        <row r="4574">
          <cell r="A4574" t="str">
            <v>L003 Ankleshwar</v>
          </cell>
          <cell r="B4574">
            <v>662203</v>
          </cell>
          <cell r="C4574" t="str">
            <v>COPPER TUBE: 5/8" SOFT</v>
          </cell>
          <cell r="D4574" t="str">
            <v>L0030151                       EnggStore</v>
          </cell>
          <cell r="E4574" t="str">
            <v>E32 E32</v>
          </cell>
          <cell r="F4574" t="str">
            <v>VB Manual reorder point planning</v>
          </cell>
          <cell r="G4574" t="str">
            <v>ERSA Spare parts</v>
          </cell>
          <cell r="H4574" t="str">
            <v>EN037     Refrigeration&amp;A/Cspa</v>
          </cell>
          <cell r="I4574" t="str">
            <v>L003 Ankleshwar</v>
          </cell>
          <cell r="J4574" t="str">
            <v>99 Input/Byprodt/Scrap</v>
          </cell>
          <cell r="K4574" t="str">
            <v>10.2012</v>
          </cell>
          <cell r="L4574">
            <v>37</v>
          </cell>
          <cell r="M4574" t="str">
            <v>FT</v>
          </cell>
          <cell r="N4574">
            <v>1775.25</v>
          </cell>
          <cell r="O4574" t="str">
            <v>INR</v>
          </cell>
        </row>
        <row r="4575">
          <cell r="A4575" t="str">
            <v>L003 Ankleshwar</v>
          </cell>
          <cell r="B4575">
            <v>662213</v>
          </cell>
          <cell r="C4575" t="str">
            <v>ADUJSTABLE WRENCH 12"</v>
          </cell>
          <cell r="D4575" t="str">
            <v>L0030151                       EnggStore</v>
          </cell>
          <cell r="E4575">
            <v>0</v>
          </cell>
          <cell r="F4575" t="str">
            <v>ND No planning</v>
          </cell>
          <cell r="G4575" t="str">
            <v>ERSA Spare parts</v>
          </cell>
          <cell r="H4575" t="str">
            <v>EN036     Tools&amp;tackles</v>
          </cell>
          <cell r="I4575" t="str">
            <v>L003 Ankleshwar</v>
          </cell>
          <cell r="J4575" t="str">
            <v>99 Input/Byprodt/Scrap</v>
          </cell>
          <cell r="K4575" t="str">
            <v>10.2012</v>
          </cell>
          <cell r="L4575">
            <v>4</v>
          </cell>
          <cell r="M4575" t="str">
            <v>EA</v>
          </cell>
          <cell r="N4575">
            <v>742.79999999999905</v>
          </cell>
          <cell r="O4575" t="str">
            <v>INR</v>
          </cell>
        </row>
        <row r="4576">
          <cell r="A4576" t="str">
            <v>L003 Ankleshwar</v>
          </cell>
          <cell r="B4576">
            <v>662231</v>
          </cell>
          <cell r="C4576" t="str">
            <v>NM GASKET-CL3&amp;4 TOP BONET: 360MMX445MM</v>
          </cell>
          <cell r="D4576" t="str">
            <v>L0030151                       EnggStore</v>
          </cell>
          <cell r="E4576" t="str">
            <v>E34 E34</v>
          </cell>
          <cell r="F4576" t="str">
            <v>VB Manual reorder point planning</v>
          </cell>
          <cell r="G4576" t="str">
            <v>ERSA Spare parts</v>
          </cell>
          <cell r="H4576" t="str">
            <v>EN024     EnggConsumables</v>
          </cell>
          <cell r="I4576" t="str">
            <v>L003 Ankleshwar</v>
          </cell>
          <cell r="J4576" t="str">
            <v>99 Input/Byprodt/Scrap</v>
          </cell>
          <cell r="K4576" t="str">
            <v>10.2012</v>
          </cell>
          <cell r="L4576">
            <v>16</v>
          </cell>
          <cell r="M4576" t="str">
            <v>EA</v>
          </cell>
          <cell r="N4576">
            <v>1910</v>
          </cell>
          <cell r="O4576" t="str">
            <v>INR</v>
          </cell>
        </row>
        <row r="4577">
          <cell r="A4577" t="str">
            <v>L003 Ankleshwar</v>
          </cell>
          <cell r="B4577">
            <v>662232</v>
          </cell>
          <cell r="C4577" t="str">
            <v>NM GASKET-CL3&amp;4 TOP BONET: 510MMX585MM</v>
          </cell>
          <cell r="D4577" t="str">
            <v>L0030151                       EnggStore</v>
          </cell>
          <cell r="E4577" t="str">
            <v>E34 E34</v>
          </cell>
          <cell r="F4577" t="str">
            <v>VB Manual reorder point planning</v>
          </cell>
          <cell r="G4577" t="str">
            <v>ERSA Spare parts</v>
          </cell>
          <cell r="H4577" t="str">
            <v>EN024     EnggConsumables</v>
          </cell>
          <cell r="I4577" t="str">
            <v>L003 Ankleshwar</v>
          </cell>
          <cell r="J4577" t="str">
            <v>99 Input/Byprodt/Scrap</v>
          </cell>
          <cell r="K4577" t="str">
            <v>10.2012</v>
          </cell>
          <cell r="L4577">
            <v>4</v>
          </cell>
          <cell r="M4577" t="str">
            <v>EA</v>
          </cell>
          <cell r="N4577">
            <v>883.2</v>
          </cell>
          <cell r="O4577" t="str">
            <v>INR</v>
          </cell>
        </row>
        <row r="4578">
          <cell r="A4578" t="str">
            <v>L003 Ankleshwar</v>
          </cell>
          <cell r="B4578">
            <v>662242</v>
          </cell>
          <cell r="C4578" t="str">
            <v>MICRO SWITCH ABLY MDL: 137-EY15FSF-300</v>
          </cell>
          <cell r="D4578" t="str">
            <v>L0030151                       EnggStore</v>
          </cell>
          <cell r="E4578">
            <v>0</v>
          </cell>
          <cell r="F4578" t="str">
            <v>ND No planning</v>
          </cell>
          <cell r="G4578" t="str">
            <v>ERSA Spare parts</v>
          </cell>
          <cell r="H4578" t="str">
            <v>EN006     Elec Switchgear</v>
          </cell>
          <cell r="I4578" t="str">
            <v>L003 Ankleshwar</v>
          </cell>
          <cell r="J4578" t="str">
            <v>99 Input/Byprodt/Scrap</v>
          </cell>
          <cell r="K4578" t="str">
            <v>10.2012</v>
          </cell>
          <cell r="L4578">
            <v>2</v>
          </cell>
          <cell r="M4578" t="str">
            <v>EA</v>
          </cell>
          <cell r="N4578">
            <v>9721.84</v>
          </cell>
          <cell r="O4578" t="str">
            <v>INR</v>
          </cell>
        </row>
        <row r="4579">
          <cell r="A4579" t="str">
            <v>L003 Ankleshwar</v>
          </cell>
          <cell r="B4579">
            <v>662275</v>
          </cell>
          <cell r="C4579" t="str">
            <v>NM GASKET-CL1&amp;2 TOP BONET: 660MMX760MM</v>
          </cell>
          <cell r="D4579" t="str">
            <v>L0030151                       EnggStore</v>
          </cell>
          <cell r="E4579" t="str">
            <v>E34 E34</v>
          </cell>
          <cell r="F4579" t="str">
            <v>VB Manual reorder point planning</v>
          </cell>
          <cell r="G4579" t="str">
            <v>ERSA Spare parts</v>
          </cell>
          <cell r="H4579" t="str">
            <v>EN024     EnggConsumables</v>
          </cell>
          <cell r="I4579" t="str">
            <v>L003 Ankleshwar</v>
          </cell>
          <cell r="J4579" t="str">
            <v>99 Input/Byprodt/Scrap</v>
          </cell>
          <cell r="K4579" t="str">
            <v>10.2012</v>
          </cell>
          <cell r="L4579">
            <v>4</v>
          </cell>
          <cell r="M4579" t="str">
            <v>EA</v>
          </cell>
          <cell r="N4579">
            <v>1305.5999999999899</v>
          </cell>
          <cell r="O4579" t="str">
            <v>INR</v>
          </cell>
        </row>
        <row r="4580">
          <cell r="A4580" t="str">
            <v>L003 Ankleshwar</v>
          </cell>
          <cell r="B4580">
            <v>662276</v>
          </cell>
          <cell r="C4580" t="str">
            <v>NM GASKET-CL1&amp;2 TOP BONET: 880MMX950MM</v>
          </cell>
          <cell r="D4580" t="str">
            <v>L0030151                       EnggStore</v>
          </cell>
          <cell r="E4580" t="str">
            <v>E34 E34</v>
          </cell>
          <cell r="F4580" t="str">
            <v>VB Manual reorder point planning</v>
          </cell>
          <cell r="G4580" t="str">
            <v>ERSA Spare parts</v>
          </cell>
          <cell r="H4580" t="str">
            <v>EN024     EnggConsumables</v>
          </cell>
          <cell r="I4580" t="str">
            <v>L003 Ankleshwar</v>
          </cell>
          <cell r="J4580" t="str">
            <v>99 Input/Byprodt/Scrap</v>
          </cell>
          <cell r="K4580" t="str">
            <v>10.2012</v>
          </cell>
          <cell r="L4580">
            <v>8</v>
          </cell>
          <cell r="M4580" t="str">
            <v>EA</v>
          </cell>
          <cell r="N4580">
            <v>4706.8</v>
          </cell>
          <cell r="O4580" t="str">
            <v>INR</v>
          </cell>
        </row>
        <row r="4581">
          <cell r="A4581" t="str">
            <v>L003 Ankleshwar</v>
          </cell>
          <cell r="B4581">
            <v>662277</v>
          </cell>
          <cell r="C4581" t="str">
            <v>NM GASKET-CL3&amp;4 BOTTOM BONET:270MMX335MM</v>
          </cell>
          <cell r="D4581" t="str">
            <v>L0030151                       EnggStore</v>
          </cell>
          <cell r="E4581" t="str">
            <v>E34 E34</v>
          </cell>
          <cell r="F4581" t="str">
            <v>VB Manual reorder point planning</v>
          </cell>
          <cell r="G4581" t="str">
            <v>ERSA Spare parts</v>
          </cell>
          <cell r="H4581" t="str">
            <v>EN024     EnggConsumables</v>
          </cell>
          <cell r="I4581" t="str">
            <v>L003 Ankleshwar</v>
          </cell>
          <cell r="J4581" t="str">
            <v>99 Input/Byprodt/Scrap</v>
          </cell>
          <cell r="K4581" t="str">
            <v>10.2012</v>
          </cell>
          <cell r="L4581">
            <v>4</v>
          </cell>
          <cell r="M4581" t="str">
            <v>EA</v>
          </cell>
          <cell r="N4581">
            <v>197.599999999999</v>
          </cell>
          <cell r="O4581" t="str">
            <v>INR</v>
          </cell>
        </row>
        <row r="4582">
          <cell r="A4582" t="str">
            <v>L003 Ankleshwar</v>
          </cell>
          <cell r="B4582">
            <v>662278</v>
          </cell>
          <cell r="C4582" t="str">
            <v>NM GASKET-CL3&amp;4 BOTTOM BONET:360MMX445MM</v>
          </cell>
          <cell r="D4582" t="str">
            <v>L0030151                       EnggStore</v>
          </cell>
          <cell r="E4582" t="str">
            <v>E34 E34</v>
          </cell>
          <cell r="F4582" t="str">
            <v>VB Manual reorder point planning</v>
          </cell>
          <cell r="G4582" t="str">
            <v>ERSA Spare parts</v>
          </cell>
          <cell r="H4582" t="str">
            <v>EN024     EnggConsumables</v>
          </cell>
          <cell r="I4582" t="str">
            <v>L003 Ankleshwar</v>
          </cell>
          <cell r="J4582" t="str">
            <v>99 Input/Byprodt/Scrap</v>
          </cell>
          <cell r="K4582" t="str">
            <v>10.2012</v>
          </cell>
          <cell r="L4582">
            <v>4</v>
          </cell>
          <cell r="M4582" t="str">
            <v>EA</v>
          </cell>
          <cell r="N4582">
            <v>485</v>
          </cell>
          <cell r="O4582" t="str">
            <v>INR</v>
          </cell>
        </row>
        <row r="4583">
          <cell r="A4583" t="str">
            <v>L003 Ankleshwar</v>
          </cell>
          <cell r="B4583">
            <v>662279</v>
          </cell>
          <cell r="C4583" t="str">
            <v>NM GASKET-CL1&amp;2 BOTTOM BONET:475MMX540MM</v>
          </cell>
          <cell r="D4583" t="str">
            <v>L0030151                       EnggStore</v>
          </cell>
          <cell r="E4583" t="str">
            <v>E34 E34</v>
          </cell>
          <cell r="F4583" t="str">
            <v>VB Manual reorder point planning</v>
          </cell>
          <cell r="G4583" t="str">
            <v>ERSA Spare parts</v>
          </cell>
          <cell r="H4583" t="str">
            <v>EN024     EnggConsumables</v>
          </cell>
          <cell r="I4583" t="str">
            <v>L003 Ankleshwar</v>
          </cell>
          <cell r="J4583" t="str">
            <v>99 Input/Byprodt/Scrap</v>
          </cell>
          <cell r="K4583" t="str">
            <v>10.2012</v>
          </cell>
          <cell r="L4583">
            <v>6</v>
          </cell>
          <cell r="M4583" t="str">
            <v>EA</v>
          </cell>
          <cell r="N4583">
            <v>1140</v>
          </cell>
          <cell r="O4583" t="str">
            <v>INR</v>
          </cell>
        </row>
        <row r="4584">
          <cell r="A4584" t="str">
            <v>L003 Ankleshwar</v>
          </cell>
          <cell r="B4584">
            <v>662280</v>
          </cell>
          <cell r="C4584" t="str">
            <v>NM GASKET-CL1&amp;2 BOTTOM BONET:660MMX760MM</v>
          </cell>
          <cell r="D4584" t="str">
            <v>L0030151                       EnggStore</v>
          </cell>
          <cell r="E4584" t="str">
            <v>E34 E34</v>
          </cell>
          <cell r="F4584" t="str">
            <v>VB Manual reorder point planning</v>
          </cell>
          <cell r="G4584" t="str">
            <v>ERSA Spare parts</v>
          </cell>
          <cell r="H4584" t="str">
            <v>EN024     EnggConsumables</v>
          </cell>
          <cell r="I4584" t="str">
            <v>L003 Ankleshwar</v>
          </cell>
          <cell r="J4584" t="str">
            <v>99 Input/Byprodt/Scrap</v>
          </cell>
          <cell r="K4584" t="str">
            <v>10.2012</v>
          </cell>
          <cell r="L4584">
            <v>4</v>
          </cell>
          <cell r="M4584" t="str">
            <v>EA</v>
          </cell>
          <cell r="N4584">
            <v>1319.2</v>
          </cell>
          <cell r="O4584" t="str">
            <v>INR</v>
          </cell>
        </row>
        <row r="4585">
          <cell r="A4585" t="str">
            <v>L003 Ankleshwar</v>
          </cell>
          <cell r="B4585">
            <v>662283</v>
          </cell>
          <cell r="C4585" t="str">
            <v>NM GASKET-PREHEATER TOP:162MMX205MM</v>
          </cell>
          <cell r="D4585" t="str">
            <v>L0030151                       EnggStore</v>
          </cell>
          <cell r="E4585" t="str">
            <v>E34 E34</v>
          </cell>
          <cell r="F4585" t="str">
            <v>VB Manual reorder point planning</v>
          </cell>
          <cell r="G4585" t="str">
            <v>ERSA Spare parts</v>
          </cell>
          <cell r="H4585" t="str">
            <v>EN024     EnggConsumables</v>
          </cell>
          <cell r="I4585" t="str">
            <v>L003 Ankleshwar</v>
          </cell>
          <cell r="J4585" t="str">
            <v>99 Input/Byprodt/Scrap</v>
          </cell>
          <cell r="K4585" t="str">
            <v>10.2012</v>
          </cell>
          <cell r="L4585">
            <v>2</v>
          </cell>
          <cell r="M4585" t="str">
            <v>EA</v>
          </cell>
          <cell r="N4585">
            <v>76.799999999999898</v>
          </cell>
          <cell r="O4585" t="str">
            <v>INR</v>
          </cell>
        </row>
        <row r="4586">
          <cell r="A4586" t="str">
            <v>L003 Ankleshwar</v>
          </cell>
          <cell r="B4586">
            <v>662284</v>
          </cell>
          <cell r="C4586" t="str">
            <v>NM GASKET-PREHEATER TOP:214MMX258MM</v>
          </cell>
          <cell r="D4586" t="str">
            <v>L0030151                       EnggStore</v>
          </cell>
          <cell r="E4586" t="str">
            <v>E34 E34</v>
          </cell>
          <cell r="F4586" t="str">
            <v>VB Manual reorder point planning</v>
          </cell>
          <cell r="G4586" t="str">
            <v>ERSA Spare parts</v>
          </cell>
          <cell r="H4586" t="str">
            <v>EN024     EnggConsumables</v>
          </cell>
          <cell r="I4586" t="str">
            <v>L003 Ankleshwar</v>
          </cell>
          <cell r="J4586" t="str">
            <v>99 Input/Byprodt/Scrap</v>
          </cell>
          <cell r="K4586" t="str">
            <v>10.2012</v>
          </cell>
          <cell r="L4586">
            <v>3</v>
          </cell>
          <cell r="M4586" t="str">
            <v>EA</v>
          </cell>
          <cell r="N4586">
            <v>261</v>
          </cell>
          <cell r="O4586" t="str">
            <v>INR</v>
          </cell>
        </row>
        <row r="4587">
          <cell r="A4587" t="str">
            <v>L003 Ankleshwar</v>
          </cell>
          <cell r="B4587">
            <v>662285</v>
          </cell>
          <cell r="C4587" t="str">
            <v>NM GASKET-PREHEATER BOTTOM-RIB:162X205MM</v>
          </cell>
          <cell r="D4587" t="str">
            <v>L0030151                       EnggStore</v>
          </cell>
          <cell r="E4587" t="str">
            <v>E34 E34</v>
          </cell>
          <cell r="F4587" t="str">
            <v>VB Manual reorder point planning</v>
          </cell>
          <cell r="G4587" t="str">
            <v>ERSA Spare parts</v>
          </cell>
          <cell r="H4587" t="str">
            <v>EN024     EnggConsumables</v>
          </cell>
          <cell r="I4587" t="str">
            <v>L003 Ankleshwar</v>
          </cell>
          <cell r="J4587" t="str">
            <v>99 Input/Byprodt/Scrap</v>
          </cell>
          <cell r="K4587" t="str">
            <v>10.2012</v>
          </cell>
          <cell r="L4587">
            <v>1</v>
          </cell>
          <cell r="M4587" t="str">
            <v>EA</v>
          </cell>
          <cell r="N4587">
            <v>38.799999999999898</v>
          </cell>
          <cell r="O4587" t="str">
            <v>INR</v>
          </cell>
        </row>
        <row r="4588">
          <cell r="A4588" t="str">
            <v>L003 Ankleshwar</v>
          </cell>
          <cell r="B4588">
            <v>662286</v>
          </cell>
          <cell r="C4588" t="str">
            <v>NM GASKET-PREHEATER BOTTOM-RIB:214X258MM</v>
          </cell>
          <cell r="D4588" t="str">
            <v>L0030151                       EnggStore</v>
          </cell>
          <cell r="E4588" t="str">
            <v>E34 E34</v>
          </cell>
          <cell r="F4588" t="str">
            <v>VB Manual reorder point planning</v>
          </cell>
          <cell r="G4588" t="str">
            <v>ERSA Spare parts</v>
          </cell>
          <cell r="H4588" t="str">
            <v>EN024     EnggConsumables</v>
          </cell>
          <cell r="I4588" t="str">
            <v>L003 Ankleshwar</v>
          </cell>
          <cell r="J4588" t="str">
            <v>99 Input/Byprodt/Scrap</v>
          </cell>
          <cell r="K4588" t="str">
            <v>10.2012</v>
          </cell>
          <cell r="L4588">
            <v>1</v>
          </cell>
          <cell r="M4588" t="str">
            <v>EA</v>
          </cell>
          <cell r="N4588">
            <v>111.55</v>
          </cell>
          <cell r="O4588" t="str">
            <v>INR</v>
          </cell>
        </row>
        <row r="4589">
          <cell r="A4589" t="str">
            <v>L003 Ankleshwar</v>
          </cell>
          <cell r="B4589">
            <v>662287</v>
          </cell>
          <cell r="C4589" t="str">
            <v>IMPELLER SECOND STAGE SS-316 TS-07</v>
          </cell>
          <cell r="D4589" t="str">
            <v>L0030151                       EnggStore</v>
          </cell>
          <cell r="E4589" t="str">
            <v>E34 E34</v>
          </cell>
          <cell r="F4589" t="str">
            <v>VB Manual reorder point planning</v>
          </cell>
          <cell r="G4589" t="str">
            <v>ERSA Spare parts</v>
          </cell>
          <cell r="H4589" t="str">
            <v>EN032     Pumpspares</v>
          </cell>
          <cell r="I4589" t="str">
            <v>L003 Ankleshwar</v>
          </cell>
          <cell r="J4589" t="str">
            <v>99 Input/Byprodt/Scrap</v>
          </cell>
          <cell r="K4589" t="str">
            <v>10.2012</v>
          </cell>
          <cell r="L4589">
            <v>1</v>
          </cell>
          <cell r="M4589" t="str">
            <v>EA</v>
          </cell>
          <cell r="N4589">
            <v>3920</v>
          </cell>
          <cell r="O4589" t="str">
            <v>INR</v>
          </cell>
        </row>
        <row r="4590">
          <cell r="A4590" t="str">
            <v>L003 Ankleshwar</v>
          </cell>
          <cell r="B4590">
            <v>662289</v>
          </cell>
          <cell r="C4590" t="str">
            <v>SEAL RING SHELL+ INSERT SS+SIC</v>
          </cell>
          <cell r="D4590" t="str">
            <v>L0030151                       EnggStore</v>
          </cell>
          <cell r="E4590">
            <v>0</v>
          </cell>
          <cell r="F4590" t="str">
            <v>ND No planning</v>
          </cell>
          <cell r="G4590" t="str">
            <v>ERSA Spare parts</v>
          </cell>
          <cell r="H4590" t="str">
            <v>EN038     MechanicalSeals&amp;Spar</v>
          </cell>
          <cell r="I4590" t="str">
            <v>L003 Ankleshwar</v>
          </cell>
          <cell r="J4590" t="str">
            <v>99 Input/Byprodt/Scrap</v>
          </cell>
          <cell r="K4590" t="str">
            <v>10.2012</v>
          </cell>
          <cell r="L4590">
            <v>1</v>
          </cell>
          <cell r="M4590" t="str">
            <v>EA</v>
          </cell>
          <cell r="N4590">
            <v>7735</v>
          </cell>
          <cell r="O4590" t="str">
            <v>INR</v>
          </cell>
        </row>
        <row r="4591">
          <cell r="A4591" t="str">
            <v>L003 Ankleshwar</v>
          </cell>
          <cell r="B4591">
            <v>662290</v>
          </cell>
          <cell r="C4591" t="str">
            <v>DIVERTER SLEEVE SS316</v>
          </cell>
          <cell r="D4591" t="str">
            <v>L0030151                       EnggStore</v>
          </cell>
          <cell r="E4591">
            <v>0</v>
          </cell>
          <cell r="F4591" t="str">
            <v>ND No planning</v>
          </cell>
          <cell r="G4591" t="str">
            <v>ERSA Spare parts</v>
          </cell>
          <cell r="H4591" t="str">
            <v>EN038     MechanicalSeals&amp;Spar</v>
          </cell>
          <cell r="I4591" t="str">
            <v>L003 Ankleshwar</v>
          </cell>
          <cell r="J4591" t="str">
            <v>99 Input/Byprodt/Scrap</v>
          </cell>
          <cell r="K4591" t="str">
            <v>10.2012</v>
          </cell>
          <cell r="L4591">
            <v>1</v>
          </cell>
          <cell r="M4591" t="str">
            <v>EA</v>
          </cell>
          <cell r="N4591">
            <v>912.54999999999905</v>
          </cell>
          <cell r="O4591" t="str">
            <v>INR</v>
          </cell>
        </row>
        <row r="4592">
          <cell r="A4592" t="str">
            <v>L003 Ankleshwar</v>
          </cell>
          <cell r="B4592">
            <v>662323</v>
          </cell>
          <cell r="C4592" t="str">
            <v>STOP PUSH BUTTON</v>
          </cell>
          <cell r="D4592" t="str">
            <v>L0030151                       EnggStore</v>
          </cell>
          <cell r="E4592">
            <v>0</v>
          </cell>
          <cell r="F4592" t="str">
            <v>ND No planning</v>
          </cell>
          <cell r="G4592" t="str">
            <v>ERSA Spare parts</v>
          </cell>
          <cell r="H4592" t="str">
            <v>EN006     Elec Switchgear</v>
          </cell>
          <cell r="I4592" t="str">
            <v>L003 Ankleshwar</v>
          </cell>
          <cell r="J4592" t="str">
            <v>99 Input/Byprodt/Scrap</v>
          </cell>
          <cell r="K4592" t="str">
            <v>10.2012</v>
          </cell>
          <cell r="L4592">
            <v>8</v>
          </cell>
          <cell r="M4592" t="str">
            <v>EA</v>
          </cell>
          <cell r="N4592">
            <v>640</v>
          </cell>
          <cell r="O4592" t="str">
            <v>INR</v>
          </cell>
        </row>
        <row r="4593">
          <cell r="A4593" t="str">
            <v>L003 Ankleshwar</v>
          </cell>
          <cell r="B4593">
            <v>662335</v>
          </cell>
          <cell r="C4593" t="str">
            <v>SEAT HOLDER SS316</v>
          </cell>
          <cell r="D4593" t="str">
            <v>L0030151                       EnggStore</v>
          </cell>
          <cell r="E4593">
            <v>0</v>
          </cell>
          <cell r="F4593" t="str">
            <v>ND No planning</v>
          </cell>
          <cell r="G4593" t="str">
            <v>ERSA Spare parts</v>
          </cell>
          <cell r="H4593" t="str">
            <v>EN038     MechanicalSeals&amp;Spar</v>
          </cell>
          <cell r="I4593" t="str">
            <v>L003 Ankleshwar</v>
          </cell>
          <cell r="J4593" t="str">
            <v>99 Input/Byprodt/Scrap</v>
          </cell>
          <cell r="K4593" t="str">
            <v>10.2012</v>
          </cell>
          <cell r="L4593">
            <v>1</v>
          </cell>
          <cell r="M4593" t="str">
            <v>EA</v>
          </cell>
          <cell r="N4593">
            <v>1042.9000000000001</v>
          </cell>
          <cell r="O4593" t="str">
            <v>INR</v>
          </cell>
        </row>
        <row r="4594">
          <cell r="A4594" t="str">
            <v>L003 Ankleshwar</v>
          </cell>
          <cell r="B4594">
            <v>662337</v>
          </cell>
          <cell r="C4594" t="str">
            <v>ROTARY FACE - CS SIC</v>
          </cell>
          <cell r="D4594" t="str">
            <v>L0030151                       EnggStore</v>
          </cell>
          <cell r="E4594">
            <v>0</v>
          </cell>
          <cell r="F4594" t="str">
            <v>ND No planning</v>
          </cell>
          <cell r="G4594" t="str">
            <v>ERSA Spare parts</v>
          </cell>
          <cell r="H4594" t="str">
            <v>EN038     MechanicalSeals&amp;Spar</v>
          </cell>
          <cell r="I4594" t="str">
            <v>L003 Ankleshwar</v>
          </cell>
          <cell r="J4594" t="str">
            <v>99 Input/Byprodt/Scrap</v>
          </cell>
          <cell r="K4594" t="str">
            <v>10.2012</v>
          </cell>
          <cell r="L4594">
            <v>1</v>
          </cell>
          <cell r="M4594" t="str">
            <v>EA</v>
          </cell>
          <cell r="N4594">
            <v>6188</v>
          </cell>
          <cell r="O4594" t="str">
            <v>INR</v>
          </cell>
        </row>
        <row r="4595">
          <cell r="A4595" t="str">
            <v>L003 Ankleshwar</v>
          </cell>
          <cell r="B4595">
            <v>662342</v>
          </cell>
          <cell r="C4595" t="str">
            <v>OIL SERVO MG 20W40</v>
          </cell>
          <cell r="D4595" t="str">
            <v>L0030151                       EnggStore</v>
          </cell>
          <cell r="E4595" t="str">
            <v>E01 E01</v>
          </cell>
          <cell r="F4595" t="str">
            <v>VB Manual reorder point planning</v>
          </cell>
          <cell r="G4595" t="str">
            <v>ERSA Spare parts</v>
          </cell>
          <cell r="H4595" t="str">
            <v>EN011     UtlChem/Lub/Fuel/Gas</v>
          </cell>
          <cell r="I4595" t="str">
            <v>L003 Ankleshwar</v>
          </cell>
          <cell r="J4595" t="str">
            <v>99 Input/Byprodt/Scrap</v>
          </cell>
          <cell r="K4595" t="str">
            <v>10.2012</v>
          </cell>
          <cell r="L4595">
            <v>130</v>
          </cell>
          <cell r="M4595" t="str">
            <v>L</v>
          </cell>
          <cell r="N4595">
            <v>19016.400000000001</v>
          </cell>
          <cell r="O4595" t="str">
            <v>INR</v>
          </cell>
        </row>
        <row r="4596">
          <cell r="A4596" t="str">
            <v>L003 Ankleshwar</v>
          </cell>
          <cell r="B4596">
            <v>662355</v>
          </cell>
          <cell r="C4596" t="str">
            <v>OIL CASTROLTQ/GULF ATF FORKLIFT TRANSMIS</v>
          </cell>
          <cell r="D4596" t="str">
            <v>L0030151                       EnggStore</v>
          </cell>
          <cell r="E4596" t="str">
            <v>E01 E01</v>
          </cell>
          <cell r="F4596" t="str">
            <v>VB Manual reorder point planning</v>
          </cell>
          <cell r="G4596" t="str">
            <v>ERSA Spare parts</v>
          </cell>
          <cell r="H4596" t="str">
            <v>EN011     UtlChem/Lub/Fuel/Gas</v>
          </cell>
          <cell r="I4596" t="str">
            <v>L003 Ankleshwar</v>
          </cell>
          <cell r="J4596" t="str">
            <v>99 Input/Byprodt/Scrap</v>
          </cell>
          <cell r="K4596" t="str">
            <v>10.2012</v>
          </cell>
          <cell r="L4596">
            <v>5</v>
          </cell>
          <cell r="M4596" t="str">
            <v>L</v>
          </cell>
          <cell r="N4596">
            <v>920.85</v>
          </cell>
          <cell r="O4596" t="str">
            <v>INR</v>
          </cell>
        </row>
        <row r="4597">
          <cell r="A4597" t="str">
            <v>L003 Ankleshwar</v>
          </cell>
          <cell r="B4597">
            <v>662378</v>
          </cell>
          <cell r="C4597" t="str">
            <v>SPRING SS316  HEB-E1-SP-XXXC-MF-100MM</v>
          </cell>
          <cell r="D4597" t="str">
            <v>L0030151                       EnggStore</v>
          </cell>
          <cell r="E4597">
            <v>0</v>
          </cell>
          <cell r="F4597" t="str">
            <v>ND No planning</v>
          </cell>
          <cell r="G4597" t="str">
            <v>ERSA Spare parts</v>
          </cell>
          <cell r="H4597" t="str">
            <v>EN038     MechanicalSeals&amp;Spar</v>
          </cell>
          <cell r="I4597" t="str">
            <v>L003 Ankleshwar</v>
          </cell>
          <cell r="J4597" t="str">
            <v>99 Input/Byprodt/Scrap</v>
          </cell>
          <cell r="K4597" t="str">
            <v>10.2012</v>
          </cell>
          <cell r="L4597">
            <v>8</v>
          </cell>
          <cell r="M4597" t="str">
            <v>EA</v>
          </cell>
          <cell r="N4597">
            <v>1564.4</v>
          </cell>
          <cell r="O4597" t="str">
            <v>INR</v>
          </cell>
        </row>
        <row r="4598">
          <cell r="A4598" t="str">
            <v>L003 Ankleshwar</v>
          </cell>
          <cell r="B4598">
            <v>662380</v>
          </cell>
          <cell r="C4598" t="str">
            <v>GASKET PTFE ENVELOPED</v>
          </cell>
          <cell r="D4598" t="str">
            <v>L0030151                       EnggStore</v>
          </cell>
          <cell r="E4598">
            <v>0</v>
          </cell>
          <cell r="F4598" t="str">
            <v>ND No planning</v>
          </cell>
          <cell r="G4598" t="str">
            <v>ERSA Spare parts</v>
          </cell>
          <cell r="H4598" t="str">
            <v>EN038     MechanicalSeals&amp;Spar</v>
          </cell>
          <cell r="I4598" t="str">
            <v>L003 Ankleshwar</v>
          </cell>
          <cell r="J4598" t="str">
            <v>99 Input/Byprodt/Scrap</v>
          </cell>
          <cell r="K4598" t="str">
            <v>10.2012</v>
          </cell>
          <cell r="L4598">
            <v>1</v>
          </cell>
          <cell r="M4598" t="str">
            <v>EA</v>
          </cell>
          <cell r="N4598">
            <v>4345.5</v>
          </cell>
          <cell r="O4598" t="str">
            <v>INR</v>
          </cell>
        </row>
        <row r="4599">
          <cell r="A4599" t="str">
            <v>L003 Ankleshwar</v>
          </cell>
          <cell r="B4599">
            <v>662385</v>
          </cell>
          <cell r="C4599" t="str">
            <v>O RING STV HEB-E1-SP-XXXC-MF-100MM</v>
          </cell>
          <cell r="D4599" t="str">
            <v>L0030151                       EnggStore</v>
          </cell>
          <cell r="E4599">
            <v>0</v>
          </cell>
          <cell r="F4599" t="str">
            <v>ND No planning</v>
          </cell>
          <cell r="G4599" t="str">
            <v>ERSA Spare parts</v>
          </cell>
          <cell r="H4599" t="str">
            <v>EN038     MechanicalSeals&amp;Spar</v>
          </cell>
          <cell r="I4599" t="str">
            <v>L003 Ankleshwar</v>
          </cell>
          <cell r="J4599" t="str">
            <v>99 Input/Byprodt/Scrap</v>
          </cell>
          <cell r="K4599" t="str">
            <v>10.2012</v>
          </cell>
          <cell r="L4599">
            <v>1</v>
          </cell>
          <cell r="M4599" t="str">
            <v>EA</v>
          </cell>
          <cell r="N4599">
            <v>3910.96</v>
          </cell>
          <cell r="O4599" t="str">
            <v>INR</v>
          </cell>
        </row>
        <row r="4600">
          <cell r="A4600" t="str">
            <v>L003 Ankleshwar</v>
          </cell>
          <cell r="B4600">
            <v>662387</v>
          </cell>
          <cell r="C4600" t="str">
            <v>SNAP RING HEB-E1-SP-XXXC-MF-100MM</v>
          </cell>
          <cell r="D4600" t="str">
            <v>L0030151                       EnggStore</v>
          </cell>
          <cell r="E4600">
            <v>0</v>
          </cell>
          <cell r="F4600" t="str">
            <v>ND No planning</v>
          </cell>
          <cell r="G4600" t="str">
            <v>ERSA Spare parts</v>
          </cell>
          <cell r="H4600" t="str">
            <v>EN038     MechanicalSeals&amp;Spar</v>
          </cell>
          <cell r="I4600" t="str">
            <v>L003 Ankleshwar</v>
          </cell>
          <cell r="J4600" t="str">
            <v>99 Input/Byprodt/Scrap</v>
          </cell>
          <cell r="K4600" t="str">
            <v>10.2012</v>
          </cell>
          <cell r="L4600">
            <v>1</v>
          </cell>
          <cell r="M4600" t="str">
            <v>EA</v>
          </cell>
          <cell r="N4600">
            <v>1147.22</v>
          </cell>
          <cell r="O4600" t="str">
            <v>INR</v>
          </cell>
        </row>
        <row r="4601">
          <cell r="A4601" t="str">
            <v>L003 Ankleshwar</v>
          </cell>
          <cell r="B4601">
            <v>662388</v>
          </cell>
          <cell r="C4601" t="str">
            <v>OIL SEAL STD HEB-E1-SP-XXXC-MF-100MM</v>
          </cell>
          <cell r="D4601" t="str">
            <v>L0030151                       EnggStore</v>
          </cell>
          <cell r="E4601">
            <v>0</v>
          </cell>
          <cell r="F4601" t="str">
            <v>ND No planning</v>
          </cell>
          <cell r="G4601" t="str">
            <v>ERSA Spare parts</v>
          </cell>
          <cell r="H4601" t="str">
            <v>EN038     MechanicalSeals&amp;Spar</v>
          </cell>
          <cell r="I4601" t="str">
            <v>L003 Ankleshwar</v>
          </cell>
          <cell r="J4601" t="str">
            <v>99 Input/Byprodt/Scrap</v>
          </cell>
          <cell r="K4601" t="str">
            <v>10.2012</v>
          </cell>
          <cell r="L4601">
            <v>1</v>
          </cell>
          <cell r="M4601" t="str">
            <v>EA</v>
          </cell>
          <cell r="N4601">
            <v>964.69</v>
          </cell>
          <cell r="O4601" t="str">
            <v>INR</v>
          </cell>
        </row>
        <row r="4602">
          <cell r="A4602" t="str">
            <v>L003 Ankleshwar</v>
          </cell>
          <cell r="B4602">
            <v>662440</v>
          </cell>
          <cell r="C4602" t="str">
            <v>CONDENSER 8.5TR SPLIT A/C MDL 38LH-100</v>
          </cell>
          <cell r="D4602" t="str">
            <v>L0030151                       EnggStore</v>
          </cell>
          <cell r="E4602" t="str">
            <v>E01 E01</v>
          </cell>
          <cell r="F4602" t="str">
            <v>ND No planning</v>
          </cell>
          <cell r="G4602" t="str">
            <v>ERSA Spare parts</v>
          </cell>
          <cell r="H4602" t="str">
            <v>EN037     Refrigeration&amp;A/Cspa</v>
          </cell>
          <cell r="I4602" t="str">
            <v>L003 Ankleshwar</v>
          </cell>
          <cell r="J4602" t="str">
            <v>99 Input/Byprodt/Scrap</v>
          </cell>
          <cell r="K4602" t="str">
            <v>10.2012</v>
          </cell>
          <cell r="L4602">
            <v>1</v>
          </cell>
          <cell r="M4602" t="str">
            <v>EA</v>
          </cell>
          <cell r="N4602">
            <v>21337.5</v>
          </cell>
          <cell r="O4602" t="str">
            <v>INR</v>
          </cell>
        </row>
        <row r="4603">
          <cell r="A4603" t="str">
            <v>L003 Ankleshwar</v>
          </cell>
          <cell r="B4603">
            <v>662486</v>
          </cell>
          <cell r="C4603" t="str">
            <v>FAST DRYING ELECT CLEANER: Z902: 500ML</v>
          </cell>
          <cell r="D4603" t="str">
            <v>L0030151                       EnggStore</v>
          </cell>
          <cell r="E4603">
            <v>0</v>
          </cell>
          <cell r="F4603" t="str">
            <v>ND No planning</v>
          </cell>
          <cell r="G4603" t="str">
            <v>ERSA Spare parts</v>
          </cell>
          <cell r="H4603" t="str">
            <v>EN024     EnggConsumables</v>
          </cell>
          <cell r="I4603" t="str">
            <v>L003 Ankleshwar</v>
          </cell>
          <cell r="J4603" t="str">
            <v>99 Input/Byprodt/Scrap</v>
          </cell>
          <cell r="K4603" t="str">
            <v>10.2012</v>
          </cell>
          <cell r="L4603">
            <v>1</v>
          </cell>
          <cell r="M4603" t="str">
            <v>EA</v>
          </cell>
          <cell r="N4603">
            <v>1106.1600000000001</v>
          </cell>
          <cell r="O4603" t="str">
            <v>INR</v>
          </cell>
        </row>
        <row r="4604">
          <cell r="A4604" t="str">
            <v>L003 Ankleshwar</v>
          </cell>
          <cell r="B4604">
            <v>662487</v>
          </cell>
          <cell r="C4604" t="str">
            <v>RED INSULATING VARNISH</v>
          </cell>
          <cell r="D4604" t="str">
            <v>L0030151                       EnggStore</v>
          </cell>
          <cell r="E4604">
            <v>0</v>
          </cell>
          <cell r="F4604" t="str">
            <v>ND No planning</v>
          </cell>
          <cell r="G4604" t="str">
            <v>ERSA Spare parts</v>
          </cell>
          <cell r="H4604" t="str">
            <v>EN024     EnggConsumables</v>
          </cell>
          <cell r="I4604" t="str">
            <v>L003 Ankleshwar</v>
          </cell>
          <cell r="J4604" t="str">
            <v>99 Input/Byprodt/Scrap</v>
          </cell>
          <cell r="K4604" t="str">
            <v>10.2012</v>
          </cell>
          <cell r="L4604">
            <v>2</v>
          </cell>
          <cell r="M4604" t="str">
            <v>EA</v>
          </cell>
          <cell r="N4604">
            <v>543.39999999999895</v>
          </cell>
          <cell r="O4604" t="str">
            <v>INR</v>
          </cell>
        </row>
        <row r="4605">
          <cell r="A4605" t="str">
            <v>L003 Ankleshwar</v>
          </cell>
          <cell r="B4605">
            <v>662489</v>
          </cell>
          <cell r="C4605" t="str">
            <v>CHROME GALVANISE COAT: 143-500 ML</v>
          </cell>
          <cell r="D4605" t="str">
            <v>L0030151                       EnggStore</v>
          </cell>
          <cell r="E4605">
            <v>0</v>
          </cell>
          <cell r="F4605" t="str">
            <v>ND No planning</v>
          </cell>
          <cell r="G4605" t="str">
            <v>ERSA Spare parts</v>
          </cell>
          <cell r="H4605" t="str">
            <v>EN024     EnggConsumables</v>
          </cell>
          <cell r="I4605" t="str">
            <v>L003 Ankleshwar</v>
          </cell>
          <cell r="J4605" t="str">
            <v>99 Input/Byprodt/Scrap</v>
          </cell>
          <cell r="K4605" t="str">
            <v>10.2012</v>
          </cell>
          <cell r="L4605">
            <v>5</v>
          </cell>
          <cell r="M4605" t="str">
            <v>EA</v>
          </cell>
          <cell r="N4605">
            <v>4098.7700000000004</v>
          </cell>
          <cell r="O4605" t="str">
            <v>INR</v>
          </cell>
        </row>
        <row r="4606">
          <cell r="A4606" t="str">
            <v>L003 Ankleshwar</v>
          </cell>
          <cell r="B4606">
            <v>662526</v>
          </cell>
          <cell r="C4606" t="str">
            <v>MAIN CONTACT KIT: 3TF44 CAT-3TY74400A</v>
          </cell>
          <cell r="D4606" t="str">
            <v>L0030151                       EnggStore</v>
          </cell>
          <cell r="E4606" t="str">
            <v>E36 E36</v>
          </cell>
          <cell r="F4606" t="str">
            <v>VB Manual reorder point planning</v>
          </cell>
          <cell r="G4606" t="str">
            <v>ERSA Spare parts</v>
          </cell>
          <cell r="H4606" t="str">
            <v>EN006     Elec Switchgear</v>
          </cell>
          <cell r="I4606" t="str">
            <v>L003 Ankleshwar</v>
          </cell>
          <cell r="J4606" t="str">
            <v>99 Input/Byprodt/Scrap</v>
          </cell>
          <cell r="K4606" t="str">
            <v>10.2012</v>
          </cell>
          <cell r="L4606">
            <v>1</v>
          </cell>
          <cell r="M4606" t="str">
            <v>EA</v>
          </cell>
          <cell r="N4606">
            <v>1226.5599999999899</v>
          </cell>
          <cell r="O4606" t="str">
            <v>INR</v>
          </cell>
        </row>
        <row r="4607">
          <cell r="A4607" t="str">
            <v>L003 Ankleshwar</v>
          </cell>
          <cell r="B4607">
            <v>662528</v>
          </cell>
          <cell r="C4607" t="str">
            <v>POWER CONTACTOR: 3TF46: 240 VAC</v>
          </cell>
          <cell r="D4607" t="str">
            <v>L0030151                       EnggStore</v>
          </cell>
          <cell r="E4607">
            <v>0</v>
          </cell>
          <cell r="F4607" t="str">
            <v>ND No planning</v>
          </cell>
          <cell r="G4607" t="str">
            <v>ERSA Spare parts</v>
          </cell>
          <cell r="H4607" t="str">
            <v>EN006     Elec Switchgear</v>
          </cell>
          <cell r="I4607" t="str">
            <v>L003 Ankleshwar</v>
          </cell>
          <cell r="J4607" t="str">
            <v>99 Input/Byprodt/Scrap</v>
          </cell>
          <cell r="K4607" t="str">
            <v>10.2012</v>
          </cell>
          <cell r="L4607">
            <v>1</v>
          </cell>
          <cell r="M4607" t="str">
            <v>EA</v>
          </cell>
          <cell r="N4607">
            <v>2640.67</v>
          </cell>
          <cell r="O4607" t="str">
            <v>INR</v>
          </cell>
        </row>
        <row r="4608">
          <cell r="A4608" t="str">
            <v>L003 Ankleshwar</v>
          </cell>
          <cell r="B4608">
            <v>662531</v>
          </cell>
          <cell r="C4608" t="str">
            <v>PISTON SEAL RING-DAS: 100X75</v>
          </cell>
          <cell r="D4608" t="str">
            <v>L0030151                       EnggStore</v>
          </cell>
          <cell r="E4608">
            <v>0</v>
          </cell>
          <cell r="F4608" t="str">
            <v>ND No planning</v>
          </cell>
          <cell r="G4608" t="str">
            <v>ERSA Spare parts</v>
          </cell>
          <cell r="H4608" t="str">
            <v>EN039     PlantEquipmentSpares</v>
          </cell>
          <cell r="I4608" t="str">
            <v>L003 Ankleshwar</v>
          </cell>
          <cell r="J4608" t="str">
            <v>99 Input/Byprodt/Scrap</v>
          </cell>
          <cell r="K4608" t="str">
            <v>10.2012</v>
          </cell>
          <cell r="L4608">
            <v>1</v>
          </cell>
          <cell r="M4608" t="str">
            <v>EA</v>
          </cell>
          <cell r="N4608">
            <v>1750</v>
          </cell>
          <cell r="O4608" t="str">
            <v>INR</v>
          </cell>
        </row>
        <row r="4609">
          <cell r="A4609" t="str">
            <v>L003 Ankleshwar</v>
          </cell>
          <cell r="B4609">
            <v>662532</v>
          </cell>
          <cell r="C4609" t="str">
            <v>ROD SEAL-RU50: 50X60X8</v>
          </cell>
          <cell r="D4609" t="str">
            <v>L0030151                       EnggStore</v>
          </cell>
          <cell r="E4609">
            <v>0</v>
          </cell>
          <cell r="F4609" t="str">
            <v>ND No planning</v>
          </cell>
          <cell r="G4609" t="str">
            <v>ERSA Spare parts</v>
          </cell>
          <cell r="H4609" t="str">
            <v>EN039     PlantEquipmentSpares</v>
          </cell>
          <cell r="I4609" t="str">
            <v>L003 Ankleshwar</v>
          </cell>
          <cell r="J4609" t="str">
            <v>99 Input/Byprodt/Scrap</v>
          </cell>
          <cell r="K4609" t="str">
            <v>10.2012</v>
          </cell>
          <cell r="L4609">
            <v>2</v>
          </cell>
          <cell r="M4609" t="str">
            <v>EA</v>
          </cell>
          <cell r="N4609">
            <v>2000</v>
          </cell>
          <cell r="O4609" t="str">
            <v>INR</v>
          </cell>
        </row>
        <row r="4610">
          <cell r="A4610" t="str">
            <v>L003 Ankleshwar</v>
          </cell>
          <cell r="B4610">
            <v>662534</v>
          </cell>
          <cell r="C4610" t="str">
            <v>FLANGE INSIDE O-RING: 94X4</v>
          </cell>
          <cell r="D4610" t="str">
            <v>L0030151                       EnggStore</v>
          </cell>
          <cell r="E4610">
            <v>0</v>
          </cell>
          <cell r="F4610" t="str">
            <v>ND No planning</v>
          </cell>
          <cell r="G4610" t="str">
            <v>ERSA Spare parts</v>
          </cell>
          <cell r="H4610" t="str">
            <v>EN039     PlantEquipmentSpares</v>
          </cell>
          <cell r="I4610" t="str">
            <v>L003 Ankleshwar</v>
          </cell>
          <cell r="J4610" t="str">
            <v>99 Input/Byprodt/Scrap</v>
          </cell>
          <cell r="K4610" t="str">
            <v>10.2012</v>
          </cell>
          <cell r="L4610">
            <v>1</v>
          </cell>
          <cell r="M4610" t="str">
            <v>EA</v>
          </cell>
          <cell r="N4610">
            <v>240</v>
          </cell>
          <cell r="O4610" t="str">
            <v>INR</v>
          </cell>
        </row>
        <row r="4611">
          <cell r="A4611" t="str">
            <v>L003 Ankleshwar</v>
          </cell>
          <cell r="B4611">
            <v>662541</v>
          </cell>
          <cell r="C4611" t="str">
            <v>CARBON RING MULTISPRING SEAL: HS2020</v>
          </cell>
          <cell r="D4611" t="str">
            <v>L0030151                       EnggStore</v>
          </cell>
          <cell r="E4611" t="str">
            <v>E32 E32</v>
          </cell>
          <cell r="F4611" t="str">
            <v>VB Manual reorder point planning</v>
          </cell>
          <cell r="G4611" t="str">
            <v>ERSA Spare parts</v>
          </cell>
          <cell r="H4611" t="str">
            <v>EN018     UtilityEquipmentSpar</v>
          </cell>
          <cell r="I4611" t="str">
            <v>L003 Ankleshwar</v>
          </cell>
          <cell r="J4611" t="str">
            <v>99 Input/Byprodt/Scrap</v>
          </cell>
          <cell r="K4611" t="str">
            <v>10.2012</v>
          </cell>
          <cell r="L4611">
            <v>1</v>
          </cell>
          <cell r="M4611" t="str">
            <v>EA</v>
          </cell>
          <cell r="N4611">
            <v>3653.6999999999898</v>
          </cell>
          <cell r="O4611" t="str">
            <v>INR</v>
          </cell>
        </row>
        <row r="4612">
          <cell r="A4612" t="str">
            <v>L003 Ankleshwar</v>
          </cell>
          <cell r="B4612">
            <v>662542</v>
          </cell>
          <cell r="C4612" t="str">
            <v>TC MULTISPRING SEAL: HS2020</v>
          </cell>
          <cell r="D4612" t="str">
            <v>L0030151                       EnggStore</v>
          </cell>
          <cell r="E4612">
            <v>0</v>
          </cell>
          <cell r="F4612" t="str">
            <v>ND No planning</v>
          </cell>
          <cell r="G4612" t="str">
            <v>ERSA Spare parts</v>
          </cell>
          <cell r="H4612" t="str">
            <v>EN018     UtilityEquipmentSpar</v>
          </cell>
          <cell r="I4612" t="str">
            <v>L003 Ankleshwar</v>
          </cell>
          <cell r="J4612" t="str">
            <v>99 Input/Byprodt/Scrap</v>
          </cell>
          <cell r="K4612" t="str">
            <v>10.2012</v>
          </cell>
          <cell r="L4612">
            <v>1</v>
          </cell>
          <cell r="M4612" t="str">
            <v>EA</v>
          </cell>
          <cell r="N4612">
            <v>5194.4099999999899</v>
          </cell>
          <cell r="O4612" t="str">
            <v>INR</v>
          </cell>
        </row>
        <row r="4613">
          <cell r="A4613" t="str">
            <v>L003 Ankleshwar</v>
          </cell>
          <cell r="B4613">
            <v>662543</v>
          </cell>
          <cell r="C4613" t="str">
            <v>O-RING OUTER MULTISPRING SEAL: HS2020</v>
          </cell>
          <cell r="D4613" t="str">
            <v>L0030151                       EnggStore</v>
          </cell>
          <cell r="E4613" t="str">
            <v>E32 E32</v>
          </cell>
          <cell r="F4613" t="str">
            <v>VB Manual reorder point planning</v>
          </cell>
          <cell r="G4613" t="str">
            <v>ERSA Spare parts</v>
          </cell>
          <cell r="H4613" t="str">
            <v>EN018     UtilityEquipmentSpar</v>
          </cell>
          <cell r="I4613" t="str">
            <v>L003 Ankleshwar</v>
          </cell>
          <cell r="J4613" t="str">
            <v>99 Input/Byprodt/Scrap</v>
          </cell>
          <cell r="K4613" t="str">
            <v>10.2012</v>
          </cell>
          <cell r="L4613">
            <v>6</v>
          </cell>
          <cell r="M4613" t="str">
            <v>EA</v>
          </cell>
          <cell r="N4613">
            <v>3254.77</v>
          </cell>
          <cell r="O4613" t="str">
            <v>INR</v>
          </cell>
        </row>
        <row r="4614">
          <cell r="A4614" t="str">
            <v>L003 Ankleshwar</v>
          </cell>
          <cell r="B4614">
            <v>662544</v>
          </cell>
          <cell r="C4614" t="str">
            <v>O-RING INNER MULTISPRING SEAL: HS2020</v>
          </cell>
          <cell r="D4614" t="str">
            <v>L0030151                       EnggStore</v>
          </cell>
          <cell r="E4614" t="str">
            <v>E32 E32</v>
          </cell>
          <cell r="F4614" t="str">
            <v>VB Manual reorder point planning</v>
          </cell>
          <cell r="G4614" t="str">
            <v>ERSA Spare parts</v>
          </cell>
          <cell r="H4614" t="str">
            <v>EN018     UtilityEquipmentSpar</v>
          </cell>
          <cell r="I4614" t="str">
            <v>L003 Ankleshwar</v>
          </cell>
          <cell r="J4614" t="str">
            <v>99 Input/Byprodt/Scrap</v>
          </cell>
          <cell r="K4614" t="str">
            <v>10.2012</v>
          </cell>
          <cell r="L4614">
            <v>3</v>
          </cell>
          <cell r="M4614" t="str">
            <v>EA</v>
          </cell>
          <cell r="N4614">
            <v>338.52999999999901</v>
          </cell>
          <cell r="O4614" t="str">
            <v>INR</v>
          </cell>
        </row>
        <row r="4615">
          <cell r="A4615" t="str">
            <v>L003 Ankleshwar</v>
          </cell>
          <cell r="B4615">
            <v>662563</v>
          </cell>
          <cell r="C4615" t="str">
            <v>STAR WASHER-MB8</v>
          </cell>
          <cell r="D4615" t="str">
            <v>L0030151                       EnggStore</v>
          </cell>
          <cell r="E4615">
            <v>0</v>
          </cell>
          <cell r="F4615" t="str">
            <v>ND No planning</v>
          </cell>
          <cell r="G4615" t="str">
            <v>ERSA Spare parts</v>
          </cell>
          <cell r="H4615" t="str">
            <v>EN009     Bearings</v>
          </cell>
          <cell r="I4615" t="str">
            <v>L003 Ankleshwar</v>
          </cell>
          <cell r="J4615" t="str">
            <v>99 Input/Byprodt/Scrap</v>
          </cell>
          <cell r="K4615" t="str">
            <v>10.2012</v>
          </cell>
          <cell r="L4615">
            <v>2</v>
          </cell>
          <cell r="M4615" t="str">
            <v>EA</v>
          </cell>
          <cell r="N4615">
            <v>26.239999999999899</v>
          </cell>
          <cell r="O4615" t="str">
            <v>INR</v>
          </cell>
        </row>
        <row r="4616">
          <cell r="A4616" t="str">
            <v>L003 Ankleshwar</v>
          </cell>
          <cell r="B4616">
            <v>662596</v>
          </cell>
          <cell r="C4616" t="str">
            <v>RADIATOR FAN PULLEY FOR PATKAR VAC.PUMP</v>
          </cell>
          <cell r="D4616" t="str">
            <v>L0030151                       EnggStore</v>
          </cell>
          <cell r="E4616" t="str">
            <v>E34 E34</v>
          </cell>
          <cell r="F4616" t="str">
            <v>VB Manual reorder point planning</v>
          </cell>
          <cell r="G4616" t="str">
            <v>ERSA Spare parts</v>
          </cell>
          <cell r="H4616" t="str">
            <v>EN032     Pumpspares</v>
          </cell>
          <cell r="I4616" t="str">
            <v>L003 Ankleshwar</v>
          </cell>
          <cell r="J4616" t="str">
            <v>99 Input/Byprodt/Scrap</v>
          </cell>
          <cell r="K4616" t="str">
            <v>10.2012</v>
          </cell>
          <cell r="L4616">
            <v>2</v>
          </cell>
          <cell r="M4616" t="str">
            <v>EA</v>
          </cell>
          <cell r="N4616">
            <v>244.8</v>
          </cell>
          <cell r="O4616" t="str">
            <v>INR</v>
          </cell>
        </row>
        <row r="4617">
          <cell r="A4617" t="str">
            <v>L003 Ankleshwar</v>
          </cell>
          <cell r="B4617">
            <v>662648</v>
          </cell>
          <cell r="C4617" t="str">
            <v>PCB FOR 50MM FLOWMETER SANVIJ</v>
          </cell>
          <cell r="D4617" t="str">
            <v>L0030151                       EnggStore</v>
          </cell>
          <cell r="E4617">
            <v>0</v>
          </cell>
          <cell r="F4617" t="str">
            <v>ND No planning</v>
          </cell>
          <cell r="G4617" t="str">
            <v>ERSA Spare parts</v>
          </cell>
          <cell r="H4617" t="str">
            <v>EN017     InstrumentSpares</v>
          </cell>
          <cell r="I4617" t="str">
            <v>L003 Ankleshwar</v>
          </cell>
          <cell r="J4617" t="str">
            <v>99 Input/Byprodt/Scrap</v>
          </cell>
          <cell r="K4617" t="str">
            <v>10.2012</v>
          </cell>
          <cell r="L4617">
            <v>2</v>
          </cell>
          <cell r="M4617" t="str">
            <v>EA</v>
          </cell>
          <cell r="N4617">
            <v>5200</v>
          </cell>
          <cell r="O4617" t="str">
            <v>INR</v>
          </cell>
        </row>
        <row r="4618">
          <cell r="A4618" t="str">
            <v>L003 Ankleshwar</v>
          </cell>
          <cell r="B4618">
            <v>662650</v>
          </cell>
          <cell r="C4618" t="str">
            <v>SMPS PCB FOR NIPPON SCANNER</v>
          </cell>
          <cell r="D4618" t="str">
            <v>L0030151                       EnggStore</v>
          </cell>
          <cell r="E4618">
            <v>0</v>
          </cell>
          <cell r="F4618" t="str">
            <v>ND No planning</v>
          </cell>
          <cell r="G4618" t="str">
            <v>ERSA Spare parts</v>
          </cell>
          <cell r="H4618" t="str">
            <v>EN017     InstrumentSpares</v>
          </cell>
          <cell r="I4618" t="str">
            <v>L003 Ankleshwar</v>
          </cell>
          <cell r="J4618" t="str">
            <v>99 Input/Byprodt/Scrap</v>
          </cell>
          <cell r="K4618" t="str">
            <v>10.2012</v>
          </cell>
          <cell r="L4618">
            <v>1</v>
          </cell>
          <cell r="M4618" t="str">
            <v>EA</v>
          </cell>
          <cell r="N4618">
            <v>765</v>
          </cell>
          <cell r="O4618" t="str">
            <v>INR</v>
          </cell>
        </row>
        <row r="4619">
          <cell r="A4619" t="str">
            <v>L003 Ankleshwar</v>
          </cell>
          <cell r="B4619">
            <v>662658</v>
          </cell>
          <cell r="C4619" t="str">
            <v>RADIATOR FOR PATKAR OTL 175 VAC.PUMP</v>
          </cell>
          <cell r="D4619" t="str">
            <v>L0030151                       EnggStore</v>
          </cell>
          <cell r="E4619" t="str">
            <v>E34 E34</v>
          </cell>
          <cell r="F4619" t="str">
            <v>VB Manual reorder point planning</v>
          </cell>
          <cell r="G4619" t="str">
            <v>ERSA Spare parts</v>
          </cell>
          <cell r="H4619" t="str">
            <v>EN032     Pumpspares</v>
          </cell>
          <cell r="I4619" t="str">
            <v>L003 Ankleshwar</v>
          </cell>
          <cell r="J4619" t="str">
            <v>99 Input/Byprodt/Scrap</v>
          </cell>
          <cell r="K4619" t="str">
            <v>10.2012</v>
          </cell>
          <cell r="L4619">
            <v>2</v>
          </cell>
          <cell r="M4619" t="str">
            <v>EA</v>
          </cell>
          <cell r="N4619">
            <v>10015.76</v>
          </cell>
          <cell r="O4619" t="str">
            <v>INR</v>
          </cell>
        </row>
        <row r="4620">
          <cell r="A4620" t="str">
            <v>L003 Ankleshwar</v>
          </cell>
          <cell r="B4620">
            <v>662697</v>
          </cell>
          <cell r="C4620" t="str">
            <v>CONDENSER COIL: 610LX500HX50TX2R-1.5TR</v>
          </cell>
          <cell r="D4620" t="str">
            <v>L0030151                       EnggStore</v>
          </cell>
          <cell r="E4620">
            <v>0</v>
          </cell>
          <cell r="F4620" t="str">
            <v>ND No planning</v>
          </cell>
          <cell r="G4620" t="str">
            <v>ERSA Spare parts</v>
          </cell>
          <cell r="H4620" t="str">
            <v>EN037     Refrigeration&amp;A/Cspa</v>
          </cell>
          <cell r="I4620" t="str">
            <v>L003 Ankleshwar</v>
          </cell>
          <cell r="J4620" t="str">
            <v>99 Input/Byprodt/Scrap</v>
          </cell>
          <cell r="K4620" t="str">
            <v>10.2012</v>
          </cell>
          <cell r="L4620">
            <v>3</v>
          </cell>
          <cell r="M4620" t="str">
            <v>EA</v>
          </cell>
          <cell r="N4620">
            <v>9300</v>
          </cell>
          <cell r="O4620" t="str">
            <v>INR</v>
          </cell>
        </row>
        <row r="4621">
          <cell r="A4621" t="str">
            <v>L003 Ankleshwar</v>
          </cell>
          <cell r="B4621">
            <v>662725</v>
          </cell>
          <cell r="C4621" t="str">
            <v>CS PIPE SEAMLESS SCH-40 SIZE- 25MM</v>
          </cell>
          <cell r="D4621" t="str">
            <v>L0030201                       Cons StoreKP</v>
          </cell>
          <cell r="E4621">
            <v>0</v>
          </cell>
          <cell r="F4621" t="str">
            <v>ND No planning</v>
          </cell>
          <cell r="G4621" t="str">
            <v>ERSA Spare parts</v>
          </cell>
          <cell r="H4621" t="str">
            <v>EN028     Pipes&amp;pipefittings</v>
          </cell>
          <cell r="I4621" t="str">
            <v>L003 Ankleshwar</v>
          </cell>
          <cell r="J4621" t="str">
            <v>99 Input/Byprodt/Scrap</v>
          </cell>
          <cell r="K4621" t="str">
            <v>10.2012</v>
          </cell>
          <cell r="L4621">
            <v>24.67</v>
          </cell>
          <cell r="M4621" t="str">
            <v>M</v>
          </cell>
          <cell r="N4621">
            <v>4980.8199999999897</v>
          </cell>
          <cell r="O4621" t="str">
            <v>INR</v>
          </cell>
        </row>
        <row r="4622">
          <cell r="A4622" t="str">
            <v>L003 Ankleshwar</v>
          </cell>
          <cell r="B4622">
            <v>662788</v>
          </cell>
          <cell r="C4622" t="str">
            <v>ELEMENT-LUB OIL FILTER: PNO: 3166554</v>
          </cell>
          <cell r="D4622" t="str">
            <v>L0030151                       EnggStore</v>
          </cell>
          <cell r="E4622">
            <v>0</v>
          </cell>
          <cell r="F4622" t="str">
            <v>ND No planning</v>
          </cell>
          <cell r="G4622" t="str">
            <v>ERSA Spare parts</v>
          </cell>
          <cell r="H4622" t="str">
            <v>EN029     Powerplantitems</v>
          </cell>
          <cell r="I4622" t="str">
            <v>L003 Ankleshwar</v>
          </cell>
          <cell r="J4622" t="str">
            <v>99 Input/Byprodt/Scrap</v>
          </cell>
          <cell r="K4622" t="str">
            <v>10.2012</v>
          </cell>
          <cell r="L4622">
            <v>8</v>
          </cell>
          <cell r="M4622" t="str">
            <v>EA</v>
          </cell>
          <cell r="N4622">
            <v>2660.96</v>
          </cell>
          <cell r="O4622" t="str">
            <v>INR</v>
          </cell>
        </row>
        <row r="4623">
          <cell r="A4623" t="str">
            <v>L003 Ankleshwar</v>
          </cell>
          <cell r="B4623">
            <v>662877</v>
          </cell>
          <cell r="C4623" t="str">
            <v>ELEMENT F. F. &amp; O-RING: PNO: 3238493</v>
          </cell>
          <cell r="D4623" t="str">
            <v>L0030151                       EnggStore</v>
          </cell>
          <cell r="E4623">
            <v>0</v>
          </cell>
          <cell r="F4623" t="str">
            <v>ND No planning</v>
          </cell>
          <cell r="G4623" t="str">
            <v>ERSA Spare parts</v>
          </cell>
          <cell r="H4623" t="str">
            <v>EN029     Powerplantitems</v>
          </cell>
          <cell r="I4623" t="str">
            <v>L003 Ankleshwar</v>
          </cell>
          <cell r="J4623" t="str">
            <v>99 Input/Byprodt/Scrap</v>
          </cell>
          <cell r="K4623" t="str">
            <v>10.2012</v>
          </cell>
          <cell r="L4623">
            <v>4</v>
          </cell>
          <cell r="M4623" t="str">
            <v>EA</v>
          </cell>
          <cell r="N4623">
            <v>2069.75</v>
          </cell>
          <cell r="O4623" t="str">
            <v>INR</v>
          </cell>
        </row>
        <row r="4624">
          <cell r="A4624" t="str">
            <v>L003 Ankleshwar</v>
          </cell>
          <cell r="B4624">
            <v>662938</v>
          </cell>
          <cell r="C4624" t="str">
            <v>CYCLIC TIMER 800C: 230V SELECTRON</v>
          </cell>
          <cell r="D4624" t="str">
            <v>L0030151                       EnggStore</v>
          </cell>
          <cell r="E4624">
            <v>0</v>
          </cell>
          <cell r="F4624" t="str">
            <v>ND No planning</v>
          </cell>
          <cell r="G4624" t="str">
            <v>ERSA Spare parts</v>
          </cell>
          <cell r="H4624" t="str">
            <v>EN029     Powerplantitems</v>
          </cell>
          <cell r="I4624" t="str">
            <v>L003 Ankleshwar</v>
          </cell>
          <cell r="J4624" t="str">
            <v>99 Input/Byprodt/Scrap</v>
          </cell>
          <cell r="K4624" t="str">
            <v>10.2012</v>
          </cell>
          <cell r="L4624">
            <v>1</v>
          </cell>
          <cell r="M4624" t="str">
            <v>EA</v>
          </cell>
          <cell r="N4624">
            <v>922.25</v>
          </cell>
          <cell r="O4624" t="str">
            <v>INR</v>
          </cell>
        </row>
        <row r="4625">
          <cell r="A4625" t="str">
            <v>L003 Ankleshwar</v>
          </cell>
          <cell r="B4625">
            <v>663001</v>
          </cell>
          <cell r="C4625" t="str">
            <v>BIMETAL O/L RELAY: 3UA5800-2YZ1: 70-95A</v>
          </cell>
          <cell r="D4625" t="str">
            <v>L0030151                       EnggStore</v>
          </cell>
          <cell r="E4625">
            <v>0</v>
          </cell>
          <cell r="F4625" t="str">
            <v>ND No planning</v>
          </cell>
          <cell r="G4625" t="str">
            <v>ERSA Spare parts</v>
          </cell>
          <cell r="H4625" t="str">
            <v>EN006     Elec Switchgear</v>
          </cell>
          <cell r="I4625" t="str">
            <v>L003 Ankleshwar</v>
          </cell>
          <cell r="J4625" t="str">
            <v>99 Input/Byprodt/Scrap</v>
          </cell>
          <cell r="K4625" t="str">
            <v>10.2012</v>
          </cell>
          <cell r="L4625">
            <v>2</v>
          </cell>
          <cell r="M4625" t="str">
            <v>EA</v>
          </cell>
          <cell r="N4625">
            <v>3945.32</v>
          </cell>
          <cell r="O4625" t="str">
            <v>INR</v>
          </cell>
        </row>
        <row r="4626">
          <cell r="A4626" t="str">
            <v>L003 Ankleshwar</v>
          </cell>
          <cell r="B4626">
            <v>663002</v>
          </cell>
          <cell r="C4626" t="str">
            <v>BIMETAL O/L RELAY: 3UA5830-5D: 95-120A</v>
          </cell>
          <cell r="D4626" t="str">
            <v>L0030151                       EnggStore</v>
          </cell>
          <cell r="E4626" t="str">
            <v>E36 E36</v>
          </cell>
          <cell r="F4626" t="str">
            <v>VB Manual reorder point planning</v>
          </cell>
          <cell r="G4626" t="str">
            <v>ERSA Spare parts</v>
          </cell>
          <cell r="H4626" t="str">
            <v>EN006     Elec Switchgear</v>
          </cell>
          <cell r="I4626" t="str">
            <v>L003 Ankleshwar</v>
          </cell>
          <cell r="J4626" t="str">
            <v>99 Input/Byprodt/Scrap</v>
          </cell>
          <cell r="K4626" t="str">
            <v>10.2012</v>
          </cell>
          <cell r="L4626">
            <v>2</v>
          </cell>
          <cell r="M4626" t="str">
            <v>EA</v>
          </cell>
          <cell r="N4626">
            <v>4491.8199999999897</v>
          </cell>
          <cell r="O4626" t="str">
            <v>INR</v>
          </cell>
        </row>
        <row r="4627">
          <cell r="A4627" t="str">
            <v>L003 Ankleshwar</v>
          </cell>
          <cell r="B4627">
            <v>663003</v>
          </cell>
          <cell r="C4627" t="str">
            <v>BIMETAL O/L RELAY: 3UA6230-5B: 115-180A</v>
          </cell>
          <cell r="D4627" t="str">
            <v>L0030151                       EnggStore</v>
          </cell>
          <cell r="E4627">
            <v>0</v>
          </cell>
          <cell r="F4627" t="str">
            <v>ND No planning</v>
          </cell>
          <cell r="G4627" t="str">
            <v>ERSA Spare parts</v>
          </cell>
          <cell r="H4627" t="str">
            <v>EN006     Elec Switchgear</v>
          </cell>
          <cell r="I4627" t="str">
            <v>L003 Ankleshwar</v>
          </cell>
          <cell r="J4627" t="str">
            <v>99 Input/Byprodt/Scrap</v>
          </cell>
          <cell r="K4627" t="str">
            <v>10.2012</v>
          </cell>
          <cell r="L4627">
            <v>1</v>
          </cell>
          <cell r="M4627" t="str">
            <v>EA</v>
          </cell>
          <cell r="N4627">
            <v>2891.36</v>
          </cell>
          <cell r="O4627" t="str">
            <v>INR</v>
          </cell>
        </row>
        <row r="4628">
          <cell r="A4628" t="str">
            <v>L003 Ankleshwar</v>
          </cell>
          <cell r="B4628">
            <v>663057</v>
          </cell>
          <cell r="C4628" t="str">
            <v>MS-PTFE LINING PIPE PIECE: 3"X150MM</v>
          </cell>
          <cell r="D4628" t="str">
            <v>L0030151                       EnggStore</v>
          </cell>
          <cell r="E4628">
            <v>0</v>
          </cell>
          <cell r="F4628" t="str">
            <v>ND No planning</v>
          </cell>
          <cell r="G4628" t="str">
            <v>ERSA Spare parts</v>
          </cell>
          <cell r="H4628" t="str">
            <v>EN028     Pipes&amp;pipefittings</v>
          </cell>
          <cell r="I4628" t="str">
            <v>L003 Ankleshwar</v>
          </cell>
          <cell r="J4628" t="str">
            <v>99 Input/Byprodt/Scrap</v>
          </cell>
          <cell r="K4628" t="str">
            <v>10.2012</v>
          </cell>
          <cell r="L4628">
            <v>1</v>
          </cell>
          <cell r="M4628" t="str">
            <v>EA</v>
          </cell>
          <cell r="N4628">
            <v>1341.5999999999899</v>
          </cell>
          <cell r="O4628" t="str">
            <v>INR</v>
          </cell>
        </row>
        <row r="4629">
          <cell r="A4629" t="str">
            <v>L003 Ankleshwar</v>
          </cell>
          <cell r="B4629">
            <v>663062</v>
          </cell>
          <cell r="C4629" t="str">
            <v>MS-PTFE LINING PIPE PIECE: 2"X150MM</v>
          </cell>
          <cell r="D4629" t="str">
            <v>L0030151                       EnggStore</v>
          </cell>
          <cell r="E4629">
            <v>0</v>
          </cell>
          <cell r="F4629" t="str">
            <v>ND No planning</v>
          </cell>
          <cell r="G4629" t="str">
            <v>ERSA Spare parts</v>
          </cell>
          <cell r="H4629" t="str">
            <v>EN028     Pipes&amp;pipefittings</v>
          </cell>
          <cell r="I4629" t="str">
            <v>L003 Ankleshwar</v>
          </cell>
          <cell r="J4629" t="str">
            <v>99 Input/Byprodt/Scrap</v>
          </cell>
          <cell r="K4629" t="str">
            <v>10.2012</v>
          </cell>
          <cell r="L4629">
            <v>2</v>
          </cell>
          <cell r="M4629" t="str">
            <v>EA</v>
          </cell>
          <cell r="N4629">
            <v>1963.3</v>
          </cell>
          <cell r="O4629" t="str">
            <v>INR</v>
          </cell>
        </row>
        <row r="4630">
          <cell r="A4630" t="str">
            <v>L003 Ankleshwar</v>
          </cell>
          <cell r="B4630">
            <v>663108</v>
          </cell>
          <cell r="C4630" t="str">
            <v>BEARING: 6318 /C3</v>
          </cell>
          <cell r="D4630" t="str">
            <v>L0030151                       EnggStore</v>
          </cell>
          <cell r="E4630" t="str">
            <v>E31 E31</v>
          </cell>
          <cell r="F4630" t="str">
            <v>VB Manual reorder point planning</v>
          </cell>
          <cell r="G4630" t="str">
            <v>ERSA Spare parts</v>
          </cell>
          <cell r="H4630" t="str">
            <v>EN009     Bearings</v>
          </cell>
          <cell r="I4630" t="str">
            <v>L003 Ankleshwar</v>
          </cell>
          <cell r="J4630" t="str">
            <v>99 Input/Byprodt/Scrap</v>
          </cell>
          <cell r="K4630" t="str">
            <v>10.2012</v>
          </cell>
          <cell r="L4630">
            <v>1</v>
          </cell>
          <cell r="M4630" t="str">
            <v>EA</v>
          </cell>
          <cell r="N4630">
            <v>6222.5</v>
          </cell>
          <cell r="O4630" t="str">
            <v>INR</v>
          </cell>
        </row>
        <row r="4631">
          <cell r="A4631" t="str">
            <v>L003 Ankleshwar</v>
          </cell>
          <cell r="B4631">
            <v>663158</v>
          </cell>
          <cell r="C4631" t="str">
            <v>BALL BEARING : 6310 /C3</v>
          </cell>
          <cell r="D4631" t="str">
            <v>L0030151                       EnggStore</v>
          </cell>
          <cell r="E4631" t="str">
            <v>E34 E34</v>
          </cell>
          <cell r="F4631" t="str">
            <v>VB Manual reorder point planning</v>
          </cell>
          <cell r="G4631" t="str">
            <v>ERSA Spare parts</v>
          </cell>
          <cell r="H4631" t="str">
            <v>EN009     Bearings</v>
          </cell>
          <cell r="I4631" t="str">
            <v>L003 Ankleshwar</v>
          </cell>
          <cell r="J4631" t="str">
            <v>99 Input/Byprodt/Scrap</v>
          </cell>
          <cell r="K4631" t="str">
            <v>10.2012</v>
          </cell>
          <cell r="L4631">
            <v>5</v>
          </cell>
          <cell r="M4631" t="str">
            <v>EA</v>
          </cell>
          <cell r="N4631">
            <v>2936.8</v>
          </cell>
          <cell r="O4631" t="str">
            <v>INR</v>
          </cell>
        </row>
        <row r="4632">
          <cell r="A4632" t="str">
            <v>L003 Ankleshwar</v>
          </cell>
          <cell r="B4632">
            <v>663164</v>
          </cell>
          <cell r="C4632" t="str">
            <v>AIR FILTER PNO: 12189925</v>
          </cell>
          <cell r="D4632" t="str">
            <v>L0030151                       EnggStore</v>
          </cell>
          <cell r="E4632">
            <v>0</v>
          </cell>
          <cell r="F4632" t="str">
            <v>ND No planning</v>
          </cell>
          <cell r="G4632" t="str">
            <v>ERSA Spare parts</v>
          </cell>
          <cell r="H4632" t="str">
            <v>EN029     Powerplantitems</v>
          </cell>
          <cell r="I4632" t="str">
            <v>L003 Ankleshwar</v>
          </cell>
          <cell r="J4632" t="str">
            <v>99 Input/Byprodt/Scrap</v>
          </cell>
          <cell r="K4632" t="str">
            <v>10.2012</v>
          </cell>
          <cell r="L4632">
            <v>7</v>
          </cell>
          <cell r="M4632" t="str">
            <v>EA</v>
          </cell>
          <cell r="N4632">
            <v>136363.829999999</v>
          </cell>
          <cell r="O4632" t="str">
            <v>INR</v>
          </cell>
        </row>
        <row r="4633">
          <cell r="A4633" t="str">
            <v>L003 Ankleshwar</v>
          </cell>
          <cell r="B4633">
            <v>663165</v>
          </cell>
          <cell r="C4633" t="str">
            <v>TAPPET COVER GASKET-HEAD PNO: 12032892</v>
          </cell>
          <cell r="D4633" t="str">
            <v>L0030151                       EnggStore</v>
          </cell>
          <cell r="E4633">
            <v>0</v>
          </cell>
          <cell r="F4633" t="str">
            <v>ND No planning</v>
          </cell>
          <cell r="G4633" t="str">
            <v>ERSA Spare parts</v>
          </cell>
          <cell r="H4633" t="str">
            <v>EN029     Powerplantitems</v>
          </cell>
          <cell r="I4633" t="str">
            <v>L003 Ankleshwar</v>
          </cell>
          <cell r="J4633" t="str">
            <v>99 Input/Byprodt/Scrap</v>
          </cell>
          <cell r="K4633" t="str">
            <v>10.2012</v>
          </cell>
          <cell r="L4633">
            <v>142</v>
          </cell>
          <cell r="M4633" t="str">
            <v>EA</v>
          </cell>
          <cell r="N4633">
            <v>270201.16999999899</v>
          </cell>
          <cell r="O4633" t="str">
            <v>INR</v>
          </cell>
        </row>
        <row r="4634">
          <cell r="A4634" t="str">
            <v>L003 Ankleshwar</v>
          </cell>
          <cell r="B4634">
            <v>663166</v>
          </cell>
          <cell r="C4634" t="str">
            <v>LUBE OIL FILTER PNO: 12128936</v>
          </cell>
          <cell r="D4634" t="str">
            <v>L0030151                       EnggStore</v>
          </cell>
          <cell r="E4634">
            <v>0</v>
          </cell>
          <cell r="F4634" t="str">
            <v>ND No planning</v>
          </cell>
          <cell r="G4634" t="str">
            <v>ERSA Spare parts</v>
          </cell>
          <cell r="H4634" t="str">
            <v>EN029     Powerplantitems</v>
          </cell>
          <cell r="I4634" t="str">
            <v>L003 Ankleshwar</v>
          </cell>
          <cell r="J4634" t="str">
            <v>99 Input/Byprodt/Scrap</v>
          </cell>
          <cell r="K4634" t="str">
            <v>10.2012</v>
          </cell>
          <cell r="L4634">
            <v>16</v>
          </cell>
          <cell r="M4634" t="str">
            <v>EA</v>
          </cell>
          <cell r="N4634">
            <v>152719.899999999</v>
          </cell>
          <cell r="O4634" t="str">
            <v>INR</v>
          </cell>
        </row>
        <row r="4635">
          <cell r="A4635" t="str">
            <v>L003 Ankleshwar</v>
          </cell>
          <cell r="B4635">
            <v>663167</v>
          </cell>
          <cell r="C4635" t="str">
            <v>SPIN ON FILTER-LO PNO: 12153175</v>
          </cell>
          <cell r="D4635" t="str">
            <v>L0030151                       EnggStore</v>
          </cell>
          <cell r="E4635">
            <v>0</v>
          </cell>
          <cell r="F4635" t="str">
            <v>ND No planning</v>
          </cell>
          <cell r="G4635" t="str">
            <v>ERSA Spare parts</v>
          </cell>
          <cell r="H4635" t="str">
            <v>EN029     Powerplantitems</v>
          </cell>
          <cell r="I4635" t="str">
            <v>L003 Ankleshwar</v>
          </cell>
          <cell r="J4635" t="str">
            <v>99 Input/Byprodt/Scrap</v>
          </cell>
          <cell r="K4635" t="str">
            <v>10.2012</v>
          </cell>
          <cell r="L4635">
            <v>3</v>
          </cell>
          <cell r="M4635" t="str">
            <v>EA</v>
          </cell>
          <cell r="N4635">
            <v>2777.73</v>
          </cell>
          <cell r="O4635" t="str">
            <v>INR</v>
          </cell>
        </row>
        <row r="4636">
          <cell r="A4636" t="str">
            <v>L003 Ankleshwar</v>
          </cell>
          <cell r="B4636">
            <v>663168</v>
          </cell>
          <cell r="C4636" t="str">
            <v>O-SEAL-HEAD COVER PNO: 01180993</v>
          </cell>
          <cell r="D4636" t="str">
            <v>L0030151                       EnggStore</v>
          </cell>
          <cell r="E4636">
            <v>0</v>
          </cell>
          <cell r="F4636" t="str">
            <v>ND No planning</v>
          </cell>
          <cell r="G4636" t="str">
            <v>ERSA Spare parts</v>
          </cell>
          <cell r="H4636" t="str">
            <v>EN029     Powerplantitems</v>
          </cell>
          <cell r="I4636" t="str">
            <v>L003 Ankleshwar</v>
          </cell>
          <cell r="J4636" t="str">
            <v>99 Input/Byprodt/Scrap</v>
          </cell>
          <cell r="K4636" t="str">
            <v>10.2012</v>
          </cell>
          <cell r="L4636">
            <v>124</v>
          </cell>
          <cell r="M4636" t="str">
            <v>EA</v>
          </cell>
          <cell r="N4636">
            <v>161840.1</v>
          </cell>
          <cell r="O4636" t="str">
            <v>INR</v>
          </cell>
        </row>
        <row r="4637">
          <cell r="A4637" t="str">
            <v>L003 Ankleshwar</v>
          </cell>
          <cell r="B4637">
            <v>663169</v>
          </cell>
          <cell r="C4637" t="str">
            <v>SPARK PLUG-IGNITION PNO: 12420290</v>
          </cell>
          <cell r="D4637" t="str">
            <v>L0030151                       EnggStore</v>
          </cell>
          <cell r="E4637">
            <v>0</v>
          </cell>
          <cell r="F4637" t="str">
            <v>ND No planning</v>
          </cell>
          <cell r="G4637" t="str">
            <v>ERSA Spare parts</v>
          </cell>
          <cell r="H4637" t="str">
            <v>EN029     Powerplantitems</v>
          </cell>
          <cell r="I4637" t="str">
            <v>L003 Ankleshwar</v>
          </cell>
          <cell r="J4637" t="str">
            <v>99 Input/Byprodt/Scrap</v>
          </cell>
          <cell r="K4637" t="str">
            <v>10.2012</v>
          </cell>
          <cell r="L4637">
            <v>43</v>
          </cell>
          <cell r="M4637" t="str">
            <v>EA</v>
          </cell>
          <cell r="N4637">
            <v>392009.549999999</v>
          </cell>
          <cell r="O4637" t="str">
            <v>INR</v>
          </cell>
        </row>
        <row r="4638">
          <cell r="A4638" t="str">
            <v>L003 Ankleshwar</v>
          </cell>
          <cell r="B4638">
            <v>663183</v>
          </cell>
          <cell r="C4638" t="str">
            <v>V-BELT: B-44</v>
          </cell>
          <cell r="D4638" t="str">
            <v>L0030151                       EnggStore</v>
          </cell>
          <cell r="E4638" t="str">
            <v>E35 E35</v>
          </cell>
          <cell r="F4638" t="str">
            <v>VB Manual reorder point planning</v>
          </cell>
          <cell r="G4638" t="str">
            <v>ERSA Spare parts</v>
          </cell>
          <cell r="H4638" t="str">
            <v>EN021     VbeltCoupling&amp;Pulley</v>
          </cell>
          <cell r="I4638" t="str">
            <v>L003 Ankleshwar</v>
          </cell>
          <cell r="J4638" t="str">
            <v>99 Input/Byprodt/Scrap</v>
          </cell>
          <cell r="K4638" t="str">
            <v>10.2012</v>
          </cell>
          <cell r="L4638">
            <v>2</v>
          </cell>
          <cell r="M4638" t="str">
            <v>EA</v>
          </cell>
          <cell r="N4638">
            <v>250.43</v>
          </cell>
          <cell r="O4638" t="str">
            <v>INR</v>
          </cell>
        </row>
        <row r="4639">
          <cell r="A4639" t="str">
            <v>L003 Ankleshwar</v>
          </cell>
          <cell r="B4639">
            <v>663184</v>
          </cell>
          <cell r="C4639" t="str">
            <v>METTALIC PEDESTAL BEARING: SKF-SY506M</v>
          </cell>
          <cell r="D4639" t="str">
            <v>L0030151                       EnggStore</v>
          </cell>
          <cell r="E4639">
            <v>0</v>
          </cell>
          <cell r="F4639" t="str">
            <v>ND No planning</v>
          </cell>
          <cell r="G4639" t="str">
            <v>ERSA Spare parts</v>
          </cell>
          <cell r="H4639" t="str">
            <v>EN009     Bearings</v>
          </cell>
          <cell r="I4639" t="str">
            <v>L003 Ankleshwar</v>
          </cell>
          <cell r="J4639" t="str">
            <v>99 Input/Byprodt/Scrap</v>
          </cell>
          <cell r="K4639" t="str">
            <v>10.2012</v>
          </cell>
          <cell r="L4639">
            <v>6</v>
          </cell>
          <cell r="M4639" t="str">
            <v>EA</v>
          </cell>
          <cell r="N4639">
            <v>3547.32</v>
          </cell>
          <cell r="O4639" t="str">
            <v>INR</v>
          </cell>
        </row>
        <row r="4640">
          <cell r="A4640" t="str">
            <v>L003 Ankleshwar</v>
          </cell>
          <cell r="B4640">
            <v>663185</v>
          </cell>
          <cell r="C4640" t="str">
            <v>DOUBLE END FIXED SPANNER,MM SE SZ-16-17</v>
          </cell>
          <cell r="D4640" t="str">
            <v>L0030151                       EnggStore</v>
          </cell>
          <cell r="E4640">
            <v>0</v>
          </cell>
          <cell r="F4640" t="str">
            <v>ND No planning</v>
          </cell>
          <cell r="G4640" t="str">
            <v>ERSA Spare parts</v>
          </cell>
          <cell r="H4640" t="str">
            <v>EN036     Tools&amp;tackles</v>
          </cell>
          <cell r="I4640" t="str">
            <v>L003 Ankleshwar</v>
          </cell>
          <cell r="J4640" t="str">
            <v>99 Input/Byprodt/Scrap</v>
          </cell>
          <cell r="K4640" t="str">
            <v>10.2012</v>
          </cell>
          <cell r="L4640">
            <v>1</v>
          </cell>
          <cell r="M4640" t="str">
            <v>EA</v>
          </cell>
          <cell r="N4640">
            <v>25.12</v>
          </cell>
          <cell r="O4640" t="str">
            <v>INR</v>
          </cell>
        </row>
        <row r="4641">
          <cell r="A4641" t="str">
            <v>L003 Ankleshwar</v>
          </cell>
          <cell r="B4641">
            <v>663192</v>
          </cell>
          <cell r="C4641" t="str">
            <v>LOAD CELL CAP: 250KG</v>
          </cell>
          <cell r="D4641" t="str">
            <v>L0030151                       EnggStore</v>
          </cell>
          <cell r="E4641" t="str">
            <v>E36 E36</v>
          </cell>
          <cell r="F4641" t="str">
            <v>VB Manual reorder point planning</v>
          </cell>
          <cell r="G4641" t="str">
            <v>ERSA Spare parts</v>
          </cell>
          <cell r="H4641" t="str">
            <v>EN017     InstrumentSpares</v>
          </cell>
          <cell r="I4641" t="str">
            <v>L003 Ankleshwar</v>
          </cell>
          <cell r="J4641" t="str">
            <v>99 Input/Byprodt/Scrap</v>
          </cell>
          <cell r="K4641" t="str">
            <v>10.2012</v>
          </cell>
          <cell r="L4641">
            <v>1</v>
          </cell>
          <cell r="M4641" t="str">
            <v>EA</v>
          </cell>
          <cell r="N4641">
            <v>11449</v>
          </cell>
          <cell r="O4641" t="str">
            <v>INR</v>
          </cell>
        </row>
        <row r="4642">
          <cell r="A4642" t="str">
            <v>L003 Ankleshwar</v>
          </cell>
          <cell r="B4642">
            <v>663211</v>
          </cell>
          <cell r="C4642" t="str">
            <v>SS 316 STUFFING BOX</v>
          </cell>
          <cell r="D4642" t="str">
            <v>L0030151                       EnggStore</v>
          </cell>
          <cell r="E4642" t="str">
            <v>E01 E01</v>
          </cell>
          <cell r="F4642" t="str">
            <v>ND No planning</v>
          </cell>
          <cell r="G4642" t="str">
            <v>ERSA Spare parts</v>
          </cell>
          <cell r="H4642" t="str">
            <v>EN032     Pumpspares</v>
          </cell>
          <cell r="I4642" t="str">
            <v>L003 Ankleshwar</v>
          </cell>
          <cell r="J4642" t="str">
            <v>99 Input/Byprodt/Scrap</v>
          </cell>
          <cell r="K4642" t="str">
            <v>10.2012</v>
          </cell>
          <cell r="L4642">
            <v>1</v>
          </cell>
          <cell r="M4642" t="str">
            <v>EA</v>
          </cell>
          <cell r="N4642">
            <v>10055.93</v>
          </cell>
          <cell r="O4642" t="str">
            <v>INR</v>
          </cell>
        </row>
        <row r="4643">
          <cell r="A4643" t="str">
            <v>L003 Ankleshwar</v>
          </cell>
          <cell r="B4643">
            <v>663214</v>
          </cell>
          <cell r="C4643" t="str">
            <v>O-SEAL-CW PNO: 01180772</v>
          </cell>
          <cell r="D4643" t="str">
            <v>L0030151                       EnggStore</v>
          </cell>
          <cell r="E4643">
            <v>0</v>
          </cell>
          <cell r="F4643" t="str">
            <v>ND No planning</v>
          </cell>
          <cell r="G4643" t="str">
            <v>ERSA Spare parts</v>
          </cell>
          <cell r="H4643" t="str">
            <v>EN029     Powerplantitems</v>
          </cell>
          <cell r="I4643" t="str">
            <v>L003 Ankleshwar</v>
          </cell>
          <cell r="J4643" t="str">
            <v>99 Input/Byprodt/Scrap</v>
          </cell>
          <cell r="K4643" t="str">
            <v>10.2012</v>
          </cell>
          <cell r="L4643">
            <v>1</v>
          </cell>
          <cell r="M4643" t="str">
            <v>EA</v>
          </cell>
          <cell r="N4643">
            <v>1375.91</v>
          </cell>
          <cell r="O4643" t="str">
            <v>INR</v>
          </cell>
        </row>
        <row r="4644">
          <cell r="A4644" t="str">
            <v>L003 Ankleshwar</v>
          </cell>
          <cell r="B4644">
            <v>663216</v>
          </cell>
          <cell r="C4644" t="str">
            <v>O-SEAL-CW PNO: 06214769</v>
          </cell>
          <cell r="D4644" t="str">
            <v>L0030151                       EnggStore</v>
          </cell>
          <cell r="E4644">
            <v>0</v>
          </cell>
          <cell r="F4644" t="str">
            <v>ND No planning</v>
          </cell>
          <cell r="G4644" t="str">
            <v>ERSA Spare parts</v>
          </cell>
          <cell r="H4644" t="str">
            <v>EN029     Powerplantitems</v>
          </cell>
          <cell r="I4644" t="str">
            <v>L003 Ankleshwar</v>
          </cell>
          <cell r="J4644" t="str">
            <v>99 Input/Byprodt/Scrap</v>
          </cell>
          <cell r="K4644" t="str">
            <v>10.2012</v>
          </cell>
          <cell r="L4644">
            <v>2</v>
          </cell>
          <cell r="M4644" t="str">
            <v>EA</v>
          </cell>
          <cell r="N4644">
            <v>684.65999999999894</v>
          </cell>
          <cell r="O4644" t="str">
            <v>INR</v>
          </cell>
        </row>
        <row r="4645">
          <cell r="A4645" t="str">
            <v>L003 Ankleshwar</v>
          </cell>
          <cell r="B4645">
            <v>663217</v>
          </cell>
          <cell r="C4645" t="str">
            <v>GASKET-CW PNO: 01151302</v>
          </cell>
          <cell r="D4645" t="str">
            <v>L0030151                       EnggStore</v>
          </cell>
          <cell r="E4645">
            <v>0</v>
          </cell>
          <cell r="F4645" t="str">
            <v>ND No planning</v>
          </cell>
          <cell r="G4645" t="str">
            <v>ERSA Spare parts</v>
          </cell>
          <cell r="H4645" t="str">
            <v>EN029     Powerplantitems</v>
          </cell>
          <cell r="I4645" t="str">
            <v>L003 Ankleshwar</v>
          </cell>
          <cell r="J4645" t="str">
            <v>99 Input/Byprodt/Scrap</v>
          </cell>
          <cell r="K4645" t="str">
            <v>10.2012</v>
          </cell>
          <cell r="L4645">
            <v>2</v>
          </cell>
          <cell r="M4645" t="str">
            <v>EA</v>
          </cell>
          <cell r="N4645">
            <v>1156.1199999999899</v>
          </cell>
          <cell r="O4645" t="str">
            <v>INR</v>
          </cell>
        </row>
        <row r="4646">
          <cell r="A4646" t="str">
            <v>L003 Ankleshwar</v>
          </cell>
          <cell r="B4646">
            <v>663218</v>
          </cell>
          <cell r="C4646" t="str">
            <v>O-SEAL-CW PNO: 01163400</v>
          </cell>
          <cell r="D4646" t="str">
            <v>L0030151                       EnggStore</v>
          </cell>
          <cell r="E4646">
            <v>0</v>
          </cell>
          <cell r="F4646" t="str">
            <v>ND No planning</v>
          </cell>
          <cell r="G4646" t="str">
            <v>ERSA Spare parts</v>
          </cell>
          <cell r="H4646" t="str">
            <v>EN029     Powerplantitems</v>
          </cell>
          <cell r="I4646" t="str">
            <v>L003 Ankleshwar</v>
          </cell>
          <cell r="J4646" t="str">
            <v>99 Input/Byprodt/Scrap</v>
          </cell>
          <cell r="K4646" t="str">
            <v>10.2012</v>
          </cell>
          <cell r="L4646">
            <v>4</v>
          </cell>
          <cell r="M4646" t="str">
            <v>EA</v>
          </cell>
          <cell r="N4646">
            <v>3785.67</v>
          </cell>
          <cell r="O4646" t="str">
            <v>INR</v>
          </cell>
        </row>
        <row r="4647">
          <cell r="A4647" t="str">
            <v>L003 Ankleshwar</v>
          </cell>
          <cell r="B4647">
            <v>663222</v>
          </cell>
          <cell r="C4647" t="str">
            <v>GASKET-CRANK CASE COVER PNO: 12302184</v>
          </cell>
          <cell r="D4647" t="str">
            <v>L0030151                       EnggStore</v>
          </cell>
          <cell r="E4647">
            <v>0</v>
          </cell>
          <cell r="F4647" t="str">
            <v>ND No planning</v>
          </cell>
          <cell r="G4647" t="str">
            <v>ERSA Spare parts</v>
          </cell>
          <cell r="H4647" t="str">
            <v>EN029     Powerplantitems</v>
          </cell>
          <cell r="I4647" t="str">
            <v>L003 Ankleshwar</v>
          </cell>
          <cell r="J4647" t="str">
            <v>99 Input/Byprodt/Scrap</v>
          </cell>
          <cell r="K4647" t="str">
            <v>10.2012</v>
          </cell>
          <cell r="L4647">
            <v>4</v>
          </cell>
          <cell r="M4647" t="str">
            <v>EA</v>
          </cell>
          <cell r="N4647">
            <v>5939.0699999999897</v>
          </cell>
          <cell r="O4647" t="str">
            <v>INR</v>
          </cell>
        </row>
        <row r="4648">
          <cell r="A4648" t="str">
            <v>L003 Ankleshwar</v>
          </cell>
          <cell r="B4648">
            <v>663224</v>
          </cell>
          <cell r="C4648" t="str">
            <v>GASKET-INTER COOLER PNO: 12141953</v>
          </cell>
          <cell r="D4648" t="str">
            <v>L0030151                       EnggStore</v>
          </cell>
          <cell r="E4648">
            <v>0</v>
          </cell>
          <cell r="F4648" t="str">
            <v>ND No planning</v>
          </cell>
          <cell r="G4648" t="str">
            <v>ERSA Spare parts</v>
          </cell>
          <cell r="H4648" t="str">
            <v>EN029     Powerplantitems</v>
          </cell>
          <cell r="I4648" t="str">
            <v>L003 Ankleshwar</v>
          </cell>
          <cell r="J4648" t="str">
            <v>99 Input/Byprodt/Scrap</v>
          </cell>
          <cell r="K4648" t="str">
            <v>10.2012</v>
          </cell>
          <cell r="L4648">
            <v>2</v>
          </cell>
          <cell r="M4648" t="str">
            <v>EA</v>
          </cell>
          <cell r="N4648">
            <v>19035.150000000001</v>
          </cell>
          <cell r="O4648" t="str">
            <v>INR</v>
          </cell>
        </row>
        <row r="4649">
          <cell r="A4649" t="str">
            <v>L003 Ankleshwar</v>
          </cell>
          <cell r="B4649">
            <v>663225</v>
          </cell>
          <cell r="C4649" t="str">
            <v>GASKET-CW PNO: 01222928</v>
          </cell>
          <cell r="D4649" t="str">
            <v>L0030151                       EnggStore</v>
          </cell>
          <cell r="E4649">
            <v>0</v>
          </cell>
          <cell r="F4649" t="str">
            <v>ND No planning</v>
          </cell>
          <cell r="G4649" t="str">
            <v>ERSA Spare parts</v>
          </cell>
          <cell r="H4649" t="str">
            <v>EN029     Powerplantitems</v>
          </cell>
          <cell r="I4649" t="str">
            <v>L003 Ankleshwar</v>
          </cell>
          <cell r="J4649" t="str">
            <v>99 Input/Byprodt/Scrap</v>
          </cell>
          <cell r="K4649" t="str">
            <v>10.2012</v>
          </cell>
          <cell r="L4649">
            <v>2</v>
          </cell>
          <cell r="M4649" t="str">
            <v>EA</v>
          </cell>
          <cell r="N4649">
            <v>485.38999999999902</v>
          </cell>
          <cell r="O4649" t="str">
            <v>INR</v>
          </cell>
        </row>
        <row r="4650">
          <cell r="A4650" t="str">
            <v>L003 Ankleshwar</v>
          </cell>
          <cell r="B4650">
            <v>663226</v>
          </cell>
          <cell r="C4650" t="str">
            <v>GASKET PNO: 12300671</v>
          </cell>
          <cell r="D4650" t="str">
            <v>L0030151                       EnggStore</v>
          </cell>
          <cell r="E4650">
            <v>0</v>
          </cell>
          <cell r="F4650" t="str">
            <v>ND No planning</v>
          </cell>
          <cell r="G4650" t="str">
            <v>ERSA Spare parts</v>
          </cell>
          <cell r="H4650" t="str">
            <v>EN029     Powerplantitems</v>
          </cell>
          <cell r="I4650" t="str">
            <v>L003 Ankleshwar</v>
          </cell>
          <cell r="J4650" t="str">
            <v>99 Input/Byprodt/Scrap</v>
          </cell>
          <cell r="K4650" t="str">
            <v>10.2012</v>
          </cell>
          <cell r="L4650">
            <v>1</v>
          </cell>
          <cell r="M4650" t="str">
            <v>EA</v>
          </cell>
          <cell r="N4650">
            <v>830.76999999999896</v>
          </cell>
          <cell r="O4650" t="str">
            <v>INR</v>
          </cell>
        </row>
        <row r="4651">
          <cell r="A4651" t="str">
            <v>L003 Ankleshwar</v>
          </cell>
          <cell r="B4651">
            <v>663228</v>
          </cell>
          <cell r="C4651" t="str">
            <v>GASKET PNO: 12305008</v>
          </cell>
          <cell r="D4651" t="str">
            <v>L0030151                       EnggStore</v>
          </cell>
          <cell r="E4651">
            <v>0</v>
          </cell>
          <cell r="F4651" t="str">
            <v>ND No planning</v>
          </cell>
          <cell r="G4651" t="str">
            <v>ERSA Spare parts</v>
          </cell>
          <cell r="H4651" t="str">
            <v>EN029     Powerplantitems</v>
          </cell>
          <cell r="I4651" t="str">
            <v>L003 Ankleshwar</v>
          </cell>
          <cell r="J4651" t="str">
            <v>99 Input/Byprodt/Scrap</v>
          </cell>
          <cell r="K4651" t="str">
            <v>10.2012</v>
          </cell>
          <cell r="L4651">
            <v>56</v>
          </cell>
          <cell r="M4651" t="str">
            <v>EA</v>
          </cell>
          <cell r="N4651">
            <v>83838.55</v>
          </cell>
          <cell r="O4651" t="str">
            <v>INR</v>
          </cell>
        </row>
        <row r="4652">
          <cell r="A4652" t="str">
            <v>L003 Ankleshwar</v>
          </cell>
          <cell r="B4652">
            <v>663234</v>
          </cell>
          <cell r="C4652" t="str">
            <v>O-SEAL-MIXTURE PIPE PNO: 01166170</v>
          </cell>
          <cell r="D4652" t="str">
            <v>L0030151                       EnggStore</v>
          </cell>
          <cell r="E4652">
            <v>0</v>
          </cell>
          <cell r="F4652" t="str">
            <v>ND No planning</v>
          </cell>
          <cell r="G4652" t="str">
            <v>ERSA Spare parts</v>
          </cell>
          <cell r="H4652" t="str">
            <v>EN029     Powerplantitems</v>
          </cell>
          <cell r="I4652" t="str">
            <v>L003 Ankleshwar</v>
          </cell>
          <cell r="J4652" t="str">
            <v>99 Input/Byprodt/Scrap</v>
          </cell>
          <cell r="K4652" t="str">
            <v>10.2012</v>
          </cell>
          <cell r="L4652">
            <v>14</v>
          </cell>
          <cell r="M4652" t="str">
            <v>EA</v>
          </cell>
          <cell r="N4652">
            <v>3945.2399999999898</v>
          </cell>
          <cell r="O4652" t="str">
            <v>INR</v>
          </cell>
        </row>
        <row r="4653">
          <cell r="A4653" t="str">
            <v>L003 Ankleshwar</v>
          </cell>
          <cell r="B4653">
            <v>663238</v>
          </cell>
          <cell r="C4653" t="str">
            <v>GASKET PNO: 12281099</v>
          </cell>
          <cell r="D4653" t="str">
            <v>L0030151                       EnggStore</v>
          </cell>
          <cell r="E4653">
            <v>0</v>
          </cell>
          <cell r="F4653" t="str">
            <v>ND No planning</v>
          </cell>
          <cell r="G4653" t="str">
            <v>ERSA Spare parts</v>
          </cell>
          <cell r="H4653" t="str">
            <v>EN029     Powerplantitems</v>
          </cell>
          <cell r="I4653" t="str">
            <v>L003 Ankleshwar</v>
          </cell>
          <cell r="J4653" t="str">
            <v>99 Input/Byprodt/Scrap</v>
          </cell>
          <cell r="K4653" t="str">
            <v>10.2012</v>
          </cell>
          <cell r="L4653">
            <v>1</v>
          </cell>
          <cell r="M4653" t="str">
            <v>EA</v>
          </cell>
          <cell r="N4653">
            <v>14912.36</v>
          </cell>
          <cell r="O4653" t="str">
            <v>INR</v>
          </cell>
        </row>
        <row r="4654">
          <cell r="A4654" t="str">
            <v>L003 Ankleshwar</v>
          </cell>
          <cell r="B4654">
            <v>663239</v>
          </cell>
          <cell r="C4654" t="str">
            <v>O-SEAL PNO: 01166170</v>
          </cell>
          <cell r="D4654" t="str">
            <v>L0030151                       EnggStore</v>
          </cell>
          <cell r="E4654">
            <v>0</v>
          </cell>
          <cell r="F4654" t="str">
            <v>ND No planning</v>
          </cell>
          <cell r="G4654" t="str">
            <v>ERSA Spare parts</v>
          </cell>
          <cell r="H4654" t="str">
            <v>EN029     Powerplantitems</v>
          </cell>
          <cell r="I4654" t="str">
            <v>L003 Ankleshwar</v>
          </cell>
          <cell r="J4654" t="str">
            <v>99 Input/Byprodt/Scrap</v>
          </cell>
          <cell r="K4654" t="str">
            <v>10.2012</v>
          </cell>
          <cell r="L4654">
            <v>6</v>
          </cell>
          <cell r="M4654" t="str">
            <v>EA</v>
          </cell>
          <cell r="N4654">
            <v>4376.96</v>
          </cell>
          <cell r="O4654" t="str">
            <v>INR</v>
          </cell>
        </row>
        <row r="4655">
          <cell r="A4655" t="str">
            <v>L003 Ankleshwar</v>
          </cell>
          <cell r="B4655">
            <v>663240</v>
          </cell>
          <cell r="C4655" t="str">
            <v>GASKET PNO: 12904572</v>
          </cell>
          <cell r="D4655" t="str">
            <v>L0030151                       EnggStore</v>
          </cell>
          <cell r="E4655">
            <v>0</v>
          </cell>
          <cell r="F4655" t="str">
            <v>ND No planning</v>
          </cell>
          <cell r="G4655" t="str">
            <v>ERSA Spare parts</v>
          </cell>
          <cell r="H4655" t="str">
            <v>EN029     Powerplantitems</v>
          </cell>
          <cell r="I4655" t="str">
            <v>L003 Ankleshwar</v>
          </cell>
          <cell r="J4655" t="str">
            <v>99 Input/Byprodt/Scrap</v>
          </cell>
          <cell r="K4655" t="str">
            <v>10.2012</v>
          </cell>
          <cell r="L4655">
            <v>1</v>
          </cell>
          <cell r="M4655" t="str">
            <v>EA</v>
          </cell>
          <cell r="N4655">
            <v>630.09</v>
          </cell>
          <cell r="O4655" t="str">
            <v>INR</v>
          </cell>
        </row>
        <row r="4656">
          <cell r="A4656" t="str">
            <v>L003 Ankleshwar</v>
          </cell>
          <cell r="B4656">
            <v>663242</v>
          </cell>
          <cell r="C4656" t="str">
            <v>ROUND FLANGE GASKET PNO: 12140789</v>
          </cell>
          <cell r="D4656" t="str">
            <v>L0030151                       EnggStore</v>
          </cell>
          <cell r="E4656">
            <v>0</v>
          </cell>
          <cell r="F4656" t="str">
            <v>ND No planning</v>
          </cell>
          <cell r="G4656" t="str">
            <v>ERSA Spare parts</v>
          </cell>
          <cell r="H4656" t="str">
            <v>EN029     Powerplantitems</v>
          </cell>
          <cell r="I4656" t="str">
            <v>L003 Ankleshwar</v>
          </cell>
          <cell r="J4656" t="str">
            <v>99 Input/Byprodt/Scrap</v>
          </cell>
          <cell r="K4656" t="str">
            <v>10.2012</v>
          </cell>
          <cell r="L4656">
            <v>2</v>
          </cell>
          <cell r="M4656" t="str">
            <v>EA</v>
          </cell>
          <cell r="N4656">
            <v>1021.08</v>
          </cell>
          <cell r="O4656" t="str">
            <v>INR</v>
          </cell>
        </row>
        <row r="4657">
          <cell r="A4657" t="str">
            <v>L003 Ankleshwar</v>
          </cell>
          <cell r="B4657">
            <v>663243</v>
          </cell>
          <cell r="C4657" t="str">
            <v>WASHER PNO: 01118737</v>
          </cell>
          <cell r="D4657" t="str">
            <v>L0030151                       EnggStore</v>
          </cell>
          <cell r="E4657">
            <v>0</v>
          </cell>
          <cell r="F4657" t="str">
            <v>ND No planning</v>
          </cell>
          <cell r="G4657" t="str">
            <v>ERSA Spare parts</v>
          </cell>
          <cell r="H4657" t="str">
            <v>EN029     Powerplantitems</v>
          </cell>
          <cell r="I4657" t="str">
            <v>L003 Ankleshwar</v>
          </cell>
          <cell r="J4657" t="str">
            <v>99 Input/Byprodt/Scrap</v>
          </cell>
          <cell r="K4657" t="str">
            <v>10.2012</v>
          </cell>
          <cell r="L4657">
            <v>2</v>
          </cell>
          <cell r="M4657" t="str">
            <v>EA</v>
          </cell>
          <cell r="N4657">
            <v>39.0399999999999</v>
          </cell>
          <cell r="O4657" t="str">
            <v>INR</v>
          </cell>
        </row>
        <row r="4658">
          <cell r="A4658" t="str">
            <v>L003 Ankleshwar</v>
          </cell>
          <cell r="B4658">
            <v>663244</v>
          </cell>
          <cell r="C4658" t="str">
            <v>GASKET PNO: 01154014</v>
          </cell>
          <cell r="D4658" t="str">
            <v>L0030151                       EnggStore</v>
          </cell>
          <cell r="E4658">
            <v>0</v>
          </cell>
          <cell r="F4658" t="str">
            <v>ND No planning</v>
          </cell>
          <cell r="G4658" t="str">
            <v>ERSA Spare parts</v>
          </cell>
          <cell r="H4658" t="str">
            <v>EN029     Powerplantitems</v>
          </cell>
          <cell r="I4658" t="str">
            <v>L003 Ankleshwar</v>
          </cell>
          <cell r="J4658" t="str">
            <v>99 Input/Byprodt/Scrap</v>
          </cell>
          <cell r="K4658" t="str">
            <v>10.2012</v>
          </cell>
          <cell r="L4658">
            <v>1</v>
          </cell>
          <cell r="M4658" t="str">
            <v>EA</v>
          </cell>
          <cell r="N4658">
            <v>42.7</v>
          </cell>
          <cell r="O4658" t="str">
            <v>INR</v>
          </cell>
        </row>
        <row r="4659">
          <cell r="A4659" t="str">
            <v>L003 Ankleshwar</v>
          </cell>
          <cell r="B4659">
            <v>663245</v>
          </cell>
          <cell r="C4659" t="str">
            <v>GASKET PNO: 01180379</v>
          </cell>
          <cell r="D4659" t="str">
            <v>L0030151                       EnggStore</v>
          </cell>
          <cell r="E4659">
            <v>0</v>
          </cell>
          <cell r="F4659" t="str">
            <v>ND No planning</v>
          </cell>
          <cell r="G4659" t="str">
            <v>ERSA Spare parts</v>
          </cell>
          <cell r="H4659" t="str">
            <v>EN029     Powerplantitems</v>
          </cell>
          <cell r="I4659" t="str">
            <v>L003 Ankleshwar</v>
          </cell>
          <cell r="J4659" t="str">
            <v>99 Input/Byprodt/Scrap</v>
          </cell>
          <cell r="K4659" t="str">
            <v>10.2012</v>
          </cell>
          <cell r="L4659">
            <v>1</v>
          </cell>
          <cell r="M4659" t="str">
            <v>EA</v>
          </cell>
          <cell r="N4659">
            <v>322.06</v>
          </cell>
          <cell r="O4659" t="str">
            <v>INR</v>
          </cell>
        </row>
        <row r="4660">
          <cell r="A4660" t="str">
            <v>L003 Ankleshwar</v>
          </cell>
          <cell r="B4660">
            <v>663246</v>
          </cell>
          <cell r="C4660" t="str">
            <v>GASKET PNO: 12141862</v>
          </cell>
          <cell r="D4660" t="str">
            <v>L0030151                       EnggStore</v>
          </cell>
          <cell r="E4660">
            <v>0</v>
          </cell>
          <cell r="F4660" t="str">
            <v>ND No planning</v>
          </cell>
          <cell r="G4660" t="str">
            <v>ERSA Spare parts</v>
          </cell>
          <cell r="H4660" t="str">
            <v>EN029     Powerplantitems</v>
          </cell>
          <cell r="I4660" t="str">
            <v>L003 Ankleshwar</v>
          </cell>
          <cell r="J4660" t="str">
            <v>99 Input/Byprodt/Scrap</v>
          </cell>
          <cell r="K4660" t="str">
            <v>10.2012</v>
          </cell>
          <cell r="L4660">
            <v>12</v>
          </cell>
          <cell r="M4660" t="str">
            <v>EA</v>
          </cell>
          <cell r="N4660">
            <v>8607.7900000000009</v>
          </cell>
          <cell r="O4660" t="str">
            <v>INR</v>
          </cell>
        </row>
        <row r="4661">
          <cell r="A4661" t="str">
            <v>L003 Ankleshwar</v>
          </cell>
          <cell r="B4661">
            <v>663247</v>
          </cell>
          <cell r="C4661" t="str">
            <v>GASKET PNO: 12281072</v>
          </cell>
          <cell r="D4661" t="str">
            <v>L0030151                       EnggStore</v>
          </cell>
          <cell r="E4661">
            <v>0</v>
          </cell>
          <cell r="F4661" t="str">
            <v>ND No planning</v>
          </cell>
          <cell r="G4661" t="str">
            <v>ERSA Spare parts</v>
          </cell>
          <cell r="H4661" t="str">
            <v>EN029     Powerplantitems</v>
          </cell>
          <cell r="I4661" t="str">
            <v>L003 Ankleshwar</v>
          </cell>
          <cell r="J4661" t="str">
            <v>99 Input/Byprodt/Scrap</v>
          </cell>
          <cell r="K4661" t="str">
            <v>10.2012</v>
          </cell>
          <cell r="L4661">
            <v>1</v>
          </cell>
          <cell r="M4661" t="str">
            <v>EA</v>
          </cell>
          <cell r="N4661">
            <v>8923.1299999999901</v>
          </cell>
          <cell r="O4661" t="str">
            <v>INR</v>
          </cell>
        </row>
        <row r="4662">
          <cell r="A4662" t="str">
            <v>L003 Ankleshwar</v>
          </cell>
          <cell r="B4662">
            <v>663248</v>
          </cell>
          <cell r="C4662" t="str">
            <v>GASKET PNO: 12301503</v>
          </cell>
          <cell r="D4662" t="str">
            <v>L0030151                       EnggStore</v>
          </cell>
          <cell r="E4662">
            <v>0</v>
          </cell>
          <cell r="F4662" t="str">
            <v>ND No planning</v>
          </cell>
          <cell r="G4662" t="str">
            <v>ERSA Spare parts</v>
          </cell>
          <cell r="H4662" t="str">
            <v>EN029     Powerplantitems</v>
          </cell>
          <cell r="I4662" t="str">
            <v>L003 Ankleshwar</v>
          </cell>
          <cell r="J4662" t="str">
            <v>99 Input/Byprodt/Scrap</v>
          </cell>
          <cell r="K4662" t="str">
            <v>10.2012</v>
          </cell>
          <cell r="L4662">
            <v>6</v>
          </cell>
          <cell r="M4662" t="str">
            <v>EA</v>
          </cell>
          <cell r="N4662">
            <v>21153.49</v>
          </cell>
          <cell r="O4662" t="str">
            <v>INR</v>
          </cell>
        </row>
        <row r="4663">
          <cell r="A4663" t="str">
            <v>L003 Ankleshwar</v>
          </cell>
          <cell r="B4663">
            <v>663249</v>
          </cell>
          <cell r="C4663" t="str">
            <v>O-SEAL PNO: 01153965</v>
          </cell>
          <cell r="D4663" t="str">
            <v>L0030151                       EnggStore</v>
          </cell>
          <cell r="E4663">
            <v>0</v>
          </cell>
          <cell r="F4663" t="str">
            <v>ND No planning</v>
          </cell>
          <cell r="G4663" t="str">
            <v>ERSA Spare parts</v>
          </cell>
          <cell r="H4663" t="str">
            <v>EN029     Powerplantitems</v>
          </cell>
          <cell r="I4663" t="str">
            <v>L003 Ankleshwar</v>
          </cell>
          <cell r="J4663" t="str">
            <v>99 Input/Byprodt/Scrap</v>
          </cell>
          <cell r="K4663" t="str">
            <v>10.2012</v>
          </cell>
          <cell r="L4663">
            <v>1</v>
          </cell>
          <cell r="M4663" t="str">
            <v>EA</v>
          </cell>
          <cell r="N4663">
            <v>2067.1599999999899</v>
          </cell>
          <cell r="O4663" t="str">
            <v>INR</v>
          </cell>
        </row>
        <row r="4664">
          <cell r="A4664" t="str">
            <v>L003 Ankleshwar</v>
          </cell>
          <cell r="B4664">
            <v>663251</v>
          </cell>
          <cell r="C4664" t="str">
            <v>O-SEAL PNO: 12301480</v>
          </cell>
          <cell r="D4664" t="str">
            <v>L0030151                       EnggStore</v>
          </cell>
          <cell r="E4664">
            <v>0</v>
          </cell>
          <cell r="F4664" t="str">
            <v>ND No planning</v>
          </cell>
          <cell r="G4664" t="str">
            <v>ERSA Spare parts</v>
          </cell>
          <cell r="H4664" t="str">
            <v>EN029     Powerplantitems</v>
          </cell>
          <cell r="I4664" t="str">
            <v>L003 Ankleshwar</v>
          </cell>
          <cell r="J4664" t="str">
            <v>99 Input/Byprodt/Scrap</v>
          </cell>
          <cell r="K4664" t="str">
            <v>10.2012</v>
          </cell>
          <cell r="L4664">
            <v>1</v>
          </cell>
          <cell r="M4664" t="str">
            <v>EA</v>
          </cell>
          <cell r="N4664">
            <v>9888.1</v>
          </cell>
          <cell r="O4664" t="str">
            <v>INR</v>
          </cell>
        </row>
        <row r="4665">
          <cell r="A4665" t="str">
            <v>L003 Ankleshwar</v>
          </cell>
          <cell r="B4665">
            <v>663253</v>
          </cell>
          <cell r="C4665" t="str">
            <v>GASKET PNO: 12300609</v>
          </cell>
          <cell r="D4665" t="str">
            <v>L0030151                       EnggStore</v>
          </cell>
          <cell r="E4665">
            <v>0</v>
          </cell>
          <cell r="F4665" t="str">
            <v>ND No planning</v>
          </cell>
          <cell r="G4665" t="str">
            <v>ERSA Spare parts</v>
          </cell>
          <cell r="H4665" t="str">
            <v>EN029     Powerplantitems</v>
          </cell>
          <cell r="I4665" t="str">
            <v>L003 Ankleshwar</v>
          </cell>
          <cell r="J4665" t="str">
            <v>99 Input/Byprodt/Scrap</v>
          </cell>
          <cell r="K4665" t="str">
            <v>10.2012</v>
          </cell>
          <cell r="L4665">
            <v>2</v>
          </cell>
          <cell r="M4665" t="str">
            <v>EA</v>
          </cell>
          <cell r="N4665">
            <v>6452.26</v>
          </cell>
          <cell r="O4665" t="str">
            <v>INR</v>
          </cell>
        </row>
        <row r="4666">
          <cell r="A4666" t="str">
            <v>L003 Ankleshwar</v>
          </cell>
          <cell r="B4666">
            <v>663263</v>
          </cell>
          <cell r="C4666" t="str">
            <v>RING PISTON: PT.NO. 95107710,IR 8X7 NL</v>
          </cell>
          <cell r="D4666" t="str">
            <v>L0030151                       EnggStore</v>
          </cell>
          <cell r="E4666" t="str">
            <v>E32 E32</v>
          </cell>
          <cell r="F4666" t="str">
            <v>VB Manual reorder point planning</v>
          </cell>
          <cell r="G4666" t="str">
            <v>ERSA Spare parts</v>
          </cell>
          <cell r="H4666" t="str">
            <v>EN018     UtilityEquipmentSpar</v>
          </cell>
          <cell r="I4666" t="str">
            <v>L003 Ankleshwar</v>
          </cell>
          <cell r="J4666" t="str">
            <v>99 Input/Byprodt/Scrap</v>
          </cell>
          <cell r="K4666" t="str">
            <v>10.2012</v>
          </cell>
          <cell r="L4666">
            <v>3</v>
          </cell>
          <cell r="M4666" t="str">
            <v>EA</v>
          </cell>
          <cell r="N4666">
            <v>7076.25</v>
          </cell>
          <cell r="O4666" t="str">
            <v>INR</v>
          </cell>
        </row>
        <row r="4667">
          <cell r="A4667" t="str">
            <v>L003 Ankleshwar</v>
          </cell>
          <cell r="B4667">
            <v>663264</v>
          </cell>
          <cell r="C4667" t="str">
            <v>RING WEARING: PT.NO. 97060149,IR8X7 NL</v>
          </cell>
          <cell r="D4667" t="str">
            <v>L0030151                       EnggStore</v>
          </cell>
          <cell r="E4667" t="str">
            <v>E32 E32</v>
          </cell>
          <cell r="F4667" t="str">
            <v>VB Manual reorder point planning</v>
          </cell>
          <cell r="G4667" t="str">
            <v>ERSA Spare parts</v>
          </cell>
          <cell r="H4667" t="str">
            <v>EN018     UtilityEquipmentSpar</v>
          </cell>
          <cell r="I4667" t="str">
            <v>L003 Ankleshwar</v>
          </cell>
          <cell r="J4667" t="str">
            <v>99 Input/Byprodt/Scrap</v>
          </cell>
          <cell r="K4667" t="str">
            <v>10.2012</v>
          </cell>
          <cell r="L4667">
            <v>1</v>
          </cell>
          <cell r="M4667" t="str">
            <v>EA</v>
          </cell>
          <cell r="N4667">
            <v>4209.3</v>
          </cell>
          <cell r="O4667" t="str">
            <v>INR</v>
          </cell>
        </row>
        <row r="4668">
          <cell r="A4668" t="str">
            <v>L003 Ankleshwar</v>
          </cell>
          <cell r="B4668">
            <v>663265</v>
          </cell>
          <cell r="C4668" t="str">
            <v>SEAT VALVE: PT.NO. 37074739,IR8X7 NL</v>
          </cell>
          <cell r="D4668" t="str">
            <v>L0030151                       EnggStore</v>
          </cell>
          <cell r="E4668">
            <v>0</v>
          </cell>
          <cell r="F4668" t="str">
            <v>ND No planning</v>
          </cell>
          <cell r="G4668" t="str">
            <v>ERSA Spare parts</v>
          </cell>
          <cell r="H4668" t="str">
            <v>EN018     UtilityEquipmentSpar</v>
          </cell>
          <cell r="I4668" t="str">
            <v>L003 Ankleshwar</v>
          </cell>
          <cell r="J4668" t="str">
            <v>99 Input/Byprodt/Scrap</v>
          </cell>
          <cell r="K4668" t="str">
            <v>10.2012</v>
          </cell>
          <cell r="L4668">
            <v>2</v>
          </cell>
          <cell r="M4668" t="str">
            <v>EA</v>
          </cell>
          <cell r="N4668">
            <v>1181.6400000000001</v>
          </cell>
          <cell r="O4668" t="str">
            <v>INR</v>
          </cell>
        </row>
        <row r="4669">
          <cell r="A4669" t="str">
            <v>L003 Ankleshwar</v>
          </cell>
          <cell r="B4669">
            <v>663267</v>
          </cell>
          <cell r="C4669" t="str">
            <v>HOLDER GUIDE: PT.NO. 37025517IM,IR8X7NL</v>
          </cell>
          <cell r="D4669" t="str">
            <v>L0030151                       EnggStore</v>
          </cell>
          <cell r="E4669">
            <v>0</v>
          </cell>
          <cell r="F4669" t="str">
            <v>ND No planning</v>
          </cell>
          <cell r="G4669" t="str">
            <v>ERSA Spare parts</v>
          </cell>
          <cell r="H4669" t="str">
            <v>EN018     UtilityEquipmentSpar</v>
          </cell>
          <cell r="I4669" t="str">
            <v>L003 Ankleshwar</v>
          </cell>
          <cell r="J4669" t="str">
            <v>99 Input/Byprodt/Scrap</v>
          </cell>
          <cell r="K4669" t="str">
            <v>10.2012</v>
          </cell>
          <cell r="L4669">
            <v>4</v>
          </cell>
          <cell r="M4669" t="str">
            <v>EA</v>
          </cell>
          <cell r="N4669">
            <v>8535.6</v>
          </cell>
          <cell r="O4669" t="str">
            <v>INR</v>
          </cell>
        </row>
        <row r="4670">
          <cell r="A4670" t="str">
            <v>L003 Ankleshwar</v>
          </cell>
          <cell r="B4670">
            <v>663271</v>
          </cell>
          <cell r="C4670" t="str">
            <v>WASHER LOCK: PT.NO. 31172091,IR8X7 NL</v>
          </cell>
          <cell r="D4670" t="str">
            <v>L0030151                       EnggStore</v>
          </cell>
          <cell r="E4670">
            <v>0</v>
          </cell>
          <cell r="F4670" t="str">
            <v>ND No planning</v>
          </cell>
          <cell r="G4670" t="str">
            <v>ERSA Spare parts</v>
          </cell>
          <cell r="H4670" t="str">
            <v>EN018     UtilityEquipmentSpar</v>
          </cell>
          <cell r="I4670" t="str">
            <v>L003 Ankleshwar</v>
          </cell>
          <cell r="J4670" t="str">
            <v>99 Input/Byprodt/Scrap</v>
          </cell>
          <cell r="K4670" t="str">
            <v>10.2012</v>
          </cell>
          <cell r="L4670">
            <v>1</v>
          </cell>
          <cell r="M4670" t="str">
            <v>EA</v>
          </cell>
          <cell r="N4670">
            <v>5.73</v>
          </cell>
          <cell r="O4670" t="str">
            <v>INR</v>
          </cell>
        </row>
        <row r="4671">
          <cell r="A4671" t="str">
            <v>L003 Ankleshwar</v>
          </cell>
          <cell r="B4671">
            <v>663272</v>
          </cell>
          <cell r="C4671" t="str">
            <v>CHANNEL &amp; SPRING SET: PT.NO.37020617IM</v>
          </cell>
          <cell r="D4671" t="str">
            <v>L0030151                       EnggStore</v>
          </cell>
          <cell r="E4671" t="str">
            <v>E32 E32</v>
          </cell>
          <cell r="F4671" t="str">
            <v>VB Manual reorder point planning</v>
          </cell>
          <cell r="G4671" t="str">
            <v>ERSA Spare parts</v>
          </cell>
          <cell r="H4671" t="str">
            <v>EN018     UtilityEquipmentSpar</v>
          </cell>
          <cell r="I4671" t="str">
            <v>L003 Ankleshwar</v>
          </cell>
          <cell r="J4671" t="str">
            <v>99 Input/Byprodt/Scrap</v>
          </cell>
          <cell r="K4671" t="str">
            <v>10.2012</v>
          </cell>
          <cell r="L4671">
            <v>2</v>
          </cell>
          <cell r="M4671" t="str">
            <v>EA</v>
          </cell>
          <cell r="N4671">
            <v>5740.75</v>
          </cell>
          <cell r="O4671" t="str">
            <v>INR</v>
          </cell>
        </row>
        <row r="4672">
          <cell r="A4672" t="str">
            <v>L003 Ankleshwar</v>
          </cell>
          <cell r="B4672">
            <v>663292</v>
          </cell>
          <cell r="C4672" t="str">
            <v>DONFOSS PRESSURE SWITCH: RT-116</v>
          </cell>
          <cell r="D4672" t="str">
            <v>L0030151                       EnggStore</v>
          </cell>
          <cell r="E4672" t="str">
            <v>E37 E37</v>
          </cell>
          <cell r="F4672" t="str">
            <v>VB Manual reorder point planning</v>
          </cell>
          <cell r="G4672" t="str">
            <v>ERSA Spare parts</v>
          </cell>
          <cell r="H4672" t="str">
            <v>EN018     UtilityEquipmentSpar</v>
          </cell>
          <cell r="I4672" t="str">
            <v>L003 Ankleshwar</v>
          </cell>
          <cell r="J4672" t="str">
            <v>99 Input/Byprodt/Scrap</v>
          </cell>
          <cell r="K4672" t="str">
            <v>10.2012</v>
          </cell>
          <cell r="L4672">
            <v>1</v>
          </cell>
          <cell r="M4672" t="str">
            <v>EA</v>
          </cell>
          <cell r="N4672">
            <v>1636.18</v>
          </cell>
          <cell r="O4672" t="str">
            <v>INR</v>
          </cell>
        </row>
        <row r="4673">
          <cell r="A4673" t="str">
            <v>L003 Ankleshwar</v>
          </cell>
          <cell r="B4673">
            <v>663364</v>
          </cell>
          <cell r="C4673" t="str">
            <v>FILTER-RETURN-(6041-10380)GX:MH02354659</v>
          </cell>
          <cell r="D4673" t="str">
            <v>L0030151                       EnggStore</v>
          </cell>
          <cell r="E4673">
            <v>0</v>
          </cell>
          <cell r="F4673" t="str">
            <v>ND No planning</v>
          </cell>
          <cell r="G4673" t="str">
            <v>ERSA Spare parts</v>
          </cell>
          <cell r="H4673" t="str">
            <v>EN015     MaterialHandlingspar</v>
          </cell>
          <cell r="I4673" t="str">
            <v>L003 Ankleshwar</v>
          </cell>
          <cell r="J4673" t="str">
            <v>99 Input/Byprodt/Scrap</v>
          </cell>
          <cell r="K4673" t="str">
            <v>10.2012</v>
          </cell>
          <cell r="L4673">
            <v>1</v>
          </cell>
          <cell r="M4673" t="str">
            <v>EA</v>
          </cell>
          <cell r="N4673">
            <v>471</v>
          </cell>
          <cell r="O4673" t="str">
            <v>INR</v>
          </cell>
        </row>
        <row r="4674">
          <cell r="A4674" t="str">
            <v>L003 Ankleshwar</v>
          </cell>
          <cell r="B4674">
            <v>663368</v>
          </cell>
          <cell r="C4674" t="str">
            <v>GASKET SET: 7GST8-IR: ESV 8X7 NL</v>
          </cell>
          <cell r="D4674" t="str">
            <v>L0030151                       EnggStore</v>
          </cell>
          <cell r="E4674" t="str">
            <v>E32 E32</v>
          </cell>
          <cell r="F4674" t="str">
            <v>VB Manual reorder point planning</v>
          </cell>
          <cell r="G4674" t="str">
            <v>ERSA Spare parts</v>
          </cell>
          <cell r="H4674" t="str">
            <v>EN018     UtilityEquipmentSpar</v>
          </cell>
          <cell r="I4674" t="str">
            <v>L003 Ankleshwar</v>
          </cell>
          <cell r="J4674" t="str">
            <v>99 Input/Byprodt/Scrap</v>
          </cell>
          <cell r="K4674" t="str">
            <v>10.2012</v>
          </cell>
          <cell r="L4674">
            <v>1</v>
          </cell>
          <cell r="M4674" t="str">
            <v>SET</v>
          </cell>
          <cell r="N4674">
            <v>2264.4</v>
          </cell>
          <cell r="O4674" t="str">
            <v>INR</v>
          </cell>
        </row>
        <row r="4675">
          <cell r="A4675" t="str">
            <v>L003 Ankleshwar</v>
          </cell>
          <cell r="B4675">
            <v>663375</v>
          </cell>
          <cell r="C4675" t="str">
            <v>BALL BEARING: UK-207 WITH SLEEVE</v>
          </cell>
          <cell r="D4675" t="str">
            <v>L0030151                       EnggStore</v>
          </cell>
          <cell r="E4675">
            <v>0</v>
          </cell>
          <cell r="F4675" t="str">
            <v>ND No planning</v>
          </cell>
          <cell r="G4675" t="str">
            <v>ERSA Spare parts</v>
          </cell>
          <cell r="H4675" t="str">
            <v>EN009     Bearings</v>
          </cell>
          <cell r="I4675" t="str">
            <v>L003 Ankleshwar</v>
          </cell>
          <cell r="J4675" t="str">
            <v>99 Input/Byprodt/Scrap</v>
          </cell>
          <cell r="K4675" t="str">
            <v>10.2012</v>
          </cell>
          <cell r="L4675">
            <v>2</v>
          </cell>
          <cell r="M4675" t="str">
            <v>EA</v>
          </cell>
          <cell r="N4675">
            <v>2150</v>
          </cell>
          <cell r="O4675" t="str">
            <v>INR</v>
          </cell>
        </row>
        <row r="4676">
          <cell r="A4676" t="str">
            <v>L003 Ankleshwar</v>
          </cell>
          <cell r="B4676">
            <v>663529</v>
          </cell>
          <cell r="C4676" t="str">
            <v>THREE PHASE MONITORING RELAY,MG53BO</v>
          </cell>
          <cell r="D4676" t="str">
            <v>L0030151                       EnggStore</v>
          </cell>
          <cell r="E4676">
            <v>0</v>
          </cell>
          <cell r="F4676" t="str">
            <v>ND No planning</v>
          </cell>
          <cell r="G4676" t="str">
            <v>ERSA Spare parts</v>
          </cell>
          <cell r="H4676" t="str">
            <v>EN037     Refrigeration&amp;A/Cspa</v>
          </cell>
          <cell r="I4676" t="str">
            <v>L003 Ankleshwar</v>
          </cell>
          <cell r="J4676" t="str">
            <v>99 Input/Byprodt/Scrap</v>
          </cell>
          <cell r="K4676" t="str">
            <v>10.2012</v>
          </cell>
          <cell r="L4676">
            <v>3</v>
          </cell>
          <cell r="M4676" t="str">
            <v>EA</v>
          </cell>
          <cell r="N4676">
            <v>4200</v>
          </cell>
          <cell r="O4676" t="str">
            <v>INR</v>
          </cell>
        </row>
        <row r="4677">
          <cell r="A4677" t="str">
            <v>L003 Ankleshwar</v>
          </cell>
          <cell r="B4677">
            <v>663625</v>
          </cell>
          <cell r="C4677" t="str">
            <v>MCB: SP-25</v>
          </cell>
          <cell r="D4677" t="str">
            <v>L0030151                       EnggStore</v>
          </cell>
          <cell r="E4677" t="str">
            <v>E36 E36</v>
          </cell>
          <cell r="F4677" t="str">
            <v>VB Manual reorder point planning</v>
          </cell>
          <cell r="G4677" t="str">
            <v>ERSA Spare parts</v>
          </cell>
          <cell r="H4677" t="str">
            <v>EN006     Elec Switchgear</v>
          </cell>
          <cell r="I4677" t="str">
            <v>L003 Ankleshwar</v>
          </cell>
          <cell r="J4677" t="str">
            <v>99 Input/Byprodt/Scrap</v>
          </cell>
          <cell r="K4677" t="str">
            <v>10.2012</v>
          </cell>
          <cell r="L4677">
            <v>3</v>
          </cell>
          <cell r="M4677" t="str">
            <v>EA</v>
          </cell>
          <cell r="N4677">
            <v>396</v>
          </cell>
          <cell r="O4677" t="str">
            <v>INR</v>
          </cell>
        </row>
        <row r="4678">
          <cell r="A4678" t="str">
            <v>L003 Ankleshwar</v>
          </cell>
          <cell r="B4678">
            <v>663626</v>
          </cell>
          <cell r="C4678" t="str">
            <v>MCB: SP-32</v>
          </cell>
          <cell r="D4678" t="str">
            <v>L0030151                       EnggStore</v>
          </cell>
          <cell r="E4678" t="str">
            <v>E36 E36</v>
          </cell>
          <cell r="F4678" t="str">
            <v>VB Manual reorder point planning</v>
          </cell>
          <cell r="G4678" t="str">
            <v>ERSA Spare parts</v>
          </cell>
          <cell r="H4678" t="str">
            <v>EN006     Elec Switchgear</v>
          </cell>
          <cell r="I4678" t="str">
            <v>L003 Ankleshwar</v>
          </cell>
          <cell r="J4678" t="str">
            <v>99 Input/Byprodt/Scrap</v>
          </cell>
          <cell r="K4678" t="str">
            <v>10.2012</v>
          </cell>
          <cell r="L4678">
            <v>1</v>
          </cell>
          <cell r="M4678" t="str">
            <v>EA</v>
          </cell>
          <cell r="N4678">
            <v>121.2</v>
          </cell>
          <cell r="O4678" t="str">
            <v>INR</v>
          </cell>
        </row>
        <row r="4679">
          <cell r="A4679" t="str">
            <v>L003 Ankleshwar</v>
          </cell>
          <cell r="B4679">
            <v>663627</v>
          </cell>
          <cell r="C4679" t="str">
            <v>MCB: DP-6</v>
          </cell>
          <cell r="D4679" t="str">
            <v>L0030151                       EnggStore</v>
          </cell>
          <cell r="E4679" t="str">
            <v>E36 E36</v>
          </cell>
          <cell r="F4679" t="str">
            <v>VB Manual reorder point planning</v>
          </cell>
          <cell r="G4679" t="str">
            <v>ERSA Spare parts</v>
          </cell>
          <cell r="H4679" t="str">
            <v>EN006     Elec Switchgear</v>
          </cell>
          <cell r="I4679" t="str">
            <v>L003 Ankleshwar</v>
          </cell>
          <cell r="J4679" t="str">
            <v>99 Input/Byprodt/Scrap</v>
          </cell>
          <cell r="K4679" t="str">
            <v>10.2012</v>
          </cell>
          <cell r="L4679">
            <v>1</v>
          </cell>
          <cell r="M4679" t="str">
            <v>EA</v>
          </cell>
          <cell r="N4679">
            <v>403.19999999999902</v>
          </cell>
          <cell r="O4679" t="str">
            <v>INR</v>
          </cell>
        </row>
        <row r="4680">
          <cell r="A4680" t="str">
            <v>L003 Ankleshwar</v>
          </cell>
          <cell r="B4680">
            <v>663628</v>
          </cell>
          <cell r="C4680" t="str">
            <v>MCB: DP-10</v>
          </cell>
          <cell r="D4680" t="str">
            <v>L0030151                       EnggStore</v>
          </cell>
          <cell r="E4680" t="str">
            <v>E36 E36</v>
          </cell>
          <cell r="F4680" t="str">
            <v>VB Manual reorder point planning</v>
          </cell>
          <cell r="G4680" t="str">
            <v>ERSA Spare parts</v>
          </cell>
          <cell r="H4680" t="str">
            <v>EN006     Elec Switchgear</v>
          </cell>
          <cell r="I4680" t="str">
            <v>L003 Ankleshwar</v>
          </cell>
          <cell r="J4680" t="str">
            <v>99 Input/Byprodt/Scrap</v>
          </cell>
          <cell r="K4680" t="str">
            <v>10.2012</v>
          </cell>
          <cell r="L4680">
            <v>1</v>
          </cell>
          <cell r="M4680" t="str">
            <v>EA</v>
          </cell>
          <cell r="N4680">
            <v>351</v>
          </cell>
          <cell r="O4680" t="str">
            <v>INR</v>
          </cell>
        </row>
        <row r="4681">
          <cell r="A4681" t="str">
            <v>L003 Ankleshwar</v>
          </cell>
          <cell r="B4681">
            <v>663630</v>
          </cell>
          <cell r="C4681" t="str">
            <v>MCB: DP-25</v>
          </cell>
          <cell r="D4681" t="str">
            <v>L0030151                       EnggStore</v>
          </cell>
          <cell r="E4681" t="str">
            <v>E36 E36</v>
          </cell>
          <cell r="F4681" t="str">
            <v>VB Manual reorder point planning</v>
          </cell>
          <cell r="G4681" t="str">
            <v>ERSA Spare parts</v>
          </cell>
          <cell r="H4681" t="str">
            <v>EN006     Elec Switchgear</v>
          </cell>
          <cell r="I4681" t="str">
            <v>L003 Ankleshwar</v>
          </cell>
          <cell r="J4681" t="str">
            <v>99 Input/Byprodt/Scrap</v>
          </cell>
          <cell r="K4681" t="str">
            <v>10.2012</v>
          </cell>
          <cell r="L4681">
            <v>1</v>
          </cell>
          <cell r="M4681" t="str">
            <v>EA</v>
          </cell>
          <cell r="N4681">
            <v>403.19999999999902</v>
          </cell>
          <cell r="O4681" t="str">
            <v>INR</v>
          </cell>
        </row>
        <row r="4682">
          <cell r="A4682" t="str">
            <v>L003 Ankleshwar</v>
          </cell>
          <cell r="B4682">
            <v>663631</v>
          </cell>
          <cell r="C4682" t="str">
            <v>MCB: DP-32</v>
          </cell>
          <cell r="D4682" t="str">
            <v>L0030151                       EnggStore</v>
          </cell>
          <cell r="E4682" t="str">
            <v>E36 E36</v>
          </cell>
          <cell r="F4682" t="str">
            <v>VB Manual reorder point planning</v>
          </cell>
          <cell r="G4682" t="str">
            <v>ERSA Spare parts</v>
          </cell>
          <cell r="H4682" t="str">
            <v>EN006     Elec Switchgear</v>
          </cell>
          <cell r="I4682" t="str">
            <v>L003 Ankleshwar</v>
          </cell>
          <cell r="J4682" t="str">
            <v>99 Input/Byprodt/Scrap</v>
          </cell>
          <cell r="K4682" t="str">
            <v>10.2012</v>
          </cell>
          <cell r="L4682">
            <v>5</v>
          </cell>
          <cell r="M4682" t="str">
            <v>EA</v>
          </cell>
          <cell r="N4682">
            <v>1920</v>
          </cell>
          <cell r="O4682" t="str">
            <v>INR</v>
          </cell>
        </row>
        <row r="4683">
          <cell r="A4683" t="str">
            <v>L003 Ankleshwar</v>
          </cell>
          <cell r="B4683">
            <v>663633</v>
          </cell>
          <cell r="C4683" t="str">
            <v>MCB: TP-10</v>
          </cell>
          <cell r="D4683" t="str">
            <v>L0030151                       EnggStore</v>
          </cell>
          <cell r="E4683" t="str">
            <v>E36 E36</v>
          </cell>
          <cell r="F4683" t="str">
            <v>VB Manual reorder point planning</v>
          </cell>
          <cell r="G4683" t="str">
            <v>ERSA Spare parts</v>
          </cell>
          <cell r="H4683" t="str">
            <v>EN006     Elec Switchgear</v>
          </cell>
          <cell r="I4683" t="str">
            <v>L003 Ankleshwar</v>
          </cell>
          <cell r="J4683" t="str">
            <v>99 Input/Byprodt/Scrap</v>
          </cell>
          <cell r="K4683" t="str">
            <v>10.2012</v>
          </cell>
          <cell r="L4683">
            <v>1</v>
          </cell>
          <cell r="M4683" t="str">
            <v>EA</v>
          </cell>
          <cell r="N4683">
            <v>567</v>
          </cell>
          <cell r="O4683" t="str">
            <v>INR</v>
          </cell>
        </row>
        <row r="4684">
          <cell r="A4684" t="str">
            <v>L003 Ankleshwar</v>
          </cell>
          <cell r="B4684">
            <v>663637</v>
          </cell>
          <cell r="C4684" t="str">
            <v>MCB: TP-63</v>
          </cell>
          <cell r="D4684" t="str">
            <v>L0030151                       EnggStore</v>
          </cell>
          <cell r="E4684">
            <v>0</v>
          </cell>
          <cell r="F4684" t="str">
            <v>ND No planning</v>
          </cell>
          <cell r="G4684" t="str">
            <v>ERSA Spare parts</v>
          </cell>
          <cell r="H4684" t="str">
            <v>EN006     Elec Switchgear</v>
          </cell>
          <cell r="I4684" t="str">
            <v>L003 Ankleshwar</v>
          </cell>
          <cell r="J4684" t="str">
            <v>99 Input/Byprodt/Scrap</v>
          </cell>
          <cell r="K4684" t="str">
            <v>10.2012</v>
          </cell>
          <cell r="L4684">
            <v>2</v>
          </cell>
          <cell r="M4684" t="str">
            <v>EA</v>
          </cell>
          <cell r="N4684">
            <v>2009.7</v>
          </cell>
          <cell r="O4684" t="str">
            <v>INR</v>
          </cell>
        </row>
        <row r="4685">
          <cell r="A4685" t="str">
            <v>L003 Ankleshwar</v>
          </cell>
          <cell r="B4685">
            <v>663670</v>
          </cell>
          <cell r="C4685" t="str">
            <v>CARBON SEAL RING: DR1 72MM: MECH.SEAL</v>
          </cell>
          <cell r="D4685" t="str">
            <v>L0030151                       EnggStore</v>
          </cell>
          <cell r="E4685">
            <v>0</v>
          </cell>
          <cell r="F4685" t="str">
            <v>ND No planning</v>
          </cell>
          <cell r="G4685" t="str">
            <v>ERSA Spare parts</v>
          </cell>
          <cell r="H4685" t="str">
            <v>EN038     MechanicalSeals&amp;Spar</v>
          </cell>
          <cell r="I4685" t="str">
            <v>L003 Ankleshwar</v>
          </cell>
          <cell r="J4685" t="str">
            <v>99 Input/Byprodt/Scrap</v>
          </cell>
          <cell r="K4685" t="str">
            <v>10.2012</v>
          </cell>
          <cell r="L4685">
            <v>1</v>
          </cell>
          <cell r="M4685" t="str">
            <v>EA</v>
          </cell>
          <cell r="N4685">
            <v>23325.889999999901</v>
          </cell>
          <cell r="O4685" t="str">
            <v>INR</v>
          </cell>
        </row>
        <row r="4686">
          <cell r="A4686" t="str">
            <v>L003 Ankleshwar</v>
          </cell>
          <cell r="B4686">
            <v>663672</v>
          </cell>
          <cell r="C4686" t="str">
            <v>VITON O RING PNO: D DR1 72MM: MECH.SEAL</v>
          </cell>
          <cell r="D4686" t="str">
            <v>L0030151                       EnggStore</v>
          </cell>
          <cell r="E4686">
            <v>0</v>
          </cell>
          <cell r="F4686" t="str">
            <v>ND No planning</v>
          </cell>
          <cell r="G4686" t="str">
            <v>ERSA Spare parts</v>
          </cell>
          <cell r="H4686" t="str">
            <v>EN038     MechanicalSeals&amp;Spar</v>
          </cell>
          <cell r="I4686" t="str">
            <v>L003 Ankleshwar</v>
          </cell>
          <cell r="J4686" t="str">
            <v>99 Input/Byprodt/Scrap</v>
          </cell>
          <cell r="K4686" t="str">
            <v>10.2012</v>
          </cell>
          <cell r="L4686">
            <v>1</v>
          </cell>
          <cell r="M4686" t="str">
            <v>EA</v>
          </cell>
          <cell r="N4686">
            <v>1115.26</v>
          </cell>
          <cell r="O4686" t="str">
            <v>INR</v>
          </cell>
        </row>
        <row r="4687">
          <cell r="A4687" t="str">
            <v>L003 Ankleshwar</v>
          </cell>
          <cell r="B4687">
            <v>663673</v>
          </cell>
          <cell r="C4687" t="str">
            <v>VITON O RING PNO: 3 DR1 72MM: MECH.SEAL</v>
          </cell>
          <cell r="D4687" t="str">
            <v>L0030151                       EnggStore</v>
          </cell>
          <cell r="E4687">
            <v>0</v>
          </cell>
          <cell r="F4687" t="str">
            <v>ND No planning</v>
          </cell>
          <cell r="G4687" t="str">
            <v>ERSA Spare parts</v>
          </cell>
          <cell r="H4687" t="str">
            <v>EN038     MechanicalSeals&amp;Spar</v>
          </cell>
          <cell r="I4687" t="str">
            <v>L003 Ankleshwar</v>
          </cell>
          <cell r="J4687" t="str">
            <v>99 Input/Byprodt/Scrap</v>
          </cell>
          <cell r="K4687" t="str">
            <v>10.2012</v>
          </cell>
          <cell r="L4687">
            <v>1</v>
          </cell>
          <cell r="M4687" t="str">
            <v>EA</v>
          </cell>
          <cell r="N4687">
            <v>1187.21</v>
          </cell>
          <cell r="O4687" t="str">
            <v>INR</v>
          </cell>
        </row>
        <row r="4688">
          <cell r="A4688" t="str">
            <v>L003 Ankleshwar</v>
          </cell>
          <cell r="B4688">
            <v>663674</v>
          </cell>
          <cell r="C4688" t="str">
            <v>VITON O RING PNO: 5 DR1 72MM: MECH.SEAL</v>
          </cell>
          <cell r="D4688" t="str">
            <v>L0030151                       EnggStore</v>
          </cell>
          <cell r="E4688">
            <v>0</v>
          </cell>
          <cell r="F4688" t="str">
            <v>ND No planning</v>
          </cell>
          <cell r="G4688" t="str">
            <v>ERSA Spare parts</v>
          </cell>
          <cell r="H4688" t="str">
            <v>EN038     MechanicalSeals&amp;Spar</v>
          </cell>
          <cell r="I4688" t="str">
            <v>L003 Ankleshwar</v>
          </cell>
          <cell r="J4688" t="str">
            <v>99 Input/Byprodt/Scrap</v>
          </cell>
          <cell r="K4688" t="str">
            <v>10.2012</v>
          </cell>
          <cell r="L4688">
            <v>1</v>
          </cell>
          <cell r="M4688" t="str">
            <v>EA</v>
          </cell>
          <cell r="N4688">
            <v>2345.0100000000002</v>
          </cell>
          <cell r="O4688" t="str">
            <v>INR</v>
          </cell>
        </row>
        <row r="4689">
          <cell r="A4689" t="str">
            <v>L003 Ankleshwar</v>
          </cell>
          <cell r="B4689">
            <v>663675</v>
          </cell>
          <cell r="C4689" t="str">
            <v>VITON O RING PNO: B DR1 72MM: MECH.SEAL</v>
          </cell>
          <cell r="D4689" t="str">
            <v>L0030151                       EnggStore</v>
          </cell>
          <cell r="E4689">
            <v>0</v>
          </cell>
          <cell r="F4689" t="str">
            <v>ND No planning</v>
          </cell>
          <cell r="G4689" t="str">
            <v>ERSA Spare parts</v>
          </cell>
          <cell r="H4689" t="str">
            <v>EN038     MechanicalSeals&amp;Spar</v>
          </cell>
          <cell r="I4689" t="str">
            <v>L003 Ankleshwar</v>
          </cell>
          <cell r="J4689" t="str">
            <v>99 Input/Byprodt/Scrap</v>
          </cell>
          <cell r="K4689" t="str">
            <v>10.2012</v>
          </cell>
          <cell r="L4689">
            <v>1</v>
          </cell>
          <cell r="M4689" t="str">
            <v>EA</v>
          </cell>
          <cell r="N4689">
            <v>1033.5</v>
          </cell>
          <cell r="O4689" t="str">
            <v>INR</v>
          </cell>
        </row>
        <row r="4690">
          <cell r="A4690" t="str">
            <v>L003 Ankleshwar</v>
          </cell>
          <cell r="B4690">
            <v>663766</v>
          </cell>
          <cell r="C4690" t="str">
            <v>O RING  VITON HEB-E1-SP-XXXC-MF-100MM</v>
          </cell>
          <cell r="D4690" t="str">
            <v>L0030151                       EnggStore</v>
          </cell>
          <cell r="E4690">
            <v>0</v>
          </cell>
          <cell r="F4690" t="str">
            <v>ND No planning</v>
          </cell>
          <cell r="G4690" t="str">
            <v>ERSA Spare parts</v>
          </cell>
          <cell r="H4690" t="str">
            <v>EN018     UtilityEquipmentSpar</v>
          </cell>
          <cell r="I4690" t="str">
            <v>L003 Ankleshwar</v>
          </cell>
          <cell r="J4690" t="str">
            <v>99 Input/Byprodt/Scrap</v>
          </cell>
          <cell r="K4690" t="str">
            <v>10.2012</v>
          </cell>
          <cell r="L4690">
            <v>1</v>
          </cell>
          <cell r="M4690" t="str">
            <v>EA</v>
          </cell>
          <cell r="N4690">
            <v>1738.2</v>
          </cell>
          <cell r="O4690" t="str">
            <v>INR</v>
          </cell>
        </row>
        <row r="4691">
          <cell r="A4691" t="str">
            <v>L003 Ankleshwar</v>
          </cell>
          <cell r="B4691">
            <v>663777</v>
          </cell>
          <cell r="C4691" t="str">
            <v>T/C 500MM: 0-1200 D-15MM: CR710</v>
          </cell>
          <cell r="D4691" t="str">
            <v>L0030151                       EnggStore</v>
          </cell>
          <cell r="E4691" t="str">
            <v>E36 E36</v>
          </cell>
          <cell r="F4691" t="str">
            <v>VB Manual reorder point planning</v>
          </cell>
          <cell r="G4691" t="str">
            <v>ERSA Spare parts</v>
          </cell>
          <cell r="H4691" t="str">
            <v>EN017     InstrumentSpares</v>
          </cell>
          <cell r="I4691" t="str">
            <v>L003 Ankleshwar</v>
          </cell>
          <cell r="J4691" t="str">
            <v>99 Input/Byprodt/Scrap</v>
          </cell>
          <cell r="K4691" t="str">
            <v>10.2012</v>
          </cell>
          <cell r="L4691">
            <v>6</v>
          </cell>
          <cell r="M4691" t="str">
            <v>EA</v>
          </cell>
          <cell r="N4691">
            <v>6600</v>
          </cell>
          <cell r="O4691" t="str">
            <v>INR</v>
          </cell>
        </row>
        <row r="4692">
          <cell r="A4692" t="str">
            <v>L003 Ankleshwar</v>
          </cell>
          <cell r="B4692">
            <v>663779</v>
          </cell>
          <cell r="C4692" t="str">
            <v>T/C 750MM: 0-1200 D-15MM: CR710</v>
          </cell>
          <cell r="D4692" t="str">
            <v>L0030151                       EnggStore</v>
          </cell>
          <cell r="E4692" t="str">
            <v>E36 E36</v>
          </cell>
          <cell r="F4692" t="str">
            <v>VB Manual reorder point planning</v>
          </cell>
          <cell r="G4692" t="str">
            <v>ERSA Spare parts</v>
          </cell>
          <cell r="H4692" t="str">
            <v>EN017     InstrumentSpares</v>
          </cell>
          <cell r="I4692" t="str">
            <v>L003 Ankleshwar</v>
          </cell>
          <cell r="J4692" t="str">
            <v>99 Input/Byprodt/Scrap</v>
          </cell>
          <cell r="K4692" t="str">
            <v>10.2012</v>
          </cell>
          <cell r="L4692">
            <v>4</v>
          </cell>
          <cell r="M4692" t="str">
            <v>EA</v>
          </cell>
          <cell r="N4692">
            <v>4600</v>
          </cell>
          <cell r="O4692" t="str">
            <v>INR</v>
          </cell>
        </row>
        <row r="4693">
          <cell r="A4693" t="str">
            <v>L003 Ankleshwar</v>
          </cell>
          <cell r="B4693">
            <v>663802</v>
          </cell>
          <cell r="C4693" t="str">
            <v>SUCTION VALVE ASSLY LP 1903254090</v>
          </cell>
          <cell r="D4693" t="str">
            <v>L0030151                       EnggStore</v>
          </cell>
          <cell r="E4693" t="str">
            <v>E32 E32</v>
          </cell>
          <cell r="F4693" t="str">
            <v>VB Manual reorder point planning</v>
          </cell>
          <cell r="G4693" t="str">
            <v>ERSA Spare parts</v>
          </cell>
          <cell r="H4693" t="str">
            <v>EN018     UtilityEquipmentSpar</v>
          </cell>
          <cell r="I4693" t="str">
            <v>L003 Ankleshwar</v>
          </cell>
          <cell r="J4693" t="str">
            <v>99 Input/Byprodt/Scrap</v>
          </cell>
          <cell r="K4693" t="str">
            <v>10.2012</v>
          </cell>
          <cell r="L4693">
            <v>1</v>
          </cell>
          <cell r="M4693" t="str">
            <v>EA</v>
          </cell>
          <cell r="N4693">
            <v>8672.02</v>
          </cell>
          <cell r="O4693" t="str">
            <v>INR</v>
          </cell>
        </row>
        <row r="4694">
          <cell r="A4694" t="str">
            <v>L003 Ankleshwar</v>
          </cell>
          <cell r="B4694">
            <v>663805</v>
          </cell>
          <cell r="C4694" t="str">
            <v>DISCHARGE VALVE ASSLY HP 1903254390</v>
          </cell>
          <cell r="D4694" t="str">
            <v>L0030151                       EnggStore</v>
          </cell>
          <cell r="E4694" t="str">
            <v>E32 E32</v>
          </cell>
          <cell r="F4694" t="str">
            <v>VB Manual reorder point planning</v>
          </cell>
          <cell r="G4694" t="str">
            <v>ERSA Spare parts</v>
          </cell>
          <cell r="H4694" t="str">
            <v>EN018     UtilityEquipmentSpar</v>
          </cell>
          <cell r="I4694" t="str">
            <v>L003 Ankleshwar</v>
          </cell>
          <cell r="J4694" t="str">
            <v>99 Input/Byprodt/Scrap</v>
          </cell>
          <cell r="K4694" t="str">
            <v>10.2012</v>
          </cell>
          <cell r="L4694">
            <v>1</v>
          </cell>
          <cell r="M4694" t="str">
            <v>EA</v>
          </cell>
          <cell r="N4694">
            <v>9330.5799999999908</v>
          </cell>
          <cell r="O4694" t="str">
            <v>INR</v>
          </cell>
        </row>
        <row r="4695">
          <cell r="A4695" t="str">
            <v>L003 Ankleshwar</v>
          </cell>
          <cell r="B4695">
            <v>663806</v>
          </cell>
          <cell r="C4695" t="str">
            <v>SUCTION VALVE SERVICE KIT LP 1903005195</v>
          </cell>
          <cell r="D4695" t="str">
            <v>L0030151                       EnggStore</v>
          </cell>
          <cell r="E4695" t="str">
            <v>E32 E32</v>
          </cell>
          <cell r="F4695" t="str">
            <v>VB Manual reorder point planning</v>
          </cell>
          <cell r="G4695" t="str">
            <v>ERSA Spare parts</v>
          </cell>
          <cell r="H4695" t="str">
            <v>EN018     UtilityEquipmentSpar</v>
          </cell>
          <cell r="I4695" t="str">
            <v>L003 Ankleshwar</v>
          </cell>
          <cell r="J4695" t="str">
            <v>99 Input/Byprodt/Scrap</v>
          </cell>
          <cell r="K4695" t="str">
            <v>10.2012</v>
          </cell>
          <cell r="L4695">
            <v>1</v>
          </cell>
          <cell r="M4695" t="str">
            <v>EA</v>
          </cell>
          <cell r="N4695">
            <v>4915.68</v>
          </cell>
          <cell r="O4695" t="str">
            <v>INR</v>
          </cell>
        </row>
        <row r="4696">
          <cell r="A4696" t="str">
            <v>L003 Ankleshwar</v>
          </cell>
          <cell r="B4696">
            <v>663807</v>
          </cell>
          <cell r="C4696" t="str">
            <v>DISCH VALVE SERVICE KIT LP 1903005295</v>
          </cell>
          <cell r="D4696" t="str">
            <v>L0030151                       EnggStore</v>
          </cell>
          <cell r="E4696" t="str">
            <v>E32 E32</v>
          </cell>
          <cell r="F4696" t="str">
            <v>VB Manual reorder point planning</v>
          </cell>
          <cell r="G4696" t="str">
            <v>ERSA Spare parts</v>
          </cell>
          <cell r="H4696" t="str">
            <v>EN018     UtilityEquipmentSpar</v>
          </cell>
          <cell r="I4696" t="str">
            <v>L003 Ankleshwar</v>
          </cell>
          <cell r="J4696" t="str">
            <v>99 Input/Byprodt/Scrap</v>
          </cell>
          <cell r="K4696" t="str">
            <v>10.2012</v>
          </cell>
          <cell r="L4696">
            <v>1</v>
          </cell>
          <cell r="M4696" t="str">
            <v>EA</v>
          </cell>
          <cell r="N4696">
            <v>4973.5</v>
          </cell>
          <cell r="O4696" t="str">
            <v>INR</v>
          </cell>
        </row>
        <row r="4697">
          <cell r="A4697" t="str">
            <v>L003 Ankleshwar</v>
          </cell>
          <cell r="B4697">
            <v>663808</v>
          </cell>
          <cell r="C4697" t="str">
            <v>SUCTION VALVE SERVICE KIT HP 1903005395</v>
          </cell>
          <cell r="D4697" t="str">
            <v>L0030151                       EnggStore</v>
          </cell>
          <cell r="E4697" t="str">
            <v>E32 E32</v>
          </cell>
          <cell r="F4697" t="str">
            <v>VB Manual reorder point planning</v>
          </cell>
          <cell r="G4697" t="str">
            <v>ERSA Spare parts</v>
          </cell>
          <cell r="H4697" t="str">
            <v>EN018     UtilityEquipmentSpar</v>
          </cell>
          <cell r="I4697" t="str">
            <v>L003 Ankleshwar</v>
          </cell>
          <cell r="J4697" t="str">
            <v>99 Input/Byprodt/Scrap</v>
          </cell>
          <cell r="K4697" t="str">
            <v>10.2012</v>
          </cell>
          <cell r="L4697">
            <v>1</v>
          </cell>
          <cell r="M4697" t="str">
            <v>EA</v>
          </cell>
          <cell r="N4697">
            <v>5372.3599999999897</v>
          </cell>
          <cell r="O4697" t="str">
            <v>INR</v>
          </cell>
        </row>
        <row r="4698">
          <cell r="A4698" t="str">
            <v>L003 Ankleshwar</v>
          </cell>
          <cell r="B4698">
            <v>663809</v>
          </cell>
          <cell r="C4698" t="str">
            <v>DISCH VALVE SERVICE KIT HP 1903005495</v>
          </cell>
          <cell r="D4698" t="str">
            <v>L0030151                       EnggStore</v>
          </cell>
          <cell r="E4698" t="str">
            <v>E32 E32</v>
          </cell>
          <cell r="F4698" t="str">
            <v>VB Manual reorder point planning</v>
          </cell>
          <cell r="G4698" t="str">
            <v>ERSA Spare parts</v>
          </cell>
          <cell r="H4698" t="str">
            <v>EN018     UtilityEquipmentSpar</v>
          </cell>
          <cell r="I4698" t="str">
            <v>L003 Ankleshwar</v>
          </cell>
          <cell r="J4698" t="str">
            <v>99 Input/Byprodt/Scrap</v>
          </cell>
          <cell r="K4698" t="str">
            <v>10.2012</v>
          </cell>
          <cell r="L4698">
            <v>1</v>
          </cell>
          <cell r="M4698" t="str">
            <v>EA</v>
          </cell>
          <cell r="N4698">
            <v>5442.92</v>
          </cell>
          <cell r="O4698" t="str">
            <v>INR</v>
          </cell>
        </row>
        <row r="4699">
          <cell r="A4699" t="str">
            <v>L003 Ankleshwar</v>
          </cell>
          <cell r="B4699">
            <v>663810</v>
          </cell>
          <cell r="C4699" t="str">
            <v>SEAL RING CARBON RI</v>
          </cell>
          <cell r="D4699" t="str">
            <v>L0030151                       EnggStore</v>
          </cell>
          <cell r="E4699">
            <v>0</v>
          </cell>
          <cell r="F4699" t="str">
            <v>ND No planning</v>
          </cell>
          <cell r="G4699" t="str">
            <v>ERSA Spare parts</v>
          </cell>
          <cell r="H4699" t="str">
            <v>EN032     Pumpspares</v>
          </cell>
          <cell r="I4699" t="str">
            <v>L003 Ankleshwar</v>
          </cell>
          <cell r="J4699" t="str">
            <v>99 Input/Byprodt/Scrap</v>
          </cell>
          <cell r="K4699" t="str">
            <v>10.2012</v>
          </cell>
          <cell r="L4699">
            <v>1</v>
          </cell>
          <cell r="M4699" t="str">
            <v>EA</v>
          </cell>
          <cell r="N4699">
            <v>14687.799999999899</v>
          </cell>
          <cell r="O4699" t="str">
            <v>INR</v>
          </cell>
        </row>
        <row r="4700">
          <cell r="A4700" t="str">
            <v>L003 Ankleshwar</v>
          </cell>
          <cell r="B4700">
            <v>663849</v>
          </cell>
          <cell r="C4700" t="str">
            <v>5R SLEEVE: SSBCQF-0286</v>
          </cell>
          <cell r="D4700" t="str">
            <v>L0030151                       EnggStore</v>
          </cell>
          <cell r="E4700">
            <v>0</v>
          </cell>
          <cell r="F4700" t="str">
            <v>ND No planning</v>
          </cell>
          <cell r="G4700" t="str">
            <v>ERSA Spare parts</v>
          </cell>
          <cell r="H4700" t="str">
            <v>EN038     MechanicalSeals&amp;Spar</v>
          </cell>
          <cell r="I4700" t="str">
            <v>L003 Ankleshwar</v>
          </cell>
          <cell r="J4700" t="str">
            <v>99 Input/Byprodt/Scrap</v>
          </cell>
          <cell r="K4700" t="str">
            <v>10.2012</v>
          </cell>
          <cell r="L4700">
            <v>1</v>
          </cell>
          <cell r="M4700" t="str">
            <v>EA</v>
          </cell>
          <cell r="N4700">
            <v>2234</v>
          </cell>
          <cell r="O4700" t="str">
            <v>INR</v>
          </cell>
        </row>
        <row r="4701">
          <cell r="A4701" t="str">
            <v>L003 Ankleshwar</v>
          </cell>
          <cell r="B4701">
            <v>663887</v>
          </cell>
          <cell r="C4701" t="str">
            <v>MS ERW TUBE OD-38.01X3.66THK-BS3059 PT.1</v>
          </cell>
          <cell r="D4701" t="str">
            <v>L0030151                       EnggStore</v>
          </cell>
          <cell r="E4701">
            <v>0</v>
          </cell>
          <cell r="F4701" t="str">
            <v>ND No planning</v>
          </cell>
          <cell r="G4701" t="str">
            <v>ERSA Spare parts</v>
          </cell>
          <cell r="H4701" t="str">
            <v>EN028     Pipes&amp;pipefittings</v>
          </cell>
          <cell r="I4701" t="str">
            <v>L003 Ankleshwar</v>
          </cell>
          <cell r="J4701" t="str">
            <v>99 Input/Byprodt/Scrap</v>
          </cell>
          <cell r="K4701" t="str">
            <v>10.2012</v>
          </cell>
          <cell r="L4701">
            <v>24.6999999999999</v>
          </cell>
          <cell r="M4701" t="str">
            <v>MTR</v>
          </cell>
          <cell r="N4701">
            <v>4101.93</v>
          </cell>
          <cell r="O4701" t="str">
            <v>INR</v>
          </cell>
        </row>
        <row r="4702">
          <cell r="A4702" t="str">
            <v>L003 Ankleshwar</v>
          </cell>
          <cell r="B4702">
            <v>663915</v>
          </cell>
          <cell r="C4702" t="str">
            <v>KETTLE HEATER: 1 KW/230 VOLTS</v>
          </cell>
          <cell r="D4702" t="str">
            <v>L0030151                       EnggStore</v>
          </cell>
          <cell r="E4702" t="str">
            <v>E37 E37</v>
          </cell>
          <cell r="F4702" t="str">
            <v>VB Manual reorder point planning</v>
          </cell>
          <cell r="G4702" t="str">
            <v>ERSA Spare parts</v>
          </cell>
          <cell r="H4702" t="str">
            <v>EN003     ElectricalSpares</v>
          </cell>
          <cell r="I4702" t="str">
            <v>L003 Ankleshwar</v>
          </cell>
          <cell r="J4702" t="str">
            <v>99 Input/Byprodt/Scrap</v>
          </cell>
          <cell r="K4702" t="str">
            <v>10.2012</v>
          </cell>
          <cell r="L4702">
            <v>1</v>
          </cell>
          <cell r="M4702" t="str">
            <v>EA</v>
          </cell>
          <cell r="N4702">
            <v>365.75</v>
          </cell>
          <cell r="O4702" t="str">
            <v>INR</v>
          </cell>
        </row>
        <row r="4703">
          <cell r="A4703" t="str">
            <v>L003 Ankleshwar</v>
          </cell>
          <cell r="B4703">
            <v>663972</v>
          </cell>
          <cell r="C4703" t="str">
            <v>EQUAL TEE MS PTFE LINED: 25NB</v>
          </cell>
          <cell r="D4703" t="str">
            <v>L0030201                       Cons StoreKP</v>
          </cell>
          <cell r="E4703">
            <v>0</v>
          </cell>
          <cell r="F4703" t="str">
            <v>ND No planning</v>
          </cell>
          <cell r="G4703" t="str">
            <v>ERSA Spare parts</v>
          </cell>
          <cell r="H4703" t="str">
            <v>EN028     Pipes&amp;pipefittings</v>
          </cell>
          <cell r="I4703" t="str">
            <v>L003 Ankleshwar</v>
          </cell>
          <cell r="J4703" t="str">
            <v>99 Input/Byprodt/Scrap</v>
          </cell>
          <cell r="K4703" t="str">
            <v>10.2012</v>
          </cell>
          <cell r="L4703">
            <v>5</v>
          </cell>
          <cell r="M4703" t="str">
            <v>EA</v>
          </cell>
          <cell r="N4703">
            <v>5705.3999999999896</v>
          </cell>
          <cell r="O4703" t="str">
            <v>INR</v>
          </cell>
        </row>
        <row r="4704">
          <cell r="A4704" t="str">
            <v>L003 Ankleshwar</v>
          </cell>
          <cell r="B4704">
            <v>664000</v>
          </cell>
          <cell r="C4704" t="str">
            <v>O-RING: PT NO. 41221700000</v>
          </cell>
          <cell r="D4704" t="str">
            <v>L0030151                       EnggStore</v>
          </cell>
          <cell r="E4704">
            <v>0</v>
          </cell>
          <cell r="F4704" t="str">
            <v>ND No planning</v>
          </cell>
          <cell r="G4704" t="str">
            <v>ERSA Spare parts</v>
          </cell>
          <cell r="H4704" t="str">
            <v>EN020     RubberItems&amp;Oil Seal</v>
          </cell>
          <cell r="I4704" t="str">
            <v>L003 Ankleshwar</v>
          </cell>
          <cell r="J4704" t="str">
            <v>99 Input/Byprodt/Scrap</v>
          </cell>
          <cell r="K4704" t="str">
            <v>10.2012</v>
          </cell>
          <cell r="L4704">
            <v>2</v>
          </cell>
          <cell r="M4704" t="str">
            <v>EA</v>
          </cell>
          <cell r="N4704">
            <v>579.15999999999894</v>
          </cell>
          <cell r="O4704" t="str">
            <v>INR</v>
          </cell>
        </row>
        <row r="4705">
          <cell r="A4705" t="str">
            <v>L003 Ankleshwar</v>
          </cell>
          <cell r="B4705">
            <v>664032</v>
          </cell>
          <cell r="C4705" t="str">
            <v>CIRCLIP E 60 DIA: PT NO. 43106300000</v>
          </cell>
          <cell r="D4705" t="str">
            <v>L0030151                       EnggStore</v>
          </cell>
          <cell r="E4705">
            <v>0</v>
          </cell>
          <cell r="F4705" t="str">
            <v>ND No planning</v>
          </cell>
          <cell r="G4705" t="str">
            <v>ERSA Spare parts</v>
          </cell>
          <cell r="H4705" t="str">
            <v>EN022     Hardwareitems</v>
          </cell>
          <cell r="I4705" t="str">
            <v>L003 Ankleshwar</v>
          </cell>
          <cell r="J4705" t="str">
            <v>99 Input/Byprodt/Scrap</v>
          </cell>
          <cell r="K4705" t="str">
            <v>10.2012</v>
          </cell>
          <cell r="L4705">
            <v>1</v>
          </cell>
          <cell r="M4705" t="str">
            <v>EA</v>
          </cell>
          <cell r="N4705">
            <v>203.08</v>
          </cell>
          <cell r="O4705" t="str">
            <v>INR</v>
          </cell>
        </row>
        <row r="4706">
          <cell r="A4706" t="str">
            <v>L003 Ankleshwar</v>
          </cell>
          <cell r="B4706">
            <v>664035</v>
          </cell>
          <cell r="C4706" t="str">
            <v>CIRCLIP: PT NO. 43107000000</v>
          </cell>
          <cell r="D4706" t="str">
            <v>L0030151                       EnggStore</v>
          </cell>
          <cell r="E4706">
            <v>0</v>
          </cell>
          <cell r="F4706" t="str">
            <v>ND No planning</v>
          </cell>
          <cell r="G4706" t="str">
            <v>ERSA Spare parts</v>
          </cell>
          <cell r="H4706" t="str">
            <v>EN022     Hardwareitems</v>
          </cell>
          <cell r="I4706" t="str">
            <v>L003 Ankleshwar</v>
          </cell>
          <cell r="J4706" t="str">
            <v>99 Input/Byprodt/Scrap</v>
          </cell>
          <cell r="K4706" t="str">
            <v>10.2012</v>
          </cell>
          <cell r="L4706">
            <v>1</v>
          </cell>
          <cell r="M4706" t="str">
            <v>EA</v>
          </cell>
          <cell r="N4706">
            <v>313.24</v>
          </cell>
          <cell r="O4706" t="str">
            <v>INR</v>
          </cell>
        </row>
        <row r="4707">
          <cell r="A4707" t="str">
            <v>L003 Ankleshwar</v>
          </cell>
          <cell r="B4707">
            <v>664036</v>
          </cell>
          <cell r="C4707" t="str">
            <v>OIL SEAL-BA145X170X15 PT NO.41139900000</v>
          </cell>
          <cell r="D4707" t="str">
            <v>L0030151                       EnggStore</v>
          </cell>
          <cell r="E4707">
            <v>0</v>
          </cell>
          <cell r="F4707" t="str">
            <v>ND No planning</v>
          </cell>
          <cell r="G4707" t="str">
            <v>ERSA Spare parts</v>
          </cell>
          <cell r="H4707" t="str">
            <v>EN020     RubberItems&amp;Oil Seal</v>
          </cell>
          <cell r="I4707" t="str">
            <v>L003 Ankleshwar</v>
          </cell>
          <cell r="J4707" t="str">
            <v>99 Input/Byprodt/Scrap</v>
          </cell>
          <cell r="K4707" t="str">
            <v>10.2012</v>
          </cell>
          <cell r="L4707">
            <v>2</v>
          </cell>
          <cell r="M4707" t="str">
            <v>EA</v>
          </cell>
          <cell r="N4707">
            <v>18084.560000000001</v>
          </cell>
          <cell r="O4707" t="str">
            <v>INR</v>
          </cell>
        </row>
        <row r="4708">
          <cell r="A4708" t="str">
            <v>L003 Ankleshwar</v>
          </cell>
          <cell r="B4708">
            <v>664147</v>
          </cell>
          <cell r="C4708" t="str">
            <v>PHE EPDM GASKET ALFA LEVEL M6 MFM</v>
          </cell>
          <cell r="D4708" t="str">
            <v>L0030151                       EnggStore</v>
          </cell>
          <cell r="E4708" t="str">
            <v>E35 E35</v>
          </cell>
          <cell r="F4708" t="str">
            <v>VB Manual reorder point planning</v>
          </cell>
          <cell r="G4708" t="str">
            <v>ERSA Spare parts</v>
          </cell>
          <cell r="H4708" t="str">
            <v>EN039     PlantEquipmentSpares</v>
          </cell>
          <cell r="I4708" t="str">
            <v>L003 Ankleshwar</v>
          </cell>
          <cell r="J4708" t="str">
            <v>99 Input/Byprodt/Scrap</v>
          </cell>
          <cell r="K4708" t="str">
            <v>10.2012</v>
          </cell>
          <cell r="L4708">
            <v>4</v>
          </cell>
          <cell r="M4708" t="str">
            <v>EA</v>
          </cell>
          <cell r="N4708">
            <v>1340.28</v>
          </cell>
          <cell r="O4708" t="str">
            <v>INR</v>
          </cell>
        </row>
        <row r="4709">
          <cell r="A4709" t="str">
            <v>L003 Ankleshwar</v>
          </cell>
          <cell r="B4709">
            <v>664165</v>
          </cell>
          <cell r="C4709" t="str">
            <v>CHAIN FOR OIL PUMP, PATKAR OTL 175 PUMP</v>
          </cell>
          <cell r="D4709" t="str">
            <v>L0030151                       EnggStore</v>
          </cell>
          <cell r="E4709">
            <v>0</v>
          </cell>
          <cell r="F4709" t="str">
            <v>ND No planning</v>
          </cell>
          <cell r="G4709" t="str">
            <v>ERSA Spare parts</v>
          </cell>
          <cell r="H4709" t="str">
            <v>EN039     PlantEquipmentSpares</v>
          </cell>
          <cell r="I4709" t="str">
            <v>L003 Ankleshwar</v>
          </cell>
          <cell r="J4709" t="str">
            <v>99 Input/Byprodt/Scrap</v>
          </cell>
          <cell r="K4709" t="str">
            <v>10.2012</v>
          </cell>
          <cell r="L4709">
            <v>1</v>
          </cell>
          <cell r="M4709" t="str">
            <v>EA</v>
          </cell>
          <cell r="N4709">
            <v>780</v>
          </cell>
          <cell r="O4709" t="str">
            <v>INR</v>
          </cell>
        </row>
        <row r="4710">
          <cell r="A4710" t="str">
            <v>L003 Ankleshwar</v>
          </cell>
          <cell r="B4710">
            <v>664177</v>
          </cell>
          <cell r="C4710" t="str">
            <v>RETROFITTING KIT: L&amp;T FN 400A TPN SWITCH</v>
          </cell>
          <cell r="D4710" t="str">
            <v>L0030151                       EnggStore</v>
          </cell>
          <cell r="E4710">
            <v>0</v>
          </cell>
          <cell r="F4710" t="str">
            <v>ND No planning</v>
          </cell>
          <cell r="G4710" t="str">
            <v>ERSA Spare parts</v>
          </cell>
          <cell r="H4710" t="str">
            <v>EN006     Elec Switchgear</v>
          </cell>
          <cell r="I4710" t="str">
            <v>L003 Ankleshwar</v>
          </cell>
          <cell r="J4710" t="str">
            <v>99 Input/Byprodt/Scrap</v>
          </cell>
          <cell r="K4710" t="str">
            <v>10.2012</v>
          </cell>
          <cell r="L4710">
            <v>1</v>
          </cell>
          <cell r="M4710" t="str">
            <v>EA</v>
          </cell>
          <cell r="N4710">
            <v>3500</v>
          </cell>
          <cell r="O4710" t="str">
            <v>INR</v>
          </cell>
        </row>
        <row r="4711">
          <cell r="A4711" t="str">
            <v>L003 Ankleshwar</v>
          </cell>
          <cell r="B4711">
            <v>664202</v>
          </cell>
          <cell r="C4711" t="str">
            <v>METALHELLIDE LAMP DOUBLE END: 150W 230V</v>
          </cell>
          <cell r="D4711" t="str">
            <v>L0030151                       EnggStore</v>
          </cell>
          <cell r="E4711" t="str">
            <v>E36 E36</v>
          </cell>
          <cell r="F4711" t="str">
            <v>VB Manual reorder point planning</v>
          </cell>
          <cell r="G4711" t="str">
            <v>ERSA Spare parts</v>
          </cell>
          <cell r="H4711" t="str">
            <v>EN005     Elec Lighting</v>
          </cell>
          <cell r="I4711" t="str">
            <v>L003 Ankleshwar</v>
          </cell>
          <cell r="J4711" t="str">
            <v>99 Input/Byprodt/Scrap</v>
          </cell>
          <cell r="K4711" t="str">
            <v>10.2012</v>
          </cell>
          <cell r="L4711">
            <v>8</v>
          </cell>
          <cell r="M4711" t="str">
            <v>EA</v>
          </cell>
          <cell r="N4711">
            <v>2640</v>
          </cell>
          <cell r="O4711" t="str">
            <v>INR</v>
          </cell>
        </row>
        <row r="4712">
          <cell r="A4712" t="str">
            <v>L003 Ankleshwar</v>
          </cell>
          <cell r="B4712">
            <v>664254</v>
          </cell>
          <cell r="C4712" t="str">
            <v>GASKET PACKING 39312962 IR 8X7 NL</v>
          </cell>
          <cell r="D4712" t="str">
            <v>L0030151                       EnggStore</v>
          </cell>
          <cell r="E4712">
            <v>0</v>
          </cell>
          <cell r="F4712" t="str">
            <v>ND No planning</v>
          </cell>
          <cell r="G4712" t="str">
            <v>ERSA Spare parts</v>
          </cell>
          <cell r="H4712" t="str">
            <v>EN018     UtilityEquipmentSpar</v>
          </cell>
          <cell r="I4712" t="str">
            <v>L003 Ankleshwar</v>
          </cell>
          <cell r="J4712" t="str">
            <v>99 Input/Byprodt/Scrap</v>
          </cell>
          <cell r="K4712" t="str">
            <v>10.2012</v>
          </cell>
          <cell r="L4712">
            <v>2</v>
          </cell>
          <cell r="M4712" t="str">
            <v>EA</v>
          </cell>
          <cell r="N4712">
            <v>462.86</v>
          </cell>
          <cell r="O4712" t="str">
            <v>INR</v>
          </cell>
        </row>
        <row r="4713">
          <cell r="A4713" t="str">
            <v>L003 Ankleshwar</v>
          </cell>
          <cell r="B4713">
            <v>664256</v>
          </cell>
          <cell r="C4713" t="str">
            <v>PLATE PORT FRAME END 37803137 IR 8X7 NL</v>
          </cell>
          <cell r="D4713" t="str">
            <v>L0030151                       EnggStore</v>
          </cell>
          <cell r="E4713">
            <v>0</v>
          </cell>
          <cell r="F4713" t="str">
            <v>ND No planning</v>
          </cell>
          <cell r="G4713" t="str">
            <v>ERSA Spare parts</v>
          </cell>
          <cell r="H4713" t="str">
            <v>EN018     UtilityEquipmentSpar</v>
          </cell>
          <cell r="I4713" t="str">
            <v>L003 Ankleshwar</v>
          </cell>
          <cell r="J4713" t="str">
            <v>99 Input/Byprodt/Scrap</v>
          </cell>
          <cell r="K4713" t="str">
            <v>10.2012</v>
          </cell>
          <cell r="L4713">
            <v>1</v>
          </cell>
          <cell r="M4713" t="str">
            <v>EA</v>
          </cell>
          <cell r="N4713">
            <v>4258.4799999999896</v>
          </cell>
          <cell r="O4713" t="str">
            <v>INR</v>
          </cell>
        </row>
        <row r="4714">
          <cell r="A4714" t="str">
            <v>L003 Ankleshwar</v>
          </cell>
          <cell r="B4714">
            <v>664275</v>
          </cell>
          <cell r="C4714" t="str">
            <v>GUIDE VALVE 37041324 IR 8X7 NL</v>
          </cell>
          <cell r="D4714" t="str">
            <v>L0030151                       EnggStore</v>
          </cell>
          <cell r="E4714">
            <v>0</v>
          </cell>
          <cell r="F4714" t="str">
            <v>ND No planning</v>
          </cell>
          <cell r="G4714" t="str">
            <v>ERSA Spare parts</v>
          </cell>
          <cell r="H4714" t="str">
            <v>EN018     UtilityEquipmentSpar</v>
          </cell>
          <cell r="I4714" t="str">
            <v>L003 Ankleshwar</v>
          </cell>
          <cell r="J4714" t="str">
            <v>99 Input/Byprodt/Scrap</v>
          </cell>
          <cell r="K4714" t="str">
            <v>10.2012</v>
          </cell>
          <cell r="L4714">
            <v>30</v>
          </cell>
          <cell r="M4714" t="str">
            <v>EA</v>
          </cell>
          <cell r="N4714">
            <v>2565</v>
          </cell>
          <cell r="O4714" t="str">
            <v>INR</v>
          </cell>
        </row>
        <row r="4715">
          <cell r="A4715" t="str">
            <v>L003 Ankleshwar</v>
          </cell>
          <cell r="B4715">
            <v>664278</v>
          </cell>
          <cell r="C4715" t="str">
            <v>SCREW GUIDE 31208549IM IR 8X7 NL</v>
          </cell>
          <cell r="D4715" t="str">
            <v>L0030151                       EnggStore</v>
          </cell>
          <cell r="E4715">
            <v>0</v>
          </cell>
          <cell r="F4715" t="str">
            <v>ND No planning</v>
          </cell>
          <cell r="G4715" t="str">
            <v>ERSA Spare parts</v>
          </cell>
          <cell r="H4715" t="str">
            <v>EN018     UtilityEquipmentSpar</v>
          </cell>
          <cell r="I4715" t="str">
            <v>L003 Ankleshwar</v>
          </cell>
          <cell r="J4715" t="str">
            <v>99 Input/Byprodt/Scrap</v>
          </cell>
          <cell r="K4715" t="str">
            <v>10.2012</v>
          </cell>
          <cell r="L4715">
            <v>3</v>
          </cell>
          <cell r="M4715" t="str">
            <v>EA</v>
          </cell>
          <cell r="N4715">
            <v>32.6099999999999</v>
          </cell>
          <cell r="O4715" t="str">
            <v>INR</v>
          </cell>
        </row>
        <row r="4716">
          <cell r="A4716" t="str">
            <v>L003 Ankleshwar</v>
          </cell>
          <cell r="B4716">
            <v>664279</v>
          </cell>
          <cell r="C4716" t="str">
            <v>SPRING UNLOADER 30673396 IR 8X7 NL</v>
          </cell>
          <cell r="D4716" t="str">
            <v>L0030151                       EnggStore</v>
          </cell>
          <cell r="E4716">
            <v>0</v>
          </cell>
          <cell r="F4716" t="str">
            <v>ND No planning</v>
          </cell>
          <cell r="G4716" t="str">
            <v>ERSA Spare parts</v>
          </cell>
          <cell r="H4716" t="str">
            <v>EN018     UtilityEquipmentSpar</v>
          </cell>
          <cell r="I4716" t="str">
            <v>L003 Ankleshwar</v>
          </cell>
          <cell r="J4716" t="str">
            <v>99 Input/Byprodt/Scrap</v>
          </cell>
          <cell r="K4716" t="str">
            <v>10.2012</v>
          </cell>
          <cell r="L4716">
            <v>1</v>
          </cell>
          <cell r="M4716" t="str">
            <v>EA</v>
          </cell>
          <cell r="N4716">
            <v>6.91</v>
          </cell>
          <cell r="O4716" t="str">
            <v>INR</v>
          </cell>
        </row>
        <row r="4717">
          <cell r="A4717" t="str">
            <v>L003 Ankleshwar</v>
          </cell>
          <cell r="B4717">
            <v>664282</v>
          </cell>
          <cell r="C4717" t="str">
            <v>STOP PLATE 70210398 IR 8X7 NL</v>
          </cell>
          <cell r="D4717" t="str">
            <v>L0030151                       EnggStore</v>
          </cell>
          <cell r="E4717" t="str">
            <v>E32 E32</v>
          </cell>
          <cell r="F4717" t="str">
            <v>VB Manual reorder point planning</v>
          </cell>
          <cell r="G4717" t="str">
            <v>ERSA Spare parts</v>
          </cell>
          <cell r="H4717" t="str">
            <v>EN018     UtilityEquipmentSpar</v>
          </cell>
          <cell r="I4717" t="str">
            <v>L003 Ankleshwar</v>
          </cell>
          <cell r="J4717" t="str">
            <v>99 Input/Byprodt/Scrap</v>
          </cell>
          <cell r="K4717" t="str">
            <v>10.2012</v>
          </cell>
          <cell r="L4717">
            <v>1</v>
          </cell>
          <cell r="M4717" t="str">
            <v>EA</v>
          </cell>
          <cell r="N4717">
            <v>1020.05</v>
          </cell>
          <cell r="O4717" t="str">
            <v>INR</v>
          </cell>
        </row>
        <row r="4718">
          <cell r="A4718" t="str">
            <v>L003 Ankleshwar</v>
          </cell>
          <cell r="B4718">
            <v>664295</v>
          </cell>
          <cell r="C4718" t="str">
            <v>SOLENOID VALVES 5/2WAY 1/4" BSP ROTEX</v>
          </cell>
          <cell r="D4718" t="str">
            <v>L0030151                       EnggStore</v>
          </cell>
          <cell r="E4718" t="str">
            <v>E32 E32</v>
          </cell>
          <cell r="F4718" t="str">
            <v>VB Manual reorder point planning</v>
          </cell>
          <cell r="G4718" t="str">
            <v>ERSA Spare parts</v>
          </cell>
          <cell r="H4718" t="str">
            <v>EN017     InstrumentSpares</v>
          </cell>
          <cell r="I4718" t="str">
            <v>L003 Ankleshwar</v>
          </cell>
          <cell r="J4718" t="str">
            <v>99 Input/Byprodt/Scrap</v>
          </cell>
          <cell r="K4718" t="str">
            <v>10.2012</v>
          </cell>
          <cell r="L4718">
            <v>1</v>
          </cell>
          <cell r="M4718" t="str">
            <v>EA</v>
          </cell>
          <cell r="N4718">
            <v>2782.5599999999899</v>
          </cell>
          <cell r="O4718" t="str">
            <v>INR</v>
          </cell>
        </row>
        <row r="4719">
          <cell r="A4719" t="str">
            <v>L003 Ankleshwar</v>
          </cell>
          <cell r="B4719">
            <v>664296</v>
          </cell>
          <cell r="C4719" t="str">
            <v>NRV 3" CS SPRING LOADED WAFER TYPE</v>
          </cell>
          <cell r="D4719" t="str">
            <v>L0030151                       EnggStore</v>
          </cell>
          <cell r="E4719">
            <v>0</v>
          </cell>
          <cell r="F4719" t="str">
            <v>ND No planning</v>
          </cell>
          <cell r="G4719" t="str">
            <v>ERSA Spare parts</v>
          </cell>
          <cell r="H4719" t="str">
            <v>EN023     Valves&amp;spares</v>
          </cell>
          <cell r="I4719" t="str">
            <v>L003 Ankleshwar</v>
          </cell>
          <cell r="J4719" t="str">
            <v>99 Input/Byprodt/Scrap</v>
          </cell>
          <cell r="K4719" t="str">
            <v>10.2012</v>
          </cell>
          <cell r="L4719">
            <v>2</v>
          </cell>
          <cell r="M4719" t="str">
            <v>EA</v>
          </cell>
          <cell r="N4719">
            <v>1480</v>
          </cell>
          <cell r="O4719" t="str">
            <v>INR</v>
          </cell>
        </row>
        <row r="4720">
          <cell r="A4720" t="str">
            <v>L003 Ankleshwar</v>
          </cell>
          <cell r="B4720">
            <v>664305</v>
          </cell>
          <cell r="C4720" t="str">
            <v>PLUNGER UNLOADER 30673396 IR 8X7 NL</v>
          </cell>
          <cell r="D4720" t="str">
            <v>L0030151                       EnggStore</v>
          </cell>
          <cell r="E4720">
            <v>0</v>
          </cell>
          <cell r="F4720" t="str">
            <v>ND No planning</v>
          </cell>
          <cell r="G4720" t="str">
            <v>ERSA Spare parts</v>
          </cell>
          <cell r="H4720" t="str">
            <v>EN018     UtilityEquipmentSpar</v>
          </cell>
          <cell r="I4720" t="str">
            <v>L003 Ankleshwar</v>
          </cell>
          <cell r="J4720" t="str">
            <v>99 Input/Byprodt/Scrap</v>
          </cell>
          <cell r="K4720" t="str">
            <v>10.2012</v>
          </cell>
          <cell r="L4720">
            <v>3</v>
          </cell>
          <cell r="M4720" t="str">
            <v>EA</v>
          </cell>
          <cell r="N4720">
            <v>1207.1300000000001</v>
          </cell>
          <cell r="O4720" t="str">
            <v>INR</v>
          </cell>
        </row>
        <row r="4721">
          <cell r="A4721" t="str">
            <v>L003 Ankleshwar</v>
          </cell>
          <cell r="B4721">
            <v>664306</v>
          </cell>
          <cell r="C4721" t="str">
            <v>RING PISTON UNLOADER IR 8X7 NL</v>
          </cell>
          <cell r="D4721" t="str">
            <v>L0030151                       EnggStore</v>
          </cell>
          <cell r="E4721">
            <v>0</v>
          </cell>
          <cell r="F4721" t="str">
            <v>ND No planning</v>
          </cell>
          <cell r="G4721" t="str">
            <v>ERSA Spare parts</v>
          </cell>
          <cell r="H4721" t="str">
            <v>EN018     UtilityEquipmentSpar</v>
          </cell>
          <cell r="I4721" t="str">
            <v>L003 Ankleshwar</v>
          </cell>
          <cell r="J4721" t="str">
            <v>99 Input/Byprodt/Scrap</v>
          </cell>
          <cell r="K4721" t="str">
            <v>10.2012</v>
          </cell>
          <cell r="L4721">
            <v>3</v>
          </cell>
          <cell r="M4721" t="str">
            <v>EA</v>
          </cell>
          <cell r="N4721">
            <v>383.35</v>
          </cell>
          <cell r="O4721" t="str">
            <v>INR</v>
          </cell>
        </row>
        <row r="4722">
          <cell r="A4722" t="str">
            <v>L003 Ankleshwar</v>
          </cell>
          <cell r="B4722">
            <v>664307</v>
          </cell>
          <cell r="C4722" t="str">
            <v>STOP PLATE 37020625 IR 8X7 NL</v>
          </cell>
          <cell r="D4722" t="str">
            <v>L0030151                       EnggStore</v>
          </cell>
          <cell r="E4722">
            <v>0</v>
          </cell>
          <cell r="F4722" t="str">
            <v>ND No planning</v>
          </cell>
          <cell r="G4722" t="str">
            <v>ERSA Spare parts</v>
          </cell>
          <cell r="H4722" t="str">
            <v>EN018     UtilityEquipmentSpar</v>
          </cell>
          <cell r="I4722" t="str">
            <v>L003 Ankleshwar</v>
          </cell>
          <cell r="J4722" t="str">
            <v>99 Input/Byprodt/Scrap</v>
          </cell>
          <cell r="K4722" t="str">
            <v>10.2012</v>
          </cell>
          <cell r="L4722">
            <v>1</v>
          </cell>
          <cell r="M4722" t="str">
            <v>EA</v>
          </cell>
          <cell r="N4722">
            <v>590.82000000000005</v>
          </cell>
          <cell r="O4722" t="str">
            <v>INR</v>
          </cell>
        </row>
        <row r="4723">
          <cell r="A4723" t="str">
            <v>L003 Ankleshwar</v>
          </cell>
          <cell r="B4723">
            <v>664387</v>
          </cell>
          <cell r="C4723" t="str">
            <v>OIL SEAL: 350X500X50</v>
          </cell>
          <cell r="D4723" t="str">
            <v>L0030151                       EnggStore</v>
          </cell>
          <cell r="E4723">
            <v>0</v>
          </cell>
          <cell r="F4723" t="str">
            <v>ND No planning</v>
          </cell>
          <cell r="G4723" t="str">
            <v>ERSA Spare parts</v>
          </cell>
          <cell r="H4723" t="str">
            <v>EN039     PlantEquipmentSpares</v>
          </cell>
          <cell r="I4723" t="str">
            <v>L003 Ankleshwar</v>
          </cell>
          <cell r="J4723" t="str">
            <v>99 Input/Byprodt/Scrap</v>
          </cell>
          <cell r="K4723" t="str">
            <v>10.2012</v>
          </cell>
          <cell r="L4723">
            <v>3</v>
          </cell>
          <cell r="M4723" t="str">
            <v>NO</v>
          </cell>
          <cell r="N4723">
            <v>129.599999999999</v>
          </cell>
          <cell r="O4723" t="str">
            <v>INR</v>
          </cell>
        </row>
        <row r="4724">
          <cell r="A4724" t="str">
            <v>L003 Ankleshwar</v>
          </cell>
          <cell r="B4724">
            <v>664481</v>
          </cell>
          <cell r="C4724" t="str">
            <v>OIL SEAL : 60 X 85 X 10 VITON</v>
          </cell>
          <cell r="D4724" t="str">
            <v>L0030151                       EnggStore</v>
          </cell>
          <cell r="E4724" t="str">
            <v>E35 E35</v>
          </cell>
          <cell r="F4724" t="str">
            <v>VB Manual reorder point planning</v>
          </cell>
          <cell r="G4724" t="str">
            <v>ERSA Spare parts</v>
          </cell>
          <cell r="H4724" t="str">
            <v>EN020     RubberItems&amp;Oil Seal</v>
          </cell>
          <cell r="I4724" t="str">
            <v>L003 Ankleshwar</v>
          </cell>
          <cell r="J4724" t="str">
            <v>99 Input/Byprodt/Scrap</v>
          </cell>
          <cell r="K4724" t="str">
            <v>10.2012</v>
          </cell>
          <cell r="L4724">
            <v>1</v>
          </cell>
          <cell r="M4724" t="str">
            <v>EA</v>
          </cell>
          <cell r="N4724">
            <v>265</v>
          </cell>
          <cell r="O4724" t="str">
            <v>INR</v>
          </cell>
        </row>
        <row r="4725">
          <cell r="A4725" t="str">
            <v>L003 Ankleshwar</v>
          </cell>
          <cell r="B4725">
            <v>664483</v>
          </cell>
          <cell r="C4725" t="str">
            <v>PP BACK PLATE EXP-170</v>
          </cell>
          <cell r="D4725" t="str">
            <v>L0030151                       EnggStore</v>
          </cell>
          <cell r="E4725" t="str">
            <v>E34 E34</v>
          </cell>
          <cell r="F4725" t="str">
            <v>VB Manual reorder point planning</v>
          </cell>
          <cell r="G4725" t="str">
            <v>ERSA Spare parts</v>
          </cell>
          <cell r="H4725" t="str">
            <v>EN032     Pumpspares</v>
          </cell>
          <cell r="I4725" t="str">
            <v>L003 Ankleshwar</v>
          </cell>
          <cell r="J4725" t="str">
            <v>99 Input/Byprodt/Scrap</v>
          </cell>
          <cell r="K4725" t="str">
            <v>10.2012</v>
          </cell>
          <cell r="L4725">
            <v>2</v>
          </cell>
          <cell r="M4725" t="str">
            <v>EA</v>
          </cell>
          <cell r="N4725">
            <v>3676.25</v>
          </cell>
          <cell r="O4725" t="str">
            <v>INR</v>
          </cell>
        </row>
        <row r="4726">
          <cell r="A4726" t="str">
            <v>L003 Ankleshwar</v>
          </cell>
          <cell r="B4726">
            <v>664617</v>
          </cell>
          <cell r="C4726" t="str">
            <v>NAILS 3"</v>
          </cell>
          <cell r="D4726" t="str">
            <v>L0030151                       EnggStore</v>
          </cell>
          <cell r="E4726">
            <v>0</v>
          </cell>
          <cell r="F4726" t="str">
            <v>ND No planning</v>
          </cell>
          <cell r="G4726" t="str">
            <v>ERSA Spare parts</v>
          </cell>
          <cell r="H4726" t="str">
            <v>EN019     Civil/Buliding Mater</v>
          </cell>
          <cell r="I4726" t="str">
            <v>L003 Ankleshwar</v>
          </cell>
          <cell r="J4726" t="str">
            <v>99 Input/Byprodt/Scrap</v>
          </cell>
          <cell r="K4726" t="str">
            <v>10.2012</v>
          </cell>
          <cell r="L4726">
            <v>5</v>
          </cell>
          <cell r="M4726" t="str">
            <v>KG</v>
          </cell>
          <cell r="N4726">
            <v>315</v>
          </cell>
          <cell r="O4726" t="str">
            <v>INR</v>
          </cell>
        </row>
        <row r="4727">
          <cell r="A4727" t="str">
            <v>L003 Ankleshwar</v>
          </cell>
          <cell r="B4727">
            <v>664618</v>
          </cell>
          <cell r="C4727" t="str">
            <v>NAILS 17X11/4"</v>
          </cell>
          <cell r="D4727" t="str">
            <v>L0030151                       EnggStore</v>
          </cell>
          <cell r="E4727">
            <v>0</v>
          </cell>
          <cell r="F4727" t="str">
            <v>ND No planning</v>
          </cell>
          <cell r="G4727" t="str">
            <v>ERSA Spare parts</v>
          </cell>
          <cell r="H4727" t="str">
            <v>EN019     Civil/Buliding Mater</v>
          </cell>
          <cell r="I4727" t="str">
            <v>L003 Ankleshwar</v>
          </cell>
          <cell r="J4727" t="str">
            <v>99 Input/Byprodt/Scrap</v>
          </cell>
          <cell r="K4727" t="str">
            <v>10.2012</v>
          </cell>
          <cell r="L4727">
            <v>5</v>
          </cell>
          <cell r="M4727" t="str">
            <v>KG</v>
          </cell>
          <cell r="N4727">
            <v>420</v>
          </cell>
          <cell r="O4727" t="str">
            <v>INR</v>
          </cell>
        </row>
        <row r="4728">
          <cell r="A4728" t="str">
            <v>L003 Ankleshwar</v>
          </cell>
          <cell r="B4728">
            <v>664619</v>
          </cell>
          <cell r="C4728" t="str">
            <v>NAILS 17X1</v>
          </cell>
          <cell r="D4728" t="str">
            <v>L0030151                       EnggStore</v>
          </cell>
          <cell r="E4728">
            <v>0</v>
          </cell>
          <cell r="F4728" t="str">
            <v>ND No planning</v>
          </cell>
          <cell r="G4728" t="str">
            <v>ERSA Spare parts</v>
          </cell>
          <cell r="H4728" t="str">
            <v>EN019     Civil/Buliding Mater</v>
          </cell>
          <cell r="I4728" t="str">
            <v>L003 Ankleshwar</v>
          </cell>
          <cell r="J4728" t="str">
            <v>99 Input/Byprodt/Scrap</v>
          </cell>
          <cell r="K4728" t="str">
            <v>10.2012</v>
          </cell>
          <cell r="L4728">
            <v>5</v>
          </cell>
          <cell r="M4728" t="str">
            <v>KG</v>
          </cell>
          <cell r="N4728">
            <v>420</v>
          </cell>
          <cell r="O4728" t="str">
            <v>INR</v>
          </cell>
        </row>
        <row r="4729">
          <cell r="A4729" t="str">
            <v>L003 Ankleshwar</v>
          </cell>
          <cell r="B4729">
            <v>664624</v>
          </cell>
          <cell r="C4729" t="str">
            <v>JASTI NAILS 2" LONG</v>
          </cell>
          <cell r="D4729" t="str">
            <v>L0030201                       Cons StoreKP</v>
          </cell>
          <cell r="E4729">
            <v>0</v>
          </cell>
          <cell r="F4729" t="str">
            <v>ND No planning</v>
          </cell>
          <cell r="G4729" t="str">
            <v>ERSA Spare parts</v>
          </cell>
          <cell r="H4729" t="str">
            <v>EN019     Civil/Buliding Mater</v>
          </cell>
          <cell r="I4729" t="str">
            <v>L003 Ankleshwar</v>
          </cell>
          <cell r="J4729" t="str">
            <v>99 Input/Byprodt/Scrap</v>
          </cell>
          <cell r="K4729" t="str">
            <v>10.2012</v>
          </cell>
          <cell r="L4729">
            <v>2</v>
          </cell>
          <cell r="M4729" t="str">
            <v>KG</v>
          </cell>
          <cell r="N4729">
            <v>157.5</v>
          </cell>
          <cell r="O4729" t="str">
            <v>INR</v>
          </cell>
        </row>
        <row r="4730">
          <cell r="A4730" t="str">
            <v>L003 Ankleshwar</v>
          </cell>
          <cell r="B4730">
            <v>664630</v>
          </cell>
          <cell r="C4730" t="str">
            <v>URINAL WASTE PIPE</v>
          </cell>
          <cell r="D4730" t="str">
            <v>L0030201                       Cons StoreKP</v>
          </cell>
          <cell r="E4730">
            <v>0</v>
          </cell>
          <cell r="F4730" t="str">
            <v>ND No planning</v>
          </cell>
          <cell r="G4730" t="str">
            <v>ERSA Spare parts</v>
          </cell>
          <cell r="H4730" t="str">
            <v>EN019     Civil/Buliding Mater</v>
          </cell>
          <cell r="I4730" t="str">
            <v>L003 Ankleshwar</v>
          </cell>
          <cell r="J4730" t="str">
            <v>99 Input/Byprodt/Scrap</v>
          </cell>
          <cell r="K4730" t="str">
            <v>10.2012</v>
          </cell>
          <cell r="L4730">
            <v>24</v>
          </cell>
          <cell r="M4730" t="str">
            <v>EA</v>
          </cell>
          <cell r="N4730">
            <v>690</v>
          </cell>
          <cell r="O4730" t="str">
            <v>INR</v>
          </cell>
        </row>
        <row r="4731">
          <cell r="A4731" t="str">
            <v>L003 Ankleshwar</v>
          </cell>
          <cell r="B4731">
            <v>664637</v>
          </cell>
          <cell r="C4731" t="str">
            <v>L HOOK 8"X2.5"</v>
          </cell>
          <cell r="D4731" t="str">
            <v>L0030151                       EnggStore</v>
          </cell>
          <cell r="E4731">
            <v>0</v>
          </cell>
          <cell r="F4731" t="str">
            <v>ND No planning</v>
          </cell>
          <cell r="G4731" t="str">
            <v>ERSA Spare parts</v>
          </cell>
          <cell r="H4731" t="str">
            <v>EN019     Civil/Buliding Mater</v>
          </cell>
          <cell r="I4731" t="str">
            <v>L003 Ankleshwar</v>
          </cell>
          <cell r="J4731" t="str">
            <v>99 Input/Byprodt/Scrap</v>
          </cell>
          <cell r="K4731" t="str">
            <v>10.2012</v>
          </cell>
          <cell r="L4731">
            <v>40</v>
          </cell>
          <cell r="M4731" t="str">
            <v>NO</v>
          </cell>
          <cell r="N4731">
            <v>280.13999999999902</v>
          </cell>
          <cell r="O4731" t="str">
            <v>INR</v>
          </cell>
        </row>
        <row r="4732">
          <cell r="A4732" t="str">
            <v>L003 Ankleshwar</v>
          </cell>
          <cell r="B4732">
            <v>664640</v>
          </cell>
          <cell r="C4732" t="str">
            <v>J HOOK 5" LONG</v>
          </cell>
          <cell r="D4732" t="str">
            <v>L0030151                       EnggStore</v>
          </cell>
          <cell r="E4732">
            <v>0</v>
          </cell>
          <cell r="F4732" t="str">
            <v>ND No planning</v>
          </cell>
          <cell r="G4732" t="str">
            <v>ERSA Spare parts</v>
          </cell>
          <cell r="H4732" t="str">
            <v>EN019     Civil/Buliding Mater</v>
          </cell>
          <cell r="I4732" t="str">
            <v>L003 Ankleshwar</v>
          </cell>
          <cell r="J4732" t="str">
            <v>99 Input/Byprodt/Scrap</v>
          </cell>
          <cell r="K4732" t="str">
            <v>10.2012</v>
          </cell>
          <cell r="L4732">
            <v>400</v>
          </cell>
          <cell r="M4732" t="str">
            <v>NO</v>
          </cell>
          <cell r="N4732">
            <v>1680</v>
          </cell>
          <cell r="O4732" t="str">
            <v>INR</v>
          </cell>
        </row>
        <row r="4733">
          <cell r="A4733" t="str">
            <v>L003 Ankleshwar</v>
          </cell>
          <cell r="B4733">
            <v>664647</v>
          </cell>
          <cell r="C4733" t="str">
            <v>ALUMINIUM STOPPER 6"</v>
          </cell>
          <cell r="D4733" t="str">
            <v>L0030151                       EnggStore</v>
          </cell>
          <cell r="E4733">
            <v>0</v>
          </cell>
          <cell r="F4733" t="str">
            <v>ND No planning</v>
          </cell>
          <cell r="G4733" t="str">
            <v>ERSA Spare parts</v>
          </cell>
          <cell r="H4733" t="str">
            <v>EN019     Civil/Buliding Mater</v>
          </cell>
          <cell r="I4733" t="str">
            <v>L003 Ankleshwar</v>
          </cell>
          <cell r="J4733" t="str">
            <v>99 Input/Byprodt/Scrap</v>
          </cell>
          <cell r="K4733" t="str">
            <v>10.2012</v>
          </cell>
          <cell r="L4733">
            <v>20</v>
          </cell>
          <cell r="M4733" t="str">
            <v>EA</v>
          </cell>
          <cell r="N4733">
            <v>724.50999999999897</v>
          </cell>
          <cell r="O4733" t="str">
            <v>INR</v>
          </cell>
        </row>
        <row r="4734">
          <cell r="A4734" t="str">
            <v>L003 Ankleshwar</v>
          </cell>
          <cell r="B4734">
            <v>664648</v>
          </cell>
          <cell r="C4734" t="str">
            <v>WOODEN SCREW (50X8)</v>
          </cell>
          <cell r="D4734" t="str">
            <v>L0030151                       EnggStore</v>
          </cell>
          <cell r="E4734">
            <v>0</v>
          </cell>
          <cell r="F4734" t="str">
            <v>ND No planning</v>
          </cell>
          <cell r="G4734" t="str">
            <v>ERSA Spare parts</v>
          </cell>
          <cell r="H4734" t="str">
            <v>EN019     Civil/Buliding Mater</v>
          </cell>
          <cell r="I4734" t="str">
            <v>L003 Ankleshwar</v>
          </cell>
          <cell r="J4734" t="str">
            <v>99 Input/Byprodt/Scrap</v>
          </cell>
          <cell r="K4734" t="str">
            <v>10.2012</v>
          </cell>
          <cell r="L4734">
            <v>1</v>
          </cell>
          <cell r="M4734" t="str">
            <v>EA</v>
          </cell>
          <cell r="N4734">
            <v>9.2899999999999903</v>
          </cell>
          <cell r="O4734" t="str">
            <v>INR</v>
          </cell>
        </row>
        <row r="4735">
          <cell r="A4735" t="str">
            <v>L003 Ankleshwar</v>
          </cell>
          <cell r="B4735">
            <v>664649</v>
          </cell>
          <cell r="C4735" t="str">
            <v>WOODEN SCREW (35X8)</v>
          </cell>
          <cell r="D4735" t="str">
            <v>L0030151                       EnggStore</v>
          </cell>
          <cell r="E4735">
            <v>0</v>
          </cell>
          <cell r="F4735" t="str">
            <v>ND No planning</v>
          </cell>
          <cell r="G4735" t="str">
            <v>ERSA Spare parts</v>
          </cell>
          <cell r="H4735" t="str">
            <v>EN019     Civil/Buliding Mater</v>
          </cell>
          <cell r="I4735" t="str">
            <v>L003 Ankleshwar</v>
          </cell>
          <cell r="J4735" t="str">
            <v>99 Input/Byprodt/Scrap</v>
          </cell>
          <cell r="K4735" t="str">
            <v>10.2012</v>
          </cell>
          <cell r="L4735">
            <v>148</v>
          </cell>
          <cell r="M4735" t="str">
            <v>EA</v>
          </cell>
          <cell r="N4735">
            <v>77.7</v>
          </cell>
          <cell r="O4735" t="str">
            <v>INR</v>
          </cell>
        </row>
        <row r="4736">
          <cell r="A4736" t="str">
            <v>L003 Ankleshwar</v>
          </cell>
          <cell r="B4736">
            <v>664652</v>
          </cell>
          <cell r="C4736" t="str">
            <v>SHEET METAL SCREW 19X8</v>
          </cell>
          <cell r="D4736" t="str">
            <v>L0030151                       EnggStore</v>
          </cell>
          <cell r="E4736">
            <v>0</v>
          </cell>
          <cell r="F4736" t="str">
            <v>ND No planning</v>
          </cell>
          <cell r="G4736" t="str">
            <v>ERSA Spare parts</v>
          </cell>
          <cell r="H4736" t="str">
            <v>EN019     Civil/Buliding Mater</v>
          </cell>
          <cell r="I4736" t="str">
            <v>L003 Ankleshwar</v>
          </cell>
          <cell r="J4736" t="str">
            <v>99 Input/Byprodt/Scrap</v>
          </cell>
          <cell r="K4736" t="str">
            <v>10.2012</v>
          </cell>
          <cell r="L4736">
            <v>6998</v>
          </cell>
          <cell r="M4736" t="str">
            <v>EA</v>
          </cell>
          <cell r="N4736">
            <v>1379.76</v>
          </cell>
          <cell r="O4736" t="str">
            <v>INR</v>
          </cell>
        </row>
        <row r="4737">
          <cell r="A4737" t="str">
            <v>L003 Ankleshwar</v>
          </cell>
          <cell r="B4737">
            <v>664653</v>
          </cell>
          <cell r="C4737" t="str">
            <v>SHEET METAL SCREW 19X6</v>
          </cell>
          <cell r="D4737" t="str">
            <v>L0030151                       EnggStore</v>
          </cell>
          <cell r="E4737">
            <v>0</v>
          </cell>
          <cell r="F4737" t="str">
            <v>ND No planning</v>
          </cell>
          <cell r="G4737" t="str">
            <v>ERSA Spare parts</v>
          </cell>
          <cell r="H4737" t="str">
            <v>EN019     Civil/Buliding Mater</v>
          </cell>
          <cell r="I4737" t="str">
            <v>L003 Ankleshwar</v>
          </cell>
          <cell r="J4737" t="str">
            <v>99 Input/Byprodt/Scrap</v>
          </cell>
          <cell r="K4737" t="str">
            <v>10.2012</v>
          </cell>
          <cell r="L4737">
            <v>4898</v>
          </cell>
          <cell r="M4737" t="str">
            <v>EA</v>
          </cell>
          <cell r="N4737">
            <v>738.96</v>
          </cell>
          <cell r="O4737" t="str">
            <v>INR</v>
          </cell>
        </row>
        <row r="4738">
          <cell r="A4738" t="str">
            <v>L003 Ankleshwar</v>
          </cell>
          <cell r="B4738">
            <v>664660</v>
          </cell>
          <cell r="C4738" t="str">
            <v>PVC ELBOW 4" DIA WITH PLUG SUPREME</v>
          </cell>
          <cell r="D4738" t="str">
            <v>L0030201                       Cons StoreKP</v>
          </cell>
          <cell r="E4738">
            <v>0</v>
          </cell>
          <cell r="F4738" t="str">
            <v>ND No planning</v>
          </cell>
          <cell r="G4738" t="str">
            <v>ERSA Spare parts</v>
          </cell>
          <cell r="H4738" t="str">
            <v>EN028     Pipes&amp;pipefittings</v>
          </cell>
          <cell r="I4738" t="str">
            <v>L003 Ankleshwar</v>
          </cell>
          <cell r="J4738" t="str">
            <v>99 Input/Byprodt/Scrap</v>
          </cell>
          <cell r="K4738" t="str">
            <v>10.2012</v>
          </cell>
          <cell r="L4738">
            <v>22</v>
          </cell>
          <cell r="M4738" t="str">
            <v>NO</v>
          </cell>
          <cell r="N4738">
            <v>1691.25</v>
          </cell>
          <cell r="O4738" t="str">
            <v>INR</v>
          </cell>
        </row>
        <row r="4739">
          <cell r="A4739" t="str">
            <v>L003 Ankleshwar</v>
          </cell>
          <cell r="B4739">
            <v>664662</v>
          </cell>
          <cell r="C4739" t="str">
            <v>PVC SOLUTION</v>
          </cell>
          <cell r="D4739" t="str">
            <v>L0030201                       Cons StoreKP</v>
          </cell>
          <cell r="E4739">
            <v>0</v>
          </cell>
          <cell r="F4739" t="str">
            <v>ND No planning</v>
          </cell>
          <cell r="G4739" t="str">
            <v>ERSA Spare parts</v>
          </cell>
          <cell r="H4739" t="str">
            <v>EN028     Pipes&amp;pipefittings</v>
          </cell>
          <cell r="I4739" t="str">
            <v>L003 Ankleshwar</v>
          </cell>
          <cell r="J4739" t="str">
            <v>99 Input/Byprodt/Scrap</v>
          </cell>
          <cell r="K4739" t="str">
            <v>10.2012</v>
          </cell>
          <cell r="L4739">
            <v>1</v>
          </cell>
          <cell r="M4739" t="str">
            <v>EA</v>
          </cell>
          <cell r="N4739">
            <v>299</v>
          </cell>
          <cell r="O4739" t="str">
            <v>INR</v>
          </cell>
        </row>
        <row r="4740">
          <cell r="A4740" t="str">
            <v>L003 Ankleshwar</v>
          </cell>
          <cell r="B4740">
            <v>664666</v>
          </cell>
          <cell r="C4740" t="str">
            <v>CLAMP FOR 4" PVC PIPE</v>
          </cell>
          <cell r="D4740" t="str">
            <v>L0030151                       EnggStore</v>
          </cell>
          <cell r="E4740">
            <v>0</v>
          </cell>
          <cell r="F4740" t="str">
            <v>ND No planning</v>
          </cell>
          <cell r="G4740" t="str">
            <v>ERSA Spare parts</v>
          </cell>
          <cell r="H4740" t="str">
            <v>EN028     Pipes&amp;pipefittings</v>
          </cell>
          <cell r="I4740" t="str">
            <v>L003 Ankleshwar</v>
          </cell>
          <cell r="J4740" t="str">
            <v>99 Input/Byprodt/Scrap</v>
          </cell>
          <cell r="K4740" t="str">
            <v>10.2012</v>
          </cell>
          <cell r="L4740">
            <v>36</v>
          </cell>
          <cell r="M4740" t="str">
            <v>NO</v>
          </cell>
          <cell r="N4740">
            <v>302.39999999999901</v>
          </cell>
          <cell r="O4740" t="str">
            <v>INR</v>
          </cell>
        </row>
        <row r="4741">
          <cell r="A4741" t="str">
            <v>L003 Ankleshwar</v>
          </cell>
          <cell r="B4741">
            <v>664667</v>
          </cell>
          <cell r="C4741" t="str">
            <v>PVC COUPLER 4" DIA</v>
          </cell>
          <cell r="D4741" t="str">
            <v>L0030201                       Cons StoreKP</v>
          </cell>
          <cell r="E4741">
            <v>0</v>
          </cell>
          <cell r="F4741" t="str">
            <v>ND No planning</v>
          </cell>
          <cell r="G4741" t="str">
            <v>ERSA Spare parts</v>
          </cell>
          <cell r="H4741" t="str">
            <v>EN028     Pipes&amp;pipefittings</v>
          </cell>
          <cell r="I4741" t="str">
            <v>L003 Ankleshwar</v>
          </cell>
          <cell r="J4741" t="str">
            <v>99 Input/Byprodt/Scrap</v>
          </cell>
          <cell r="K4741" t="str">
            <v>10.2012</v>
          </cell>
          <cell r="L4741">
            <v>21</v>
          </cell>
          <cell r="M4741" t="str">
            <v>NO</v>
          </cell>
          <cell r="N4741">
            <v>1071.6300000000001</v>
          </cell>
          <cell r="O4741" t="str">
            <v>INR</v>
          </cell>
        </row>
        <row r="4742">
          <cell r="A4742" t="str">
            <v>L003 Ankleshwar</v>
          </cell>
          <cell r="B4742">
            <v>664670</v>
          </cell>
          <cell r="C4742" t="str">
            <v>PVC TEE 4" DIA</v>
          </cell>
          <cell r="D4742" t="str">
            <v>L0030201                       Cons StoreKP</v>
          </cell>
          <cell r="E4742">
            <v>0</v>
          </cell>
          <cell r="F4742" t="str">
            <v>ND No planning</v>
          </cell>
          <cell r="G4742" t="str">
            <v>ERSA Spare parts</v>
          </cell>
          <cell r="H4742" t="str">
            <v>EN028     Pipes&amp;pipefittings</v>
          </cell>
          <cell r="I4742" t="str">
            <v>L003 Ankleshwar</v>
          </cell>
          <cell r="J4742" t="str">
            <v>99 Input/Byprodt/Scrap</v>
          </cell>
          <cell r="K4742" t="str">
            <v>10.2012</v>
          </cell>
          <cell r="L4742">
            <v>15</v>
          </cell>
          <cell r="M4742" t="str">
            <v>NO</v>
          </cell>
          <cell r="N4742">
            <v>1653.75</v>
          </cell>
          <cell r="O4742" t="str">
            <v>INR</v>
          </cell>
        </row>
        <row r="4743">
          <cell r="A4743" t="str">
            <v>L003 Ankleshwar</v>
          </cell>
          <cell r="B4743">
            <v>664676</v>
          </cell>
          <cell r="C4743" t="str">
            <v>SS HINGES 3"X1/2"X3/4"</v>
          </cell>
          <cell r="D4743" t="str">
            <v>L0030151                       EnggStore</v>
          </cell>
          <cell r="E4743">
            <v>0</v>
          </cell>
          <cell r="F4743" t="str">
            <v>ND No planning</v>
          </cell>
          <cell r="G4743" t="str">
            <v>ERSA Spare parts</v>
          </cell>
          <cell r="H4743" t="str">
            <v>EN019     Civil/Buliding Mater</v>
          </cell>
          <cell r="I4743" t="str">
            <v>L003 Ankleshwar</v>
          </cell>
          <cell r="J4743" t="str">
            <v>99 Input/Byprodt/Scrap</v>
          </cell>
          <cell r="K4743" t="str">
            <v>10.2012</v>
          </cell>
          <cell r="L4743">
            <v>16</v>
          </cell>
          <cell r="M4743" t="str">
            <v>NO</v>
          </cell>
          <cell r="N4743">
            <v>138</v>
          </cell>
          <cell r="O4743" t="str">
            <v>INR</v>
          </cell>
        </row>
        <row r="4744">
          <cell r="A4744" t="str">
            <v>L003 Ankleshwar</v>
          </cell>
          <cell r="B4744">
            <v>664689</v>
          </cell>
          <cell r="C4744" t="str">
            <v>DRAWER LOCK ROUND</v>
          </cell>
          <cell r="D4744" t="str">
            <v>L0030151                       EnggStore</v>
          </cell>
          <cell r="E4744">
            <v>0</v>
          </cell>
          <cell r="F4744" t="str">
            <v>ND No planning</v>
          </cell>
          <cell r="G4744" t="str">
            <v>ERSA Spare parts</v>
          </cell>
          <cell r="H4744" t="str">
            <v>EN019     Civil/Buliding Mater</v>
          </cell>
          <cell r="I4744" t="str">
            <v>L003 Ankleshwar</v>
          </cell>
          <cell r="J4744" t="str">
            <v>99 Input/Byprodt/Scrap</v>
          </cell>
          <cell r="K4744" t="str">
            <v>10.2012</v>
          </cell>
          <cell r="L4744">
            <v>1</v>
          </cell>
          <cell r="M4744" t="str">
            <v>EA</v>
          </cell>
          <cell r="N4744">
            <v>92</v>
          </cell>
          <cell r="O4744" t="str">
            <v>INR</v>
          </cell>
        </row>
        <row r="4745">
          <cell r="A4745" t="str">
            <v>L003 Ankleshwar</v>
          </cell>
          <cell r="B4745">
            <v>664689</v>
          </cell>
          <cell r="C4745" t="str">
            <v>DRAWER LOCK ROUND</v>
          </cell>
          <cell r="D4745" t="str">
            <v>L0030201                       Cons StoreKP</v>
          </cell>
          <cell r="E4745">
            <v>0</v>
          </cell>
          <cell r="F4745" t="str">
            <v>ND No planning</v>
          </cell>
          <cell r="G4745" t="str">
            <v>ERSA Spare parts</v>
          </cell>
          <cell r="H4745" t="str">
            <v>EN019     Civil/Buliding Mater</v>
          </cell>
          <cell r="I4745" t="str">
            <v>L003 Ankleshwar</v>
          </cell>
          <cell r="J4745" t="str">
            <v>99 Input/Byprodt/Scrap</v>
          </cell>
          <cell r="K4745" t="str">
            <v>10.2012</v>
          </cell>
          <cell r="L4745">
            <v>50</v>
          </cell>
          <cell r="M4745" t="str">
            <v>EA</v>
          </cell>
          <cell r="N4745">
            <v>4600</v>
          </cell>
          <cell r="O4745" t="str">
            <v>INR</v>
          </cell>
        </row>
        <row r="4746">
          <cell r="A4746" t="str">
            <v>L003 Ankleshwar</v>
          </cell>
          <cell r="B4746">
            <v>664692</v>
          </cell>
          <cell r="C4746" t="str">
            <v>U PIN FOR BARBED WIRE FANCING</v>
          </cell>
          <cell r="D4746" t="str">
            <v>L0030201                       Cons StoreKP</v>
          </cell>
          <cell r="E4746">
            <v>0</v>
          </cell>
          <cell r="F4746" t="str">
            <v>ND No planning</v>
          </cell>
          <cell r="G4746" t="str">
            <v>ERSA Spare parts</v>
          </cell>
          <cell r="H4746" t="str">
            <v>EN019     Civil/Buliding Mater</v>
          </cell>
          <cell r="I4746" t="str">
            <v>L003 Ankleshwar</v>
          </cell>
          <cell r="J4746" t="str">
            <v>99 Input/Byprodt/Scrap</v>
          </cell>
          <cell r="K4746" t="str">
            <v>10.2012</v>
          </cell>
          <cell r="L4746">
            <v>2000</v>
          </cell>
          <cell r="M4746" t="str">
            <v>NO</v>
          </cell>
          <cell r="N4746">
            <v>2100</v>
          </cell>
          <cell r="O4746" t="str">
            <v>INR</v>
          </cell>
        </row>
        <row r="4747">
          <cell r="A4747" t="str">
            <v>L003 Ankleshwar</v>
          </cell>
          <cell r="B4747">
            <v>664694</v>
          </cell>
          <cell r="C4747" t="str">
            <v>ALUMINIUM AL DROP 10"</v>
          </cell>
          <cell r="D4747" t="str">
            <v>L0030151                       EnggStore</v>
          </cell>
          <cell r="E4747">
            <v>0</v>
          </cell>
          <cell r="F4747" t="str">
            <v>ND No planning</v>
          </cell>
          <cell r="G4747" t="str">
            <v>ERSA Spare parts</v>
          </cell>
          <cell r="H4747" t="str">
            <v>EN019     Civil/Buliding Mater</v>
          </cell>
          <cell r="I4747" t="str">
            <v>L003 Ankleshwar</v>
          </cell>
          <cell r="J4747" t="str">
            <v>99 Input/Byprodt/Scrap</v>
          </cell>
          <cell r="K4747" t="str">
            <v>10.2012</v>
          </cell>
          <cell r="L4747">
            <v>18</v>
          </cell>
          <cell r="M4747" t="str">
            <v>EA</v>
          </cell>
          <cell r="N4747">
            <v>1449</v>
          </cell>
          <cell r="O4747" t="str">
            <v>INR</v>
          </cell>
        </row>
        <row r="4748">
          <cell r="A4748" t="str">
            <v>L003 Ankleshwar</v>
          </cell>
          <cell r="B4748">
            <v>664696</v>
          </cell>
          <cell r="C4748" t="str">
            <v>TOWER BOLT ALUMINIUM 6"</v>
          </cell>
          <cell r="D4748" t="str">
            <v>L0030151                       EnggStore</v>
          </cell>
          <cell r="E4748">
            <v>0</v>
          </cell>
          <cell r="F4748" t="str">
            <v>ND No planning</v>
          </cell>
          <cell r="G4748" t="str">
            <v>ERSA Spare parts</v>
          </cell>
          <cell r="H4748" t="str">
            <v>EN019     Civil/Buliding Mater</v>
          </cell>
          <cell r="I4748" t="str">
            <v>L003 Ankleshwar</v>
          </cell>
          <cell r="J4748" t="str">
            <v>99 Input/Byprodt/Scrap</v>
          </cell>
          <cell r="K4748" t="str">
            <v>10.2012</v>
          </cell>
          <cell r="L4748">
            <v>4</v>
          </cell>
          <cell r="M4748" t="str">
            <v>EA</v>
          </cell>
          <cell r="N4748">
            <v>130.94999999999899</v>
          </cell>
          <cell r="O4748" t="str">
            <v>INR</v>
          </cell>
        </row>
        <row r="4749">
          <cell r="A4749" t="str">
            <v>L003 Ankleshwar</v>
          </cell>
          <cell r="B4749">
            <v>664704</v>
          </cell>
          <cell r="C4749" t="str">
            <v>ANCHOR FASTNER 16MM*100MM</v>
          </cell>
          <cell r="D4749" t="str">
            <v>L0030151                       EnggStore</v>
          </cell>
          <cell r="E4749">
            <v>0</v>
          </cell>
          <cell r="F4749" t="str">
            <v>ND No planning</v>
          </cell>
          <cell r="G4749" t="str">
            <v>ERSA Spare parts</v>
          </cell>
          <cell r="H4749" t="str">
            <v>EN019     Civil/Buliding Mater</v>
          </cell>
          <cell r="I4749" t="str">
            <v>L003 Ankleshwar</v>
          </cell>
          <cell r="J4749" t="str">
            <v>99 Input/Byprodt/Scrap</v>
          </cell>
          <cell r="K4749" t="str">
            <v>10.2012</v>
          </cell>
          <cell r="L4749">
            <v>2</v>
          </cell>
          <cell r="M4749" t="str">
            <v>NO</v>
          </cell>
          <cell r="N4749">
            <v>37</v>
          </cell>
          <cell r="O4749" t="str">
            <v>INR</v>
          </cell>
        </row>
        <row r="4750">
          <cell r="A4750" t="str">
            <v>L003 Ankleshwar</v>
          </cell>
          <cell r="B4750">
            <v>664732</v>
          </cell>
          <cell r="C4750" t="str">
            <v>COPPER OIL PIPE PATKAR OTL 175 VAC.PUMP</v>
          </cell>
          <cell r="D4750" t="str">
            <v>L0030151                       EnggStore</v>
          </cell>
          <cell r="E4750" t="str">
            <v>E34 E34</v>
          </cell>
          <cell r="F4750" t="str">
            <v>VB Manual reorder point planning</v>
          </cell>
          <cell r="G4750" t="str">
            <v>ERSA Spare parts</v>
          </cell>
          <cell r="H4750" t="str">
            <v>EN032     Pumpspares</v>
          </cell>
          <cell r="I4750" t="str">
            <v>L003 Ankleshwar</v>
          </cell>
          <cell r="J4750" t="str">
            <v>99 Input/Byprodt/Scrap</v>
          </cell>
          <cell r="K4750" t="str">
            <v>10.2012</v>
          </cell>
          <cell r="L4750">
            <v>2</v>
          </cell>
          <cell r="M4750" t="str">
            <v>SET</v>
          </cell>
          <cell r="N4750">
            <v>2325.5999999999899</v>
          </cell>
          <cell r="O4750" t="str">
            <v>INR</v>
          </cell>
        </row>
        <row r="4751">
          <cell r="A4751" t="str">
            <v>L003 Ankleshwar</v>
          </cell>
          <cell r="B4751">
            <v>664741</v>
          </cell>
          <cell r="C4751" t="str">
            <v>OIL SEAL 90X105X10 VITON</v>
          </cell>
          <cell r="D4751" t="str">
            <v>L0030151                       EnggStore</v>
          </cell>
          <cell r="E4751" t="str">
            <v>E35 E35</v>
          </cell>
          <cell r="F4751" t="str">
            <v>VB Manual reorder point planning</v>
          </cell>
          <cell r="G4751" t="str">
            <v>ERSA Spare parts</v>
          </cell>
          <cell r="H4751" t="str">
            <v>EN020     RubberItems&amp;Oil Seal</v>
          </cell>
          <cell r="I4751" t="str">
            <v>L003 Ankleshwar</v>
          </cell>
          <cell r="J4751" t="str">
            <v>99 Input/Byprodt/Scrap</v>
          </cell>
          <cell r="K4751" t="str">
            <v>10.2012</v>
          </cell>
          <cell r="L4751">
            <v>1</v>
          </cell>
          <cell r="M4751" t="str">
            <v>EA</v>
          </cell>
          <cell r="N4751">
            <v>405</v>
          </cell>
          <cell r="O4751" t="str">
            <v>INR</v>
          </cell>
        </row>
        <row r="4752">
          <cell r="A4752" t="str">
            <v>L003 Ankleshwar</v>
          </cell>
          <cell r="B4752">
            <v>664742</v>
          </cell>
          <cell r="C4752" t="str">
            <v>BALL BEARING-3313</v>
          </cell>
          <cell r="D4752" t="str">
            <v>L0030151                       EnggStore</v>
          </cell>
          <cell r="E4752" t="str">
            <v>E31 E31</v>
          </cell>
          <cell r="F4752" t="str">
            <v>VB Manual reorder point planning</v>
          </cell>
          <cell r="G4752" t="str">
            <v>ERSA Spare parts</v>
          </cell>
          <cell r="H4752" t="str">
            <v>EN009     Bearings</v>
          </cell>
          <cell r="I4752" t="str">
            <v>L003 Ankleshwar</v>
          </cell>
          <cell r="J4752" t="str">
            <v>99 Input/Byprodt/Scrap</v>
          </cell>
          <cell r="K4752" t="str">
            <v>10.2012</v>
          </cell>
          <cell r="L4752">
            <v>1</v>
          </cell>
          <cell r="M4752" t="str">
            <v>EA</v>
          </cell>
          <cell r="N4752">
            <v>8894.02</v>
          </cell>
          <cell r="O4752" t="str">
            <v>INR</v>
          </cell>
        </row>
        <row r="4753">
          <cell r="A4753" t="str">
            <v>L003 Ankleshwar</v>
          </cell>
          <cell r="B4753">
            <v>664859</v>
          </cell>
          <cell r="C4753" t="str">
            <v>MAGNETIC COIL, TYPE:25,SIZE-II,220VAC</v>
          </cell>
          <cell r="D4753" t="str">
            <v>L0030151                       EnggStore</v>
          </cell>
          <cell r="E4753">
            <v>0</v>
          </cell>
          <cell r="F4753" t="str">
            <v>ND No planning</v>
          </cell>
          <cell r="G4753" t="str">
            <v>ERSA Spare parts</v>
          </cell>
          <cell r="H4753" t="str">
            <v>EN017     InstrumentSpares</v>
          </cell>
          <cell r="I4753" t="str">
            <v>L003 Ankleshwar</v>
          </cell>
          <cell r="J4753" t="str">
            <v>99 Input/Byprodt/Scrap</v>
          </cell>
          <cell r="K4753" t="str">
            <v>10.2012</v>
          </cell>
          <cell r="L4753">
            <v>2</v>
          </cell>
          <cell r="M4753" t="str">
            <v>EA</v>
          </cell>
          <cell r="N4753">
            <v>2426.4</v>
          </cell>
          <cell r="O4753" t="str">
            <v>INR</v>
          </cell>
        </row>
        <row r="4754">
          <cell r="A4754" t="str">
            <v>L003 Ankleshwar</v>
          </cell>
          <cell r="B4754">
            <v>664865</v>
          </cell>
          <cell r="C4754" t="str">
            <v>DOOR STATION: DS - 01</v>
          </cell>
          <cell r="D4754" t="str">
            <v>L0030151                       EnggStore</v>
          </cell>
          <cell r="E4754">
            <v>0</v>
          </cell>
          <cell r="F4754" t="str">
            <v>ND No planning</v>
          </cell>
          <cell r="G4754" t="str">
            <v>ERSA Spare parts</v>
          </cell>
          <cell r="H4754" t="str">
            <v>EN003     ElectricalSpares</v>
          </cell>
          <cell r="I4754" t="str">
            <v>L003 Ankleshwar</v>
          </cell>
          <cell r="J4754" t="str">
            <v>99 Input/Byprodt/Scrap</v>
          </cell>
          <cell r="K4754" t="str">
            <v>10.2012</v>
          </cell>
          <cell r="L4754">
            <v>6</v>
          </cell>
          <cell r="M4754" t="str">
            <v>EA</v>
          </cell>
          <cell r="N4754">
            <v>1687.5</v>
          </cell>
          <cell r="O4754" t="str">
            <v>INR</v>
          </cell>
        </row>
        <row r="4755">
          <cell r="A4755" t="str">
            <v>L003 Ankleshwar</v>
          </cell>
          <cell r="B4755">
            <v>664868</v>
          </cell>
          <cell r="C4755" t="str">
            <v>BALL BEARING 6313 ZZ</v>
          </cell>
          <cell r="D4755" t="str">
            <v>L0030151                       EnggStore</v>
          </cell>
          <cell r="E4755">
            <v>0</v>
          </cell>
          <cell r="F4755" t="str">
            <v>ND No planning</v>
          </cell>
          <cell r="G4755" t="str">
            <v>ERSA Spare parts</v>
          </cell>
          <cell r="H4755" t="str">
            <v>EN009     Bearings</v>
          </cell>
          <cell r="I4755" t="str">
            <v>L003 Ankleshwar</v>
          </cell>
          <cell r="J4755" t="str">
            <v>99 Input/Byprodt/Scrap</v>
          </cell>
          <cell r="K4755" t="str">
            <v>10.2012</v>
          </cell>
          <cell r="L4755">
            <v>1</v>
          </cell>
          <cell r="M4755" t="str">
            <v>EA</v>
          </cell>
          <cell r="N4755">
            <v>1428.41</v>
          </cell>
          <cell r="O4755" t="str">
            <v>INR</v>
          </cell>
        </row>
        <row r="4756">
          <cell r="A4756" t="str">
            <v>L003 Ankleshwar</v>
          </cell>
          <cell r="B4756">
            <v>664894</v>
          </cell>
          <cell r="C4756" t="str">
            <v>STATIONARY PACKING PTFE FOR SEAL 4.5"</v>
          </cell>
          <cell r="D4756" t="str">
            <v>L0030151                       EnggStore</v>
          </cell>
          <cell r="E4756" t="str">
            <v>E34 E34</v>
          </cell>
          <cell r="F4756" t="str">
            <v>VB Manual reorder point planning</v>
          </cell>
          <cell r="G4756" t="str">
            <v>ERSA Spare parts</v>
          </cell>
          <cell r="H4756" t="str">
            <v>EN038     MechanicalSeals&amp;Spar</v>
          </cell>
          <cell r="I4756" t="str">
            <v>L003 Ankleshwar</v>
          </cell>
          <cell r="J4756" t="str">
            <v>99 Input/Byprodt/Scrap</v>
          </cell>
          <cell r="K4756" t="str">
            <v>10.2012</v>
          </cell>
          <cell r="L4756">
            <v>1</v>
          </cell>
          <cell r="M4756" t="str">
            <v>EA</v>
          </cell>
          <cell r="N4756">
            <v>581.30999999999904</v>
          </cell>
          <cell r="O4756" t="str">
            <v>INR</v>
          </cell>
        </row>
        <row r="4757">
          <cell r="A4757" t="str">
            <v>L003 Ankleshwar</v>
          </cell>
          <cell r="B4757">
            <v>664895</v>
          </cell>
          <cell r="C4757" t="str">
            <v>PTFE TAPPER WEDGE FOR SEAL SIZE 4.5"</v>
          </cell>
          <cell r="D4757" t="str">
            <v>L0030151                       EnggStore</v>
          </cell>
          <cell r="E4757" t="str">
            <v>E34 E34</v>
          </cell>
          <cell r="F4757" t="str">
            <v>VB Manual reorder point planning</v>
          </cell>
          <cell r="G4757" t="str">
            <v>ERSA Spare parts</v>
          </cell>
          <cell r="H4757" t="str">
            <v>EN038     MechanicalSeals&amp;Spar</v>
          </cell>
          <cell r="I4757" t="str">
            <v>L003 Ankleshwar</v>
          </cell>
          <cell r="J4757" t="str">
            <v>99 Input/Byprodt/Scrap</v>
          </cell>
          <cell r="K4757" t="str">
            <v>10.2012</v>
          </cell>
          <cell r="L4757">
            <v>1</v>
          </cell>
          <cell r="M4757" t="str">
            <v>EA</v>
          </cell>
          <cell r="N4757">
            <v>515.97</v>
          </cell>
          <cell r="O4757" t="str">
            <v>INR</v>
          </cell>
        </row>
        <row r="4758">
          <cell r="A4758" t="str">
            <v>L003 Ankleshwar</v>
          </cell>
          <cell r="B4758">
            <v>664995</v>
          </cell>
          <cell r="C4758" t="str">
            <v>AIR FILTER REGULATOR 0 - 10KG/CM2, 1/4"</v>
          </cell>
          <cell r="D4758" t="str">
            <v>L0030151                       EnggStore</v>
          </cell>
          <cell r="E4758" t="str">
            <v>E37 E37</v>
          </cell>
          <cell r="F4758" t="str">
            <v>VB Manual reorder point planning</v>
          </cell>
          <cell r="G4758" t="str">
            <v>ERSA Spare parts</v>
          </cell>
          <cell r="H4758" t="str">
            <v>EN017     InstrumentSpares</v>
          </cell>
          <cell r="I4758" t="str">
            <v>L003 Ankleshwar</v>
          </cell>
          <cell r="J4758" t="str">
            <v>99 Input/Byprodt/Scrap</v>
          </cell>
          <cell r="K4758" t="str">
            <v>10.2012</v>
          </cell>
          <cell r="L4758">
            <v>4</v>
          </cell>
          <cell r="M4758" t="str">
            <v>EA</v>
          </cell>
          <cell r="N4758">
            <v>4368</v>
          </cell>
          <cell r="O4758" t="str">
            <v>INR</v>
          </cell>
        </row>
        <row r="4759">
          <cell r="A4759" t="str">
            <v>L003 Ankleshwar</v>
          </cell>
          <cell r="B4759">
            <v>664996</v>
          </cell>
          <cell r="C4759" t="str">
            <v>AIR FILTER REGULATOR 0 - 10KG/CM2, 1/2"</v>
          </cell>
          <cell r="D4759" t="str">
            <v>L0030151                       EnggStore</v>
          </cell>
          <cell r="E4759" t="str">
            <v>E37 E37</v>
          </cell>
          <cell r="F4759" t="str">
            <v>VB Manual reorder point planning</v>
          </cell>
          <cell r="G4759" t="str">
            <v>ERSA Spare parts</v>
          </cell>
          <cell r="H4759" t="str">
            <v>EN017     InstrumentSpares</v>
          </cell>
          <cell r="I4759" t="str">
            <v>L003 Ankleshwar</v>
          </cell>
          <cell r="J4759" t="str">
            <v>99 Input/Byprodt/Scrap</v>
          </cell>
          <cell r="K4759" t="str">
            <v>10.2012</v>
          </cell>
          <cell r="L4759">
            <v>1</v>
          </cell>
          <cell r="M4759" t="str">
            <v>EA</v>
          </cell>
          <cell r="N4759">
            <v>1092</v>
          </cell>
          <cell r="O4759" t="str">
            <v>INR</v>
          </cell>
        </row>
        <row r="4760">
          <cell r="A4760" t="str">
            <v>L003 Ankleshwar</v>
          </cell>
          <cell r="B4760">
            <v>665145</v>
          </cell>
          <cell r="C4760" t="str">
            <v>RESISTOR: 1K OHM, 1W</v>
          </cell>
          <cell r="D4760" t="str">
            <v>L0030151                       EnggStore</v>
          </cell>
          <cell r="E4760">
            <v>0</v>
          </cell>
          <cell r="F4760" t="str">
            <v>ND No planning</v>
          </cell>
          <cell r="G4760" t="str">
            <v>ERSA Spare parts</v>
          </cell>
          <cell r="H4760" t="str">
            <v>EN017     InstrumentSpares</v>
          </cell>
          <cell r="I4760" t="str">
            <v>L003 Ankleshwar</v>
          </cell>
          <cell r="J4760" t="str">
            <v>99 Input/Byprodt/Scrap</v>
          </cell>
          <cell r="K4760" t="str">
            <v>10.2012</v>
          </cell>
          <cell r="L4760">
            <v>2</v>
          </cell>
          <cell r="M4760" t="str">
            <v>EA</v>
          </cell>
          <cell r="N4760">
            <v>6</v>
          </cell>
          <cell r="O4760" t="str">
            <v>INR</v>
          </cell>
        </row>
        <row r="4761">
          <cell r="A4761" t="str">
            <v>L003 Ankleshwar</v>
          </cell>
          <cell r="B4761">
            <v>665175</v>
          </cell>
          <cell r="C4761" t="str">
            <v>RELAY S/A FOR POSITIONER DIAPHRAGM</v>
          </cell>
          <cell r="D4761" t="str">
            <v>L0030151                       EnggStore</v>
          </cell>
          <cell r="E4761">
            <v>0</v>
          </cell>
          <cell r="F4761" t="str">
            <v>ND No planning</v>
          </cell>
          <cell r="G4761" t="str">
            <v>ERSA Spare parts</v>
          </cell>
          <cell r="H4761" t="str">
            <v>EN017     InstrumentSpares</v>
          </cell>
          <cell r="I4761" t="str">
            <v>L003 Ankleshwar</v>
          </cell>
          <cell r="J4761" t="str">
            <v>99 Input/Byprodt/Scrap</v>
          </cell>
          <cell r="K4761" t="str">
            <v>10.2012</v>
          </cell>
          <cell r="L4761">
            <v>2</v>
          </cell>
          <cell r="M4761" t="str">
            <v>EA</v>
          </cell>
          <cell r="N4761">
            <v>8842.86</v>
          </cell>
          <cell r="O4761" t="str">
            <v>INR</v>
          </cell>
        </row>
        <row r="4762">
          <cell r="A4762" t="str">
            <v>L003 Ankleshwar</v>
          </cell>
          <cell r="B4762">
            <v>665177</v>
          </cell>
          <cell r="C4762" t="str">
            <v>AIR HDPE NON WOVEN FILTER 10 MICRON</v>
          </cell>
          <cell r="D4762" t="str">
            <v>L0030151                       EnggStore</v>
          </cell>
          <cell r="E4762">
            <v>0</v>
          </cell>
          <cell r="F4762" t="str">
            <v>ND No planning</v>
          </cell>
          <cell r="G4762" t="str">
            <v>ERSA Spare parts</v>
          </cell>
          <cell r="H4762" t="str">
            <v>EN001     Filters Spares</v>
          </cell>
          <cell r="I4762" t="str">
            <v>L003 Ankleshwar</v>
          </cell>
          <cell r="J4762" t="str">
            <v>99 Input/Byprodt/Scrap</v>
          </cell>
          <cell r="K4762" t="str">
            <v>10.2012</v>
          </cell>
          <cell r="L4762">
            <v>1</v>
          </cell>
          <cell r="M4762" t="str">
            <v>EA</v>
          </cell>
          <cell r="N4762">
            <v>2213.5</v>
          </cell>
          <cell r="O4762" t="str">
            <v>INR</v>
          </cell>
        </row>
        <row r="4763">
          <cell r="A4763" t="str">
            <v>L003 Ankleshwar</v>
          </cell>
          <cell r="B4763">
            <v>665242</v>
          </cell>
          <cell r="C4763" t="str">
            <v>3/8"PVC AIR FILTER FOR BHS CYLINDER</v>
          </cell>
          <cell r="D4763" t="str">
            <v>L0030151                       EnggStore</v>
          </cell>
          <cell r="E4763">
            <v>0</v>
          </cell>
          <cell r="F4763" t="str">
            <v>ND No planning</v>
          </cell>
          <cell r="G4763" t="str">
            <v>ERSA Spare parts</v>
          </cell>
          <cell r="H4763" t="str">
            <v>EN039     PlantEquipmentSpares</v>
          </cell>
          <cell r="I4763" t="str">
            <v>L003 Ankleshwar</v>
          </cell>
          <cell r="J4763" t="str">
            <v>99 Input/Byprodt/Scrap</v>
          </cell>
          <cell r="K4763" t="str">
            <v>10.2012</v>
          </cell>
          <cell r="L4763">
            <v>4</v>
          </cell>
          <cell r="M4763" t="str">
            <v>EA</v>
          </cell>
          <cell r="N4763">
            <v>1700</v>
          </cell>
          <cell r="O4763" t="str">
            <v>INR</v>
          </cell>
        </row>
        <row r="4764">
          <cell r="A4764" t="str">
            <v>L003 Ankleshwar</v>
          </cell>
          <cell r="B4764">
            <v>665281</v>
          </cell>
          <cell r="C4764" t="str">
            <v>PVDF40CT CASING LINER: PNO.PV4001</v>
          </cell>
          <cell r="D4764" t="str">
            <v>L0030151                       EnggStore</v>
          </cell>
          <cell r="E4764">
            <v>0</v>
          </cell>
          <cell r="F4764" t="str">
            <v>ND No planning</v>
          </cell>
          <cell r="G4764" t="str">
            <v>ERSA Spare parts</v>
          </cell>
          <cell r="H4764" t="str">
            <v>EN032     Pumpspares</v>
          </cell>
          <cell r="I4764" t="str">
            <v>L003 Ankleshwar</v>
          </cell>
          <cell r="J4764" t="str">
            <v>99 Input/Byprodt/Scrap</v>
          </cell>
          <cell r="K4764" t="str">
            <v>10.2012</v>
          </cell>
          <cell r="L4764">
            <v>2</v>
          </cell>
          <cell r="M4764" t="str">
            <v>EA</v>
          </cell>
          <cell r="N4764">
            <v>23200</v>
          </cell>
          <cell r="O4764" t="str">
            <v>INR</v>
          </cell>
        </row>
        <row r="4765">
          <cell r="A4765" t="str">
            <v>L003 Ankleshwar</v>
          </cell>
          <cell r="B4765">
            <v>665283</v>
          </cell>
          <cell r="C4765" t="str">
            <v>PVDF40CT IMPELLER: PNO.PV4003</v>
          </cell>
          <cell r="D4765" t="str">
            <v>L0030151                       EnggStore</v>
          </cell>
          <cell r="E4765">
            <v>0</v>
          </cell>
          <cell r="F4765" t="str">
            <v>ND No planning</v>
          </cell>
          <cell r="G4765" t="str">
            <v>ERSA Spare parts</v>
          </cell>
          <cell r="H4765" t="str">
            <v>EN032     Pumpspares</v>
          </cell>
          <cell r="I4765" t="str">
            <v>L003 Ankleshwar</v>
          </cell>
          <cell r="J4765" t="str">
            <v>99 Input/Byprodt/Scrap</v>
          </cell>
          <cell r="K4765" t="str">
            <v>10.2012</v>
          </cell>
          <cell r="L4765">
            <v>2</v>
          </cell>
          <cell r="M4765" t="str">
            <v>EA</v>
          </cell>
          <cell r="N4765">
            <v>19200</v>
          </cell>
          <cell r="O4765" t="str">
            <v>INR</v>
          </cell>
        </row>
        <row r="4766">
          <cell r="A4766" t="str">
            <v>L003 Ankleshwar</v>
          </cell>
          <cell r="B4766">
            <v>665334</v>
          </cell>
          <cell r="C4766" t="str">
            <v>SPHERICAL ROLLER BEARING: 23226 CC/W33</v>
          </cell>
          <cell r="D4766" t="str">
            <v>L0030151                       EnggStore</v>
          </cell>
          <cell r="E4766">
            <v>0</v>
          </cell>
          <cell r="F4766" t="str">
            <v>ND No planning</v>
          </cell>
          <cell r="G4766" t="str">
            <v>ERSA Spare parts</v>
          </cell>
          <cell r="H4766" t="str">
            <v>EN009     Bearings</v>
          </cell>
          <cell r="I4766" t="str">
            <v>L003 Ankleshwar</v>
          </cell>
          <cell r="J4766" t="str">
            <v>99 Input/Byprodt/Scrap</v>
          </cell>
          <cell r="K4766" t="str">
            <v>10.2012</v>
          </cell>
          <cell r="L4766">
            <v>1</v>
          </cell>
          <cell r="M4766" t="str">
            <v>EA</v>
          </cell>
          <cell r="N4766">
            <v>22388.880000000001</v>
          </cell>
          <cell r="O4766" t="str">
            <v>INR</v>
          </cell>
        </row>
        <row r="4767">
          <cell r="A4767" t="str">
            <v>L003 Ankleshwar</v>
          </cell>
          <cell r="B4767">
            <v>665395</v>
          </cell>
          <cell r="C4767" t="str">
            <v>L&amp;T MNX25 CONTACTOR: CAT NO CS94110</v>
          </cell>
          <cell r="D4767" t="str">
            <v>L0030151                       EnggStore</v>
          </cell>
          <cell r="E4767" t="str">
            <v>E36 E36</v>
          </cell>
          <cell r="F4767" t="str">
            <v>VB Manual reorder point planning</v>
          </cell>
          <cell r="G4767" t="str">
            <v>ERSA Spare parts</v>
          </cell>
          <cell r="H4767" t="str">
            <v>EN006     Elec Switchgear</v>
          </cell>
          <cell r="I4767" t="str">
            <v>L003 Ankleshwar</v>
          </cell>
          <cell r="J4767" t="str">
            <v>99 Input/Byprodt/Scrap</v>
          </cell>
          <cell r="K4767" t="str">
            <v>10.2012</v>
          </cell>
          <cell r="L4767">
            <v>1</v>
          </cell>
          <cell r="M4767" t="str">
            <v>EA</v>
          </cell>
          <cell r="N4767">
            <v>784</v>
          </cell>
          <cell r="O4767" t="str">
            <v>INR</v>
          </cell>
        </row>
        <row r="4768">
          <cell r="A4768" t="str">
            <v>L003 Ankleshwar</v>
          </cell>
          <cell r="B4768">
            <v>665423</v>
          </cell>
          <cell r="C4768" t="str">
            <v>VALVE PLATE - DIAPHARM VACUUM PUMP</v>
          </cell>
          <cell r="D4768" t="str">
            <v>L0030151                       EnggStore</v>
          </cell>
          <cell r="E4768" t="str">
            <v>E34 E34</v>
          </cell>
          <cell r="F4768" t="str">
            <v>VB Manual reorder point planning</v>
          </cell>
          <cell r="G4768" t="str">
            <v>ERSA Spare parts</v>
          </cell>
          <cell r="H4768" t="str">
            <v>EN032     Pumpspares</v>
          </cell>
          <cell r="I4768" t="str">
            <v>L003 Ankleshwar</v>
          </cell>
          <cell r="J4768" t="str">
            <v>99 Input/Byprodt/Scrap</v>
          </cell>
          <cell r="K4768" t="str">
            <v>10.2012</v>
          </cell>
          <cell r="L4768">
            <v>3</v>
          </cell>
          <cell r="M4768" t="str">
            <v>EA</v>
          </cell>
          <cell r="N4768">
            <v>7978.2399999999898</v>
          </cell>
          <cell r="O4768" t="str">
            <v>INR</v>
          </cell>
        </row>
        <row r="4769">
          <cell r="A4769" t="str">
            <v>L003 Ankleshwar</v>
          </cell>
          <cell r="B4769">
            <v>665479</v>
          </cell>
          <cell r="C4769" t="str">
            <v>LOCKING NUT-KM10</v>
          </cell>
          <cell r="D4769" t="str">
            <v>L0030151                       EnggStore</v>
          </cell>
          <cell r="E4769">
            <v>0</v>
          </cell>
          <cell r="F4769" t="str">
            <v>ND No planning</v>
          </cell>
          <cell r="G4769" t="str">
            <v>ERSA Spare parts</v>
          </cell>
          <cell r="H4769" t="str">
            <v>EN009     Bearings</v>
          </cell>
          <cell r="I4769" t="str">
            <v>L003 Ankleshwar</v>
          </cell>
          <cell r="J4769" t="str">
            <v>99 Input/Byprodt/Scrap</v>
          </cell>
          <cell r="K4769" t="str">
            <v>10.2012</v>
          </cell>
          <cell r="L4769">
            <v>1</v>
          </cell>
          <cell r="M4769" t="str">
            <v>EA</v>
          </cell>
          <cell r="N4769">
            <v>108</v>
          </cell>
          <cell r="O4769" t="str">
            <v>INR</v>
          </cell>
        </row>
        <row r="4770">
          <cell r="A4770" t="str">
            <v>L003 Ankleshwar</v>
          </cell>
          <cell r="B4770">
            <v>665480</v>
          </cell>
          <cell r="C4770" t="str">
            <v>STAR WASHER-MB10</v>
          </cell>
          <cell r="D4770" t="str">
            <v>L0030151                       EnggStore</v>
          </cell>
          <cell r="E4770">
            <v>0</v>
          </cell>
          <cell r="F4770" t="str">
            <v>ND No planning</v>
          </cell>
          <cell r="G4770" t="str">
            <v>ERSA Spare parts</v>
          </cell>
          <cell r="H4770" t="str">
            <v>EN009     Bearings</v>
          </cell>
          <cell r="I4770" t="str">
            <v>L003 Ankleshwar</v>
          </cell>
          <cell r="J4770" t="str">
            <v>99 Input/Byprodt/Scrap</v>
          </cell>
          <cell r="K4770" t="str">
            <v>10.2012</v>
          </cell>
          <cell r="L4770">
            <v>1</v>
          </cell>
          <cell r="M4770" t="str">
            <v>EA</v>
          </cell>
          <cell r="N4770">
            <v>27</v>
          </cell>
          <cell r="O4770" t="str">
            <v>INR</v>
          </cell>
        </row>
        <row r="4771">
          <cell r="A4771" t="str">
            <v>L003 Ankleshwar</v>
          </cell>
          <cell r="B4771">
            <v>665543</v>
          </cell>
          <cell r="C4771" t="str">
            <v>SS BLIND PLUG: 1/4"</v>
          </cell>
          <cell r="D4771" t="str">
            <v>L0030151                       EnggStore</v>
          </cell>
          <cell r="E4771" t="str">
            <v>E34 E34</v>
          </cell>
          <cell r="F4771" t="str">
            <v>VB Manual reorder point planning</v>
          </cell>
          <cell r="G4771" t="str">
            <v>ERSA Spare parts</v>
          </cell>
          <cell r="H4771" t="str">
            <v>EN028     Pipes&amp;pipefittings</v>
          </cell>
          <cell r="I4771" t="str">
            <v>L003 Ankleshwar</v>
          </cell>
          <cell r="J4771" t="str">
            <v>99 Input/Byprodt/Scrap</v>
          </cell>
          <cell r="K4771" t="str">
            <v>10.2012</v>
          </cell>
          <cell r="L4771">
            <v>3</v>
          </cell>
          <cell r="M4771" t="str">
            <v>EA</v>
          </cell>
          <cell r="N4771">
            <v>80.549999999999898</v>
          </cell>
          <cell r="O4771" t="str">
            <v>INR</v>
          </cell>
        </row>
        <row r="4772">
          <cell r="A4772" t="str">
            <v>L003 Ankleshwar</v>
          </cell>
          <cell r="B4772">
            <v>665564</v>
          </cell>
          <cell r="C4772" t="str">
            <v>BRASS STRAIGHT CONNECTOR FALRE 5/8"</v>
          </cell>
          <cell r="D4772" t="str">
            <v>L0030151                       EnggStore</v>
          </cell>
          <cell r="E4772">
            <v>0</v>
          </cell>
          <cell r="F4772" t="str">
            <v>ND No planning</v>
          </cell>
          <cell r="G4772" t="str">
            <v>ERSA Spare parts</v>
          </cell>
          <cell r="H4772" t="str">
            <v>EN037     Refrigeration&amp;A/Cspa</v>
          </cell>
          <cell r="I4772" t="str">
            <v>L003 Ankleshwar</v>
          </cell>
          <cell r="J4772" t="str">
            <v>99 Input/Byprodt/Scrap</v>
          </cell>
          <cell r="K4772" t="str">
            <v>10.2012</v>
          </cell>
          <cell r="L4772">
            <v>3</v>
          </cell>
          <cell r="M4772" t="str">
            <v>EA</v>
          </cell>
          <cell r="N4772">
            <v>171</v>
          </cell>
          <cell r="O4772" t="str">
            <v>INR</v>
          </cell>
        </row>
        <row r="4773">
          <cell r="A4773" t="str">
            <v>L003 Ankleshwar</v>
          </cell>
          <cell r="B4773">
            <v>665566</v>
          </cell>
          <cell r="C4773" t="str">
            <v>UNION SOCKET SCREW ASSLY.6MM 9981624350</v>
          </cell>
          <cell r="D4773" t="str">
            <v>L0030151                       EnggStore</v>
          </cell>
          <cell r="E4773">
            <v>0</v>
          </cell>
          <cell r="F4773" t="str">
            <v>ND No planning</v>
          </cell>
          <cell r="G4773" t="str">
            <v>ERSA Spare parts</v>
          </cell>
          <cell r="H4773" t="str">
            <v>EN037     Refrigeration&amp;A/Cspa</v>
          </cell>
          <cell r="I4773" t="str">
            <v>L003 Ankleshwar</v>
          </cell>
          <cell r="J4773" t="str">
            <v>99 Input/Byprodt/Scrap</v>
          </cell>
          <cell r="K4773" t="str">
            <v>10.2012</v>
          </cell>
          <cell r="L4773">
            <v>3</v>
          </cell>
          <cell r="M4773" t="str">
            <v>EA</v>
          </cell>
          <cell r="N4773">
            <v>306.61</v>
          </cell>
          <cell r="O4773" t="str">
            <v>INR</v>
          </cell>
        </row>
        <row r="4774">
          <cell r="A4774" t="str">
            <v>L003 Ankleshwar</v>
          </cell>
          <cell r="B4774">
            <v>665568</v>
          </cell>
          <cell r="C4774" t="str">
            <v>UNION NUT 6MM 9991606350</v>
          </cell>
          <cell r="D4774" t="str">
            <v>L0030151                       EnggStore</v>
          </cell>
          <cell r="E4774">
            <v>0</v>
          </cell>
          <cell r="F4774" t="str">
            <v>ND No planning</v>
          </cell>
          <cell r="G4774" t="str">
            <v>ERSA Spare parts</v>
          </cell>
          <cell r="H4774" t="str">
            <v>EN037     Refrigeration&amp;A/Cspa</v>
          </cell>
          <cell r="I4774" t="str">
            <v>L003 Ankleshwar</v>
          </cell>
          <cell r="J4774" t="str">
            <v>99 Input/Byprodt/Scrap</v>
          </cell>
          <cell r="K4774" t="str">
            <v>10.2012</v>
          </cell>
          <cell r="L4774">
            <v>12</v>
          </cell>
          <cell r="M4774" t="str">
            <v>EA</v>
          </cell>
          <cell r="N4774">
            <v>595.59</v>
          </cell>
          <cell r="O4774" t="str">
            <v>INR</v>
          </cell>
        </row>
        <row r="4775">
          <cell r="A4775" t="str">
            <v>L003 Ankleshwar</v>
          </cell>
          <cell r="B4775">
            <v>665569</v>
          </cell>
          <cell r="C4775" t="str">
            <v>FERRULE 6MM 9991600150</v>
          </cell>
          <cell r="D4775" t="str">
            <v>L0030151                       EnggStore</v>
          </cell>
          <cell r="E4775" t="str">
            <v>E32 E32</v>
          </cell>
          <cell r="F4775" t="str">
            <v>VB Manual reorder point planning</v>
          </cell>
          <cell r="G4775" t="str">
            <v>ERSA Spare parts</v>
          </cell>
          <cell r="H4775" t="str">
            <v>EN018     UtilityEquipmentSpar</v>
          </cell>
          <cell r="I4775" t="str">
            <v>L003 Ankleshwar</v>
          </cell>
          <cell r="J4775" t="str">
            <v>99 Input/Byprodt/Scrap</v>
          </cell>
          <cell r="K4775" t="str">
            <v>10.2012</v>
          </cell>
          <cell r="L4775">
            <v>16</v>
          </cell>
          <cell r="M4775" t="str">
            <v>EA</v>
          </cell>
          <cell r="N4775">
            <v>794.12</v>
          </cell>
          <cell r="O4775" t="str">
            <v>INR</v>
          </cell>
        </row>
        <row r="4776">
          <cell r="A4776" t="str">
            <v>L003 Ankleshwar</v>
          </cell>
          <cell r="B4776">
            <v>665570</v>
          </cell>
          <cell r="C4776" t="str">
            <v>T CONNECTING SOCKET ASSLY.6MM 9981654350</v>
          </cell>
          <cell r="D4776" t="str">
            <v>L0030151                       EnggStore</v>
          </cell>
          <cell r="E4776">
            <v>0</v>
          </cell>
          <cell r="F4776" t="str">
            <v>ND No planning</v>
          </cell>
          <cell r="G4776" t="str">
            <v>ERSA Spare parts</v>
          </cell>
          <cell r="H4776" t="str">
            <v>EN037     Refrigeration&amp;A/Cspa</v>
          </cell>
          <cell r="I4776" t="str">
            <v>L003 Ankleshwar</v>
          </cell>
          <cell r="J4776" t="str">
            <v>99 Input/Byprodt/Scrap</v>
          </cell>
          <cell r="K4776" t="str">
            <v>10.2012</v>
          </cell>
          <cell r="L4776">
            <v>5</v>
          </cell>
          <cell r="M4776" t="str">
            <v>EA</v>
          </cell>
          <cell r="N4776">
            <v>720.14999999999895</v>
          </cell>
          <cell r="O4776" t="str">
            <v>INR</v>
          </cell>
        </row>
        <row r="4777">
          <cell r="A4777" t="str">
            <v>L003 Ankleshwar</v>
          </cell>
          <cell r="B4777">
            <v>665571</v>
          </cell>
          <cell r="C4777" t="str">
            <v>T CONNECTING SOCKET 6MM 9991654150</v>
          </cell>
          <cell r="D4777" t="str">
            <v>L0030151                       EnggStore</v>
          </cell>
          <cell r="E4777">
            <v>0</v>
          </cell>
          <cell r="F4777" t="str">
            <v>ND No planning</v>
          </cell>
          <cell r="G4777" t="str">
            <v>ERSA Spare parts</v>
          </cell>
          <cell r="H4777" t="str">
            <v>EN037     Refrigeration&amp;A/Cspa</v>
          </cell>
          <cell r="I4777" t="str">
            <v>L003 Ankleshwar</v>
          </cell>
          <cell r="J4777" t="str">
            <v>99 Input/Byprodt/Scrap</v>
          </cell>
          <cell r="K4777" t="str">
            <v>10.2012</v>
          </cell>
          <cell r="L4777">
            <v>15</v>
          </cell>
          <cell r="M4777" t="str">
            <v>EA</v>
          </cell>
          <cell r="N4777">
            <v>2584.9099999999899</v>
          </cell>
          <cell r="O4777" t="str">
            <v>INR</v>
          </cell>
        </row>
        <row r="4778">
          <cell r="A4778" t="str">
            <v>L003 Ankleshwar</v>
          </cell>
          <cell r="B4778">
            <v>665572</v>
          </cell>
          <cell r="C4778" t="str">
            <v>O' RING 6MM 9991262650</v>
          </cell>
          <cell r="D4778" t="str">
            <v>L0030151                       EnggStore</v>
          </cell>
          <cell r="E4778">
            <v>0</v>
          </cell>
          <cell r="F4778" t="str">
            <v>ND No planning</v>
          </cell>
          <cell r="G4778" t="str">
            <v>ERSA Spare parts</v>
          </cell>
          <cell r="H4778" t="str">
            <v>EN037     Refrigeration&amp;A/Cspa</v>
          </cell>
          <cell r="I4778" t="str">
            <v>L003 Ankleshwar</v>
          </cell>
          <cell r="J4778" t="str">
            <v>99 Input/Byprodt/Scrap</v>
          </cell>
          <cell r="K4778" t="str">
            <v>10.2012</v>
          </cell>
          <cell r="L4778">
            <v>10</v>
          </cell>
          <cell r="M4778" t="str">
            <v>EA</v>
          </cell>
          <cell r="N4778">
            <v>506.05</v>
          </cell>
          <cell r="O4778" t="str">
            <v>INR</v>
          </cell>
        </row>
        <row r="4779">
          <cell r="A4779" t="str">
            <v>L003 Ankleshwar</v>
          </cell>
          <cell r="B4779">
            <v>665573</v>
          </cell>
          <cell r="C4779" t="str">
            <v>STEEL TUBE 6 DIA 6MM 9993710300</v>
          </cell>
          <cell r="D4779" t="str">
            <v>L0030151                       EnggStore</v>
          </cell>
          <cell r="E4779">
            <v>0</v>
          </cell>
          <cell r="F4779" t="str">
            <v>ND No planning</v>
          </cell>
          <cell r="G4779" t="str">
            <v>ERSA Spare parts</v>
          </cell>
          <cell r="H4779" t="str">
            <v>EN018     UtilityEquipmentSpar</v>
          </cell>
          <cell r="I4779" t="str">
            <v>L003 Ankleshwar</v>
          </cell>
          <cell r="J4779" t="str">
            <v>99 Input/Byprodt/Scrap</v>
          </cell>
          <cell r="K4779" t="str">
            <v>10.2012</v>
          </cell>
          <cell r="L4779">
            <v>2</v>
          </cell>
          <cell r="M4779" t="str">
            <v>EA</v>
          </cell>
          <cell r="N4779">
            <v>205.8</v>
          </cell>
          <cell r="O4779" t="str">
            <v>INR</v>
          </cell>
        </row>
        <row r="4780">
          <cell r="A4780" t="str">
            <v>L003 Ankleshwar</v>
          </cell>
          <cell r="B4780">
            <v>665663</v>
          </cell>
          <cell r="C4780" t="str">
            <v>PVC BELLOW</v>
          </cell>
          <cell r="D4780" t="str">
            <v>L0030151                       EnggStore</v>
          </cell>
          <cell r="E4780">
            <v>0</v>
          </cell>
          <cell r="F4780" t="str">
            <v>ND No planning</v>
          </cell>
          <cell r="G4780" t="str">
            <v>ERSA Spare parts</v>
          </cell>
          <cell r="H4780" t="str">
            <v>EN028     Pipes&amp;pipefittings</v>
          </cell>
          <cell r="I4780" t="str">
            <v>L003 Ankleshwar</v>
          </cell>
          <cell r="J4780" t="str">
            <v>99 Input/Byprodt/Scrap</v>
          </cell>
          <cell r="K4780" t="str">
            <v>10.2012</v>
          </cell>
          <cell r="L4780">
            <v>1</v>
          </cell>
          <cell r="M4780" t="str">
            <v>EA</v>
          </cell>
          <cell r="N4780">
            <v>4250</v>
          </cell>
          <cell r="O4780" t="str">
            <v>INR</v>
          </cell>
        </row>
        <row r="4781">
          <cell r="A4781" t="str">
            <v>L003 Ankleshwar</v>
          </cell>
          <cell r="B4781">
            <v>665686</v>
          </cell>
          <cell r="C4781" t="str">
            <v>THRUST RING STEEL 3360300550 KC SERIES</v>
          </cell>
          <cell r="D4781" t="str">
            <v>L0030151                       EnggStore</v>
          </cell>
          <cell r="E4781" t="str">
            <v>E32 E32</v>
          </cell>
          <cell r="F4781" t="str">
            <v>VB Manual reorder point planning</v>
          </cell>
          <cell r="G4781" t="str">
            <v>ERSA Spare parts</v>
          </cell>
          <cell r="H4781" t="str">
            <v>EN018     UtilityEquipmentSpar</v>
          </cell>
          <cell r="I4781" t="str">
            <v>L003 Ankleshwar</v>
          </cell>
          <cell r="J4781" t="str">
            <v>99 Input/Byprodt/Scrap</v>
          </cell>
          <cell r="K4781" t="str">
            <v>10.2012</v>
          </cell>
          <cell r="L4781">
            <v>1</v>
          </cell>
          <cell r="M4781" t="str">
            <v>EA</v>
          </cell>
          <cell r="N4781">
            <v>2108.88</v>
          </cell>
          <cell r="O4781" t="str">
            <v>INR</v>
          </cell>
        </row>
        <row r="4782">
          <cell r="A4782" t="str">
            <v>L003 Ankleshwar</v>
          </cell>
          <cell r="B4782">
            <v>665698</v>
          </cell>
          <cell r="C4782" t="str">
            <v>PIPE SECTION, MS HDPE LINED, 80NBX2000MM</v>
          </cell>
          <cell r="D4782" t="str">
            <v>L0030151                       EnggStore</v>
          </cell>
          <cell r="E4782">
            <v>0</v>
          </cell>
          <cell r="F4782" t="str">
            <v>ND No planning</v>
          </cell>
          <cell r="G4782" t="str">
            <v>ERSA Spare parts</v>
          </cell>
          <cell r="H4782" t="str">
            <v>EN028     Pipes&amp;pipefittings</v>
          </cell>
          <cell r="I4782" t="str">
            <v>L003 Ankleshwar</v>
          </cell>
          <cell r="J4782" t="str">
            <v>99 Input/Byprodt/Scrap</v>
          </cell>
          <cell r="K4782" t="str">
            <v>10.2012</v>
          </cell>
          <cell r="L4782">
            <v>6</v>
          </cell>
          <cell r="M4782" t="str">
            <v>EA</v>
          </cell>
          <cell r="N4782">
            <v>13488.04</v>
          </cell>
          <cell r="O4782" t="str">
            <v>INR</v>
          </cell>
        </row>
        <row r="4783">
          <cell r="A4783" t="str">
            <v>L003 Ankleshwar</v>
          </cell>
          <cell r="B4783">
            <v>665743</v>
          </cell>
          <cell r="C4783" t="str">
            <v>CR OIL SEAL: 60X80X10</v>
          </cell>
          <cell r="D4783" t="str">
            <v>L0030151                       EnggStore</v>
          </cell>
          <cell r="E4783" t="str">
            <v>E35 E35</v>
          </cell>
          <cell r="F4783" t="str">
            <v>VB Manual reorder point planning</v>
          </cell>
          <cell r="G4783" t="str">
            <v>ERSA Spare parts</v>
          </cell>
          <cell r="H4783" t="str">
            <v>EN020     RubberItems&amp;Oil Seal</v>
          </cell>
          <cell r="I4783" t="str">
            <v>L003 Ankleshwar</v>
          </cell>
          <cell r="J4783" t="str">
            <v>99 Input/Byprodt/Scrap</v>
          </cell>
          <cell r="K4783" t="str">
            <v>10.2012</v>
          </cell>
          <cell r="L4783">
            <v>1</v>
          </cell>
          <cell r="M4783" t="str">
            <v>EA</v>
          </cell>
          <cell r="N4783">
            <v>140.4</v>
          </cell>
          <cell r="O4783" t="str">
            <v>INR</v>
          </cell>
        </row>
        <row r="4784">
          <cell r="A4784" t="str">
            <v>L003 Ankleshwar</v>
          </cell>
          <cell r="B4784">
            <v>665744</v>
          </cell>
          <cell r="C4784" t="str">
            <v>CR OIL SEAL: 42X62X8</v>
          </cell>
          <cell r="D4784" t="str">
            <v>L0030151                       EnggStore</v>
          </cell>
          <cell r="E4784">
            <v>0</v>
          </cell>
          <cell r="F4784" t="str">
            <v>ND No planning</v>
          </cell>
          <cell r="G4784" t="str">
            <v>ERSA Spare parts</v>
          </cell>
          <cell r="H4784" t="str">
            <v>EN020     RubberItems&amp;Oil Seal</v>
          </cell>
          <cell r="I4784" t="str">
            <v>L003 Ankleshwar</v>
          </cell>
          <cell r="J4784" t="str">
            <v>99 Input/Byprodt/Scrap</v>
          </cell>
          <cell r="K4784" t="str">
            <v>10.2012</v>
          </cell>
          <cell r="L4784">
            <v>4</v>
          </cell>
          <cell r="M4784" t="str">
            <v>EA</v>
          </cell>
          <cell r="N4784">
            <v>1375.2</v>
          </cell>
          <cell r="O4784" t="str">
            <v>INR</v>
          </cell>
        </row>
        <row r="4785">
          <cell r="A4785" t="str">
            <v>L003 Ankleshwar</v>
          </cell>
          <cell r="B4785">
            <v>665745</v>
          </cell>
          <cell r="C4785" t="str">
            <v>CR OIL SEAL: 300X375X37</v>
          </cell>
          <cell r="D4785" t="str">
            <v>L0030151                       EnggStore</v>
          </cell>
          <cell r="E4785" t="str">
            <v>E35 E35</v>
          </cell>
          <cell r="F4785" t="str">
            <v>VB Manual reorder point planning</v>
          </cell>
          <cell r="G4785" t="str">
            <v>ERSA Spare parts</v>
          </cell>
          <cell r="H4785" t="str">
            <v>EN020     RubberItems&amp;Oil Seal</v>
          </cell>
          <cell r="I4785" t="str">
            <v>L003 Ankleshwar</v>
          </cell>
          <cell r="J4785" t="str">
            <v>99 Input/Byprodt/Scrap</v>
          </cell>
          <cell r="K4785" t="str">
            <v>10.2012</v>
          </cell>
          <cell r="L4785">
            <v>2</v>
          </cell>
          <cell r="M4785" t="str">
            <v>EA</v>
          </cell>
          <cell r="N4785">
            <v>720</v>
          </cell>
          <cell r="O4785" t="str">
            <v>INR</v>
          </cell>
        </row>
        <row r="4786">
          <cell r="A4786" t="str">
            <v>L003 Ankleshwar</v>
          </cell>
          <cell r="B4786">
            <v>665814</v>
          </cell>
          <cell r="C4786" t="str">
            <v>FOLDING CHART.B9565AW:YOKO.RECORDSR10002</v>
          </cell>
          <cell r="D4786" t="str">
            <v>L0030151                       EnggStore</v>
          </cell>
          <cell r="E4786" t="str">
            <v>E37 E37</v>
          </cell>
          <cell r="F4786" t="str">
            <v>VB Manual reorder point planning</v>
          </cell>
          <cell r="G4786" t="str">
            <v>ERSA Spare parts</v>
          </cell>
          <cell r="H4786" t="str">
            <v>EN017     InstrumentSpares</v>
          </cell>
          <cell r="I4786" t="str">
            <v>L003 Ankleshwar</v>
          </cell>
          <cell r="J4786" t="str">
            <v>99 Input/Byprodt/Scrap</v>
          </cell>
          <cell r="K4786" t="str">
            <v>10.2012</v>
          </cell>
          <cell r="L4786">
            <v>5</v>
          </cell>
          <cell r="M4786" t="str">
            <v>EA</v>
          </cell>
          <cell r="N4786">
            <v>3114.1199999999899</v>
          </cell>
          <cell r="O4786" t="str">
            <v>INR</v>
          </cell>
        </row>
        <row r="4787">
          <cell r="A4787" t="str">
            <v>L003 Ankleshwar</v>
          </cell>
          <cell r="B4787">
            <v>665815</v>
          </cell>
          <cell r="C4787" t="str">
            <v>PEN CARTRIDGE RED: YOKOGAWA RECO10002</v>
          </cell>
          <cell r="D4787" t="str">
            <v>L0030151                       EnggStore</v>
          </cell>
          <cell r="E4787" t="str">
            <v>E36 E36</v>
          </cell>
          <cell r="F4787" t="str">
            <v>VB Manual reorder point planning</v>
          </cell>
          <cell r="G4787" t="str">
            <v>ERSA Spare parts</v>
          </cell>
          <cell r="H4787" t="str">
            <v>EN017     InstrumentSpares</v>
          </cell>
          <cell r="I4787" t="str">
            <v>L003 Ankleshwar</v>
          </cell>
          <cell r="J4787" t="str">
            <v>99 Input/Byprodt/Scrap</v>
          </cell>
          <cell r="K4787" t="str">
            <v>10.2012</v>
          </cell>
          <cell r="L4787">
            <v>25</v>
          </cell>
          <cell r="M4787" t="str">
            <v>EA</v>
          </cell>
          <cell r="N4787">
            <v>10506.75</v>
          </cell>
          <cell r="O4787" t="str">
            <v>INR</v>
          </cell>
        </row>
        <row r="4788">
          <cell r="A4788" t="str">
            <v>L003 Ankleshwar</v>
          </cell>
          <cell r="B4788">
            <v>665816</v>
          </cell>
          <cell r="C4788" t="str">
            <v>PEN CARTRIDGE PURPLE: YOKOGAWA RECO10002</v>
          </cell>
          <cell r="D4788" t="str">
            <v>L0030151                       EnggStore</v>
          </cell>
          <cell r="E4788" t="str">
            <v>E36 E36</v>
          </cell>
          <cell r="F4788" t="str">
            <v>VB Manual reorder point planning</v>
          </cell>
          <cell r="G4788" t="str">
            <v>ERSA Spare parts</v>
          </cell>
          <cell r="H4788" t="str">
            <v>EN017     InstrumentSpares</v>
          </cell>
          <cell r="I4788" t="str">
            <v>L003 Ankleshwar</v>
          </cell>
          <cell r="J4788" t="str">
            <v>99 Input/Byprodt/Scrap</v>
          </cell>
          <cell r="K4788" t="str">
            <v>10.2012</v>
          </cell>
          <cell r="L4788">
            <v>15</v>
          </cell>
          <cell r="M4788" t="str">
            <v>EA</v>
          </cell>
          <cell r="N4788">
            <v>5707.8699999999899</v>
          </cell>
          <cell r="O4788" t="str">
            <v>INR</v>
          </cell>
        </row>
        <row r="4789">
          <cell r="A4789" t="str">
            <v>L003 Ankleshwar</v>
          </cell>
          <cell r="B4789">
            <v>665825</v>
          </cell>
          <cell r="C4789" t="str">
            <v>CASING 'O' RING NEOPRENE: P4: VGP PUMP</v>
          </cell>
          <cell r="D4789" t="str">
            <v>L0030151                       EnggStore</v>
          </cell>
          <cell r="E4789" t="str">
            <v>E34 E34</v>
          </cell>
          <cell r="F4789" t="str">
            <v>VB Manual reorder point planning</v>
          </cell>
          <cell r="G4789" t="str">
            <v>ERSA Spare parts</v>
          </cell>
          <cell r="H4789" t="str">
            <v>EN032     Pumpspares</v>
          </cell>
          <cell r="I4789" t="str">
            <v>L003 Ankleshwar</v>
          </cell>
          <cell r="J4789" t="str">
            <v>99 Input/Byprodt/Scrap</v>
          </cell>
          <cell r="K4789" t="str">
            <v>10.2012</v>
          </cell>
          <cell r="L4789">
            <v>3</v>
          </cell>
          <cell r="M4789" t="str">
            <v>SET</v>
          </cell>
          <cell r="N4789">
            <v>3202.2399999999898</v>
          </cell>
          <cell r="O4789" t="str">
            <v>INR</v>
          </cell>
        </row>
        <row r="4790">
          <cell r="A4790" t="str">
            <v>L003 Ankleshwar</v>
          </cell>
          <cell r="B4790">
            <v>665856</v>
          </cell>
          <cell r="C4790" t="str">
            <v>COOLING FAN: SUPPLY 24VD.C.</v>
          </cell>
          <cell r="D4790" t="str">
            <v>L0030151                       EnggStore</v>
          </cell>
          <cell r="E4790">
            <v>0</v>
          </cell>
          <cell r="F4790" t="str">
            <v>ND No planning</v>
          </cell>
          <cell r="G4790" t="str">
            <v>ERSA Spare parts</v>
          </cell>
          <cell r="H4790" t="str">
            <v>EN017     InstrumentSpares</v>
          </cell>
          <cell r="I4790" t="str">
            <v>L003 Ankleshwar</v>
          </cell>
          <cell r="J4790" t="str">
            <v>99 Input/Byprodt/Scrap</v>
          </cell>
          <cell r="K4790" t="str">
            <v>10.2012</v>
          </cell>
          <cell r="L4790">
            <v>2</v>
          </cell>
          <cell r="M4790" t="str">
            <v>EA</v>
          </cell>
          <cell r="N4790">
            <v>221</v>
          </cell>
          <cell r="O4790" t="str">
            <v>INR</v>
          </cell>
        </row>
        <row r="4791">
          <cell r="A4791" t="str">
            <v>L003 Ankleshwar</v>
          </cell>
          <cell r="B4791">
            <v>665860</v>
          </cell>
          <cell r="C4791" t="str">
            <v>PRESSING BUSH: PT.NO.8: VR-140</v>
          </cell>
          <cell r="D4791" t="str">
            <v>L0030151                       EnggStore</v>
          </cell>
          <cell r="E4791">
            <v>0</v>
          </cell>
          <cell r="F4791" t="str">
            <v>ND No planning</v>
          </cell>
          <cell r="G4791" t="str">
            <v>ERSA Spare parts</v>
          </cell>
          <cell r="H4791" t="str">
            <v>EN039     PlantEquipmentSpares</v>
          </cell>
          <cell r="I4791" t="str">
            <v>L003 Ankleshwar</v>
          </cell>
          <cell r="J4791" t="str">
            <v>99 Input/Byprodt/Scrap</v>
          </cell>
          <cell r="K4791" t="str">
            <v>10.2012</v>
          </cell>
          <cell r="L4791">
            <v>3</v>
          </cell>
          <cell r="M4791" t="str">
            <v>EA</v>
          </cell>
          <cell r="N4791">
            <v>786</v>
          </cell>
          <cell r="O4791" t="str">
            <v>INR</v>
          </cell>
        </row>
        <row r="4792">
          <cell r="A4792" t="str">
            <v>L003 Ankleshwar</v>
          </cell>
          <cell r="B4792">
            <v>665895</v>
          </cell>
          <cell r="C4792" t="str">
            <v>SPLASH GUARD: PT.NO.16: VR-140</v>
          </cell>
          <cell r="D4792" t="str">
            <v>L0030151                       EnggStore</v>
          </cell>
          <cell r="E4792">
            <v>0</v>
          </cell>
          <cell r="F4792" t="str">
            <v>ND No planning</v>
          </cell>
          <cell r="G4792" t="str">
            <v>ERSA Spare parts</v>
          </cell>
          <cell r="H4792" t="str">
            <v>EN039     PlantEquipmentSpares</v>
          </cell>
          <cell r="I4792" t="str">
            <v>L003 Ankleshwar</v>
          </cell>
          <cell r="J4792" t="str">
            <v>99 Input/Byprodt/Scrap</v>
          </cell>
          <cell r="K4792" t="str">
            <v>10.2012</v>
          </cell>
          <cell r="L4792">
            <v>1</v>
          </cell>
          <cell r="M4792" t="str">
            <v>EA</v>
          </cell>
          <cell r="N4792">
            <v>165.56</v>
          </cell>
          <cell r="O4792" t="str">
            <v>INR</v>
          </cell>
        </row>
        <row r="4793">
          <cell r="A4793" t="str">
            <v>L003 Ankleshwar</v>
          </cell>
          <cell r="B4793">
            <v>665897</v>
          </cell>
          <cell r="C4793" t="str">
            <v>DISTANCE BUSH: PT.NO.17: VR-140</v>
          </cell>
          <cell r="D4793" t="str">
            <v>L0030151                       EnggStore</v>
          </cell>
          <cell r="E4793">
            <v>0</v>
          </cell>
          <cell r="F4793" t="str">
            <v>ND No planning</v>
          </cell>
          <cell r="G4793" t="str">
            <v>ERSA Spare parts</v>
          </cell>
          <cell r="H4793" t="str">
            <v>EN039     PlantEquipmentSpares</v>
          </cell>
          <cell r="I4793" t="str">
            <v>L003 Ankleshwar</v>
          </cell>
          <cell r="J4793" t="str">
            <v>99 Input/Byprodt/Scrap</v>
          </cell>
          <cell r="K4793" t="str">
            <v>10.2012</v>
          </cell>
          <cell r="L4793">
            <v>1</v>
          </cell>
          <cell r="M4793" t="str">
            <v>EA</v>
          </cell>
          <cell r="N4793">
            <v>79.989999999999895</v>
          </cell>
          <cell r="O4793" t="str">
            <v>INR</v>
          </cell>
        </row>
        <row r="4794">
          <cell r="A4794" t="str">
            <v>L003 Ankleshwar</v>
          </cell>
          <cell r="B4794">
            <v>665898</v>
          </cell>
          <cell r="C4794" t="str">
            <v>DISTANCE RING: PT.NO.19: VR-140</v>
          </cell>
          <cell r="D4794" t="str">
            <v>L0030151                       EnggStore</v>
          </cell>
          <cell r="E4794">
            <v>0</v>
          </cell>
          <cell r="F4794" t="str">
            <v>ND No planning</v>
          </cell>
          <cell r="G4794" t="str">
            <v>ERSA Spare parts</v>
          </cell>
          <cell r="H4794" t="str">
            <v>EN039     PlantEquipmentSpares</v>
          </cell>
          <cell r="I4794" t="str">
            <v>L003 Ankleshwar</v>
          </cell>
          <cell r="J4794" t="str">
            <v>99 Input/Byprodt/Scrap</v>
          </cell>
          <cell r="K4794" t="str">
            <v>10.2012</v>
          </cell>
          <cell r="L4794">
            <v>1</v>
          </cell>
          <cell r="M4794" t="str">
            <v>EA</v>
          </cell>
          <cell r="N4794">
            <v>181.37</v>
          </cell>
          <cell r="O4794" t="str">
            <v>INR</v>
          </cell>
        </row>
        <row r="4795">
          <cell r="A4795" t="str">
            <v>L003 Ankleshwar</v>
          </cell>
          <cell r="B4795">
            <v>665899</v>
          </cell>
          <cell r="C4795" t="str">
            <v>O RING: PT.NO.20: VR-140</v>
          </cell>
          <cell r="D4795" t="str">
            <v>L0030151                       EnggStore</v>
          </cell>
          <cell r="E4795">
            <v>0</v>
          </cell>
          <cell r="F4795" t="str">
            <v>ND No planning</v>
          </cell>
          <cell r="G4795" t="str">
            <v>ERSA Spare parts</v>
          </cell>
          <cell r="H4795" t="str">
            <v>EN039     PlantEquipmentSpares</v>
          </cell>
          <cell r="I4795" t="str">
            <v>L003 Ankleshwar</v>
          </cell>
          <cell r="J4795" t="str">
            <v>99 Input/Byprodt/Scrap</v>
          </cell>
          <cell r="K4795" t="str">
            <v>10.2012</v>
          </cell>
          <cell r="L4795">
            <v>1</v>
          </cell>
          <cell r="M4795" t="str">
            <v>EA</v>
          </cell>
          <cell r="N4795">
            <v>16.739999999999899</v>
          </cell>
          <cell r="O4795" t="str">
            <v>INR</v>
          </cell>
        </row>
        <row r="4796">
          <cell r="A4796" t="str">
            <v>L003 Ankleshwar</v>
          </cell>
          <cell r="B4796">
            <v>665900</v>
          </cell>
          <cell r="C4796" t="str">
            <v>OIL SEAL: PT.NO.21: VR-140</v>
          </cell>
          <cell r="D4796" t="str">
            <v>L0030151                       EnggStore</v>
          </cell>
          <cell r="E4796">
            <v>0</v>
          </cell>
          <cell r="F4796" t="str">
            <v>ND No planning</v>
          </cell>
          <cell r="G4796" t="str">
            <v>ERSA Spare parts</v>
          </cell>
          <cell r="H4796" t="str">
            <v>EN039     PlantEquipmentSpares</v>
          </cell>
          <cell r="I4796" t="str">
            <v>L003 Ankleshwar</v>
          </cell>
          <cell r="J4796" t="str">
            <v>99 Input/Byprodt/Scrap</v>
          </cell>
          <cell r="K4796" t="str">
            <v>10.2012</v>
          </cell>
          <cell r="L4796">
            <v>1</v>
          </cell>
          <cell r="M4796" t="str">
            <v>EA</v>
          </cell>
          <cell r="N4796">
            <v>33.49</v>
          </cell>
          <cell r="O4796" t="str">
            <v>INR</v>
          </cell>
        </row>
        <row r="4797">
          <cell r="A4797" t="str">
            <v>L003 Ankleshwar</v>
          </cell>
          <cell r="B4797">
            <v>665905</v>
          </cell>
          <cell r="C4797" t="str">
            <v>DIGITAL NON CONTACT TEMP GUN</v>
          </cell>
          <cell r="D4797" t="str">
            <v>L0030151                       EnggStore</v>
          </cell>
          <cell r="E4797" t="str">
            <v>E37 E37</v>
          </cell>
          <cell r="F4797" t="str">
            <v>VB Manual reorder point planning</v>
          </cell>
          <cell r="G4797" t="str">
            <v>ERSA Spare parts</v>
          </cell>
          <cell r="H4797" t="str">
            <v>EN017     InstrumentSpares</v>
          </cell>
          <cell r="I4797" t="str">
            <v>L003 Ankleshwar</v>
          </cell>
          <cell r="J4797" t="str">
            <v>99 Input/Byprodt/Scrap</v>
          </cell>
          <cell r="K4797" t="str">
            <v>10.2012</v>
          </cell>
          <cell r="L4797">
            <v>1</v>
          </cell>
          <cell r="M4797" t="str">
            <v>EA</v>
          </cell>
          <cell r="N4797">
            <v>4500</v>
          </cell>
          <cell r="O4797" t="str">
            <v>INR</v>
          </cell>
        </row>
        <row r="4798">
          <cell r="A4798" t="str">
            <v>L003 Ankleshwar</v>
          </cell>
          <cell r="B4798">
            <v>665960</v>
          </cell>
          <cell r="C4798" t="str">
            <v>VITON RUBBER O RING,245 MM ID FOR RVPD</v>
          </cell>
          <cell r="D4798" t="str">
            <v>L0030151                       EnggStore</v>
          </cell>
          <cell r="E4798">
            <v>0</v>
          </cell>
          <cell r="F4798" t="str">
            <v>ND No planning</v>
          </cell>
          <cell r="G4798" t="str">
            <v>ERSA Spare parts</v>
          </cell>
          <cell r="H4798" t="str">
            <v>EN020     RubberItems&amp;Oil Seal</v>
          </cell>
          <cell r="I4798" t="str">
            <v>L003 Ankleshwar</v>
          </cell>
          <cell r="J4798" t="str">
            <v>99 Input/Byprodt/Scrap</v>
          </cell>
          <cell r="K4798" t="str">
            <v>10.2012</v>
          </cell>
          <cell r="L4798">
            <v>1</v>
          </cell>
          <cell r="M4798" t="str">
            <v>EA</v>
          </cell>
          <cell r="N4798">
            <v>4650</v>
          </cell>
          <cell r="O4798" t="str">
            <v>INR</v>
          </cell>
        </row>
        <row r="4799">
          <cell r="A4799" t="str">
            <v>L003 Ankleshwar</v>
          </cell>
          <cell r="B4799">
            <v>666000</v>
          </cell>
          <cell r="C4799" t="str">
            <v>LOAD CELL: 20MT</v>
          </cell>
          <cell r="D4799" t="str">
            <v>L0030151                       EnggStore</v>
          </cell>
          <cell r="E4799">
            <v>0</v>
          </cell>
          <cell r="F4799" t="str">
            <v>ND No planning</v>
          </cell>
          <cell r="G4799" t="str">
            <v>ERSA Spare parts</v>
          </cell>
          <cell r="H4799" t="str">
            <v>EN030     WeighingEquipmentite</v>
          </cell>
          <cell r="I4799" t="str">
            <v>L003 Ankleshwar</v>
          </cell>
          <cell r="J4799" t="str">
            <v>99 Input/Byprodt/Scrap</v>
          </cell>
          <cell r="K4799" t="str">
            <v>10.2012</v>
          </cell>
          <cell r="L4799">
            <v>1</v>
          </cell>
          <cell r="M4799" t="str">
            <v>EA</v>
          </cell>
          <cell r="N4799">
            <v>32400</v>
          </cell>
          <cell r="O4799" t="str">
            <v>INR</v>
          </cell>
        </row>
        <row r="4800">
          <cell r="A4800" t="str">
            <v>L003 Ankleshwar</v>
          </cell>
          <cell r="B4800">
            <v>666099</v>
          </cell>
          <cell r="C4800" t="str">
            <v>SCRAPPER GLAND ASSLY P/N 0481572050 TC50</v>
          </cell>
          <cell r="D4800" t="str">
            <v>L0030151                       EnggStore</v>
          </cell>
          <cell r="E4800">
            <v>0</v>
          </cell>
          <cell r="F4800" t="str">
            <v>ND No planning</v>
          </cell>
          <cell r="G4800" t="str">
            <v>ERSA Spare parts</v>
          </cell>
          <cell r="H4800" t="str">
            <v>EN018     UtilityEquipmentSpar</v>
          </cell>
          <cell r="I4800" t="str">
            <v>L003 Ankleshwar</v>
          </cell>
          <cell r="J4800" t="str">
            <v>99 Input/Byprodt/Scrap</v>
          </cell>
          <cell r="K4800" t="str">
            <v>10.2012</v>
          </cell>
          <cell r="L4800">
            <v>1</v>
          </cell>
          <cell r="M4800" t="str">
            <v>EA</v>
          </cell>
          <cell r="N4800">
            <v>3684.3099999999899</v>
          </cell>
          <cell r="O4800" t="str">
            <v>INR</v>
          </cell>
        </row>
        <row r="4801">
          <cell r="A4801" t="str">
            <v>L003 Ankleshwar</v>
          </cell>
          <cell r="B4801">
            <v>666102</v>
          </cell>
          <cell r="C4801" t="str">
            <v>EXHAUST VALVE-HEAD: PNO. 12301511</v>
          </cell>
          <cell r="D4801" t="str">
            <v>L0030151                       EnggStore</v>
          </cell>
          <cell r="E4801">
            <v>0</v>
          </cell>
          <cell r="F4801" t="str">
            <v>ND No planning</v>
          </cell>
          <cell r="G4801" t="str">
            <v>ERSA Spare parts</v>
          </cell>
          <cell r="H4801" t="str">
            <v>EN029     Powerplantitems</v>
          </cell>
          <cell r="I4801" t="str">
            <v>L003 Ankleshwar</v>
          </cell>
          <cell r="J4801" t="str">
            <v>99 Input/Byprodt/Scrap</v>
          </cell>
          <cell r="K4801" t="str">
            <v>10.2012</v>
          </cell>
          <cell r="L4801">
            <v>1</v>
          </cell>
          <cell r="M4801" t="str">
            <v>EA</v>
          </cell>
          <cell r="N4801">
            <v>15224.379999999899</v>
          </cell>
          <cell r="O4801" t="str">
            <v>INR</v>
          </cell>
        </row>
        <row r="4802">
          <cell r="A4802" t="str">
            <v>L003 Ankleshwar</v>
          </cell>
          <cell r="B4802">
            <v>666205</v>
          </cell>
          <cell r="C4802" t="str">
            <v>O SEAL-LO: PNO. 01171113</v>
          </cell>
          <cell r="D4802" t="str">
            <v>L0030151                       EnggStore</v>
          </cell>
          <cell r="E4802">
            <v>0</v>
          </cell>
          <cell r="F4802" t="str">
            <v>ND No planning</v>
          </cell>
          <cell r="G4802" t="str">
            <v>ERSA Spare parts</v>
          </cell>
          <cell r="H4802" t="str">
            <v>EN029     Powerplantitems</v>
          </cell>
          <cell r="I4802" t="str">
            <v>L003 Ankleshwar</v>
          </cell>
          <cell r="J4802" t="str">
            <v>99 Input/Byprodt/Scrap</v>
          </cell>
          <cell r="K4802" t="str">
            <v>10.2012</v>
          </cell>
          <cell r="L4802">
            <v>1</v>
          </cell>
          <cell r="M4802" t="str">
            <v>EA</v>
          </cell>
          <cell r="N4802">
            <v>912.63</v>
          </cell>
          <cell r="O4802" t="str">
            <v>INR</v>
          </cell>
        </row>
        <row r="4803">
          <cell r="A4803" t="str">
            <v>L003 Ankleshwar</v>
          </cell>
          <cell r="B4803">
            <v>666206</v>
          </cell>
          <cell r="C4803" t="str">
            <v>O SEAL-LO: PNO. 01177727</v>
          </cell>
          <cell r="D4803" t="str">
            <v>L0030151                       EnggStore</v>
          </cell>
          <cell r="E4803">
            <v>0</v>
          </cell>
          <cell r="F4803" t="str">
            <v>ND No planning</v>
          </cell>
          <cell r="G4803" t="str">
            <v>ERSA Spare parts</v>
          </cell>
          <cell r="H4803" t="str">
            <v>EN029     Powerplantitems</v>
          </cell>
          <cell r="I4803" t="str">
            <v>L003 Ankleshwar</v>
          </cell>
          <cell r="J4803" t="str">
            <v>99 Input/Byprodt/Scrap</v>
          </cell>
          <cell r="K4803" t="str">
            <v>10.2012</v>
          </cell>
          <cell r="L4803">
            <v>12</v>
          </cell>
          <cell r="M4803" t="str">
            <v>EA</v>
          </cell>
          <cell r="N4803">
            <v>8736.5300000000007</v>
          </cell>
          <cell r="O4803" t="str">
            <v>INR</v>
          </cell>
        </row>
        <row r="4804">
          <cell r="A4804" t="str">
            <v>L003 Ankleshwar</v>
          </cell>
          <cell r="B4804">
            <v>666208</v>
          </cell>
          <cell r="C4804" t="str">
            <v>O SEAL-LO: PNO. 12128846</v>
          </cell>
          <cell r="D4804" t="str">
            <v>L0030151                       EnggStore</v>
          </cell>
          <cell r="E4804">
            <v>0</v>
          </cell>
          <cell r="F4804" t="str">
            <v>ND No planning</v>
          </cell>
          <cell r="G4804" t="str">
            <v>ERSA Spare parts</v>
          </cell>
          <cell r="H4804" t="str">
            <v>EN029     Powerplantitems</v>
          </cell>
          <cell r="I4804" t="str">
            <v>L003 Ankleshwar</v>
          </cell>
          <cell r="J4804" t="str">
            <v>99 Input/Byprodt/Scrap</v>
          </cell>
          <cell r="K4804" t="str">
            <v>10.2012</v>
          </cell>
          <cell r="L4804">
            <v>2</v>
          </cell>
          <cell r="M4804" t="str">
            <v>EA</v>
          </cell>
          <cell r="N4804">
            <v>2932.69</v>
          </cell>
          <cell r="O4804" t="str">
            <v>INR</v>
          </cell>
        </row>
        <row r="4805">
          <cell r="A4805" t="str">
            <v>L003 Ankleshwar</v>
          </cell>
          <cell r="B4805">
            <v>666209</v>
          </cell>
          <cell r="C4805" t="str">
            <v>O SEAL-LO: PNO. 01153845</v>
          </cell>
          <cell r="D4805" t="str">
            <v>L0030151                       EnggStore</v>
          </cell>
          <cell r="E4805">
            <v>0</v>
          </cell>
          <cell r="F4805" t="str">
            <v>ND No planning</v>
          </cell>
          <cell r="G4805" t="str">
            <v>ERSA Spare parts</v>
          </cell>
          <cell r="H4805" t="str">
            <v>EN029     Powerplantitems</v>
          </cell>
          <cell r="I4805" t="str">
            <v>L003 Ankleshwar</v>
          </cell>
          <cell r="J4805" t="str">
            <v>99 Input/Byprodt/Scrap</v>
          </cell>
          <cell r="K4805" t="str">
            <v>10.2012</v>
          </cell>
          <cell r="L4805">
            <v>2</v>
          </cell>
          <cell r="M4805" t="str">
            <v>EA</v>
          </cell>
          <cell r="N4805">
            <v>1650.9</v>
          </cell>
          <cell r="O4805" t="str">
            <v>INR</v>
          </cell>
        </row>
        <row r="4806">
          <cell r="A4806" t="str">
            <v>L003 Ankleshwar</v>
          </cell>
          <cell r="B4806">
            <v>666213</v>
          </cell>
          <cell r="C4806" t="str">
            <v>O SEAL-MIX PIPE: PNO. 01174503</v>
          </cell>
          <cell r="D4806" t="str">
            <v>L0030151                       EnggStore</v>
          </cell>
          <cell r="E4806">
            <v>0</v>
          </cell>
          <cell r="F4806" t="str">
            <v>ND No planning</v>
          </cell>
          <cell r="G4806" t="str">
            <v>ERSA Spare parts</v>
          </cell>
          <cell r="H4806" t="str">
            <v>EN029     Powerplantitems</v>
          </cell>
          <cell r="I4806" t="str">
            <v>L003 Ankleshwar</v>
          </cell>
          <cell r="J4806" t="str">
            <v>99 Input/Byprodt/Scrap</v>
          </cell>
          <cell r="K4806" t="str">
            <v>10.2012</v>
          </cell>
          <cell r="L4806">
            <v>2</v>
          </cell>
          <cell r="M4806" t="str">
            <v>EA</v>
          </cell>
          <cell r="N4806">
            <v>3784.8</v>
          </cell>
          <cell r="O4806" t="str">
            <v>INR</v>
          </cell>
        </row>
        <row r="4807">
          <cell r="A4807" t="str">
            <v>L003 Ankleshwar</v>
          </cell>
          <cell r="B4807">
            <v>666255</v>
          </cell>
          <cell r="C4807" t="str">
            <v>LINER OF GUIDE SHOE FOR JAYCOHOIST</v>
          </cell>
          <cell r="D4807" t="str">
            <v>L0030151                       EnggStore</v>
          </cell>
          <cell r="E4807" t="str">
            <v>E01 E01</v>
          </cell>
          <cell r="F4807" t="str">
            <v>VB Manual reorder point planning</v>
          </cell>
          <cell r="G4807" t="str">
            <v>ERSA Spare parts</v>
          </cell>
          <cell r="H4807" t="str">
            <v>EN039     PlantEquipmentSpares</v>
          </cell>
          <cell r="I4807" t="str">
            <v>L003 Ankleshwar</v>
          </cell>
          <cell r="J4807" t="str">
            <v>99 Input/Byprodt/Scrap</v>
          </cell>
          <cell r="K4807" t="str">
            <v>10.2012</v>
          </cell>
          <cell r="L4807">
            <v>8</v>
          </cell>
          <cell r="M4807" t="str">
            <v>EA</v>
          </cell>
          <cell r="N4807">
            <v>1236</v>
          </cell>
          <cell r="O4807" t="str">
            <v>INR</v>
          </cell>
        </row>
        <row r="4808">
          <cell r="A4808" t="str">
            <v>L003 Ankleshwar</v>
          </cell>
          <cell r="B4808">
            <v>666274</v>
          </cell>
          <cell r="C4808" t="str">
            <v>CENTRIFUGAL PUMP-CI: SHD 50/26</v>
          </cell>
          <cell r="D4808" t="str">
            <v>L0030151                       EnggStore</v>
          </cell>
          <cell r="E4808">
            <v>0</v>
          </cell>
          <cell r="F4808" t="str">
            <v>ND No planning</v>
          </cell>
          <cell r="G4808" t="str">
            <v>ERSA Spare parts</v>
          </cell>
          <cell r="H4808" t="str">
            <v>EN032     Pumpspares</v>
          </cell>
          <cell r="I4808" t="str">
            <v>L003 Ankleshwar</v>
          </cell>
          <cell r="J4808" t="str">
            <v>99 Input/Byprodt/Scrap</v>
          </cell>
          <cell r="K4808" t="str">
            <v>10.2012</v>
          </cell>
          <cell r="L4808">
            <v>1</v>
          </cell>
          <cell r="M4808" t="str">
            <v>EA</v>
          </cell>
          <cell r="N4808">
            <v>21812</v>
          </cell>
          <cell r="O4808" t="str">
            <v>INR</v>
          </cell>
        </row>
        <row r="4809">
          <cell r="A4809" t="str">
            <v>L003 Ankleshwar</v>
          </cell>
          <cell r="B4809">
            <v>666280</v>
          </cell>
          <cell r="C4809" t="str">
            <v>CONTAINER SEAL GASKET(MIDDLE) 60 KG FBD</v>
          </cell>
          <cell r="D4809" t="str">
            <v>L0030151                       EnggStore</v>
          </cell>
          <cell r="E4809" t="str">
            <v>E34 E34</v>
          </cell>
          <cell r="F4809" t="str">
            <v>VB Manual reorder point planning</v>
          </cell>
          <cell r="G4809" t="str">
            <v>ERSA Spare parts</v>
          </cell>
          <cell r="H4809" t="str">
            <v>EN039     PlantEquipmentSpares</v>
          </cell>
          <cell r="I4809" t="str">
            <v>L003 Ankleshwar</v>
          </cell>
          <cell r="J4809" t="str">
            <v>99 Input/Byprodt/Scrap</v>
          </cell>
          <cell r="K4809" t="str">
            <v>10.2012</v>
          </cell>
          <cell r="L4809">
            <v>1</v>
          </cell>
          <cell r="M4809" t="str">
            <v>EA</v>
          </cell>
          <cell r="N4809">
            <v>12136.98</v>
          </cell>
          <cell r="O4809" t="str">
            <v>INR</v>
          </cell>
        </row>
        <row r="4810">
          <cell r="A4810" t="str">
            <v>L003 Ankleshwar</v>
          </cell>
          <cell r="B4810">
            <v>666415</v>
          </cell>
          <cell r="C4810" t="str">
            <v>H.D.SWITCH 630A,3KL6130-1A00</v>
          </cell>
          <cell r="D4810" t="str">
            <v>L0030151                       EnggStore</v>
          </cell>
          <cell r="E4810" t="str">
            <v>E36 E36</v>
          </cell>
          <cell r="F4810" t="str">
            <v>VB Manual reorder point planning</v>
          </cell>
          <cell r="G4810" t="str">
            <v>ERSA Spare parts</v>
          </cell>
          <cell r="H4810" t="str">
            <v>EN006     Elec Switchgear</v>
          </cell>
          <cell r="I4810" t="str">
            <v>L003 Ankleshwar</v>
          </cell>
          <cell r="J4810" t="str">
            <v>99 Input/Byprodt/Scrap</v>
          </cell>
          <cell r="K4810" t="str">
            <v>10.2012</v>
          </cell>
          <cell r="L4810">
            <v>1</v>
          </cell>
          <cell r="M4810" t="str">
            <v>EA</v>
          </cell>
          <cell r="N4810">
            <v>13104.01</v>
          </cell>
          <cell r="O4810" t="str">
            <v>INR</v>
          </cell>
        </row>
        <row r="4811">
          <cell r="A4811" t="str">
            <v>L003 Ankleshwar</v>
          </cell>
          <cell r="B4811">
            <v>666437</v>
          </cell>
          <cell r="C4811" t="str">
            <v>PRESSURE ADJUSTMENT SPRING FOR 2" PRV</v>
          </cell>
          <cell r="D4811" t="str">
            <v>L0030151                       EnggStore</v>
          </cell>
          <cell r="E4811">
            <v>0</v>
          </cell>
          <cell r="F4811" t="str">
            <v>ND No planning</v>
          </cell>
          <cell r="G4811" t="str">
            <v>ERSA Spare parts</v>
          </cell>
          <cell r="H4811" t="str">
            <v>EN023     Valves&amp;spares</v>
          </cell>
          <cell r="I4811" t="str">
            <v>L003 Ankleshwar</v>
          </cell>
          <cell r="J4811" t="str">
            <v>99 Input/Byprodt/Scrap</v>
          </cell>
          <cell r="K4811" t="str">
            <v>10.2012</v>
          </cell>
          <cell r="L4811">
            <v>3</v>
          </cell>
          <cell r="M4811" t="str">
            <v>EA</v>
          </cell>
          <cell r="N4811">
            <v>5747.46</v>
          </cell>
          <cell r="O4811" t="str">
            <v>INR</v>
          </cell>
        </row>
        <row r="4812">
          <cell r="A4812" t="str">
            <v>L003 Ankleshwar</v>
          </cell>
          <cell r="B4812">
            <v>666439</v>
          </cell>
          <cell r="C4812" t="str">
            <v>OIL SEAL 45X62X10 NEOPRENE</v>
          </cell>
          <cell r="D4812" t="str">
            <v>L0030151                       EnggStore</v>
          </cell>
          <cell r="E4812">
            <v>0</v>
          </cell>
          <cell r="F4812" t="str">
            <v>ND No planning</v>
          </cell>
          <cell r="G4812" t="str">
            <v>ERSA Spare parts</v>
          </cell>
          <cell r="H4812" t="str">
            <v>EN020     RubberItems&amp;Oil Seal</v>
          </cell>
          <cell r="I4812" t="str">
            <v>L003 Ankleshwar</v>
          </cell>
          <cell r="J4812" t="str">
            <v>99 Input/Byprodt/Scrap</v>
          </cell>
          <cell r="K4812" t="str">
            <v>10.2012</v>
          </cell>
          <cell r="L4812">
            <v>1</v>
          </cell>
          <cell r="M4812" t="str">
            <v>EA</v>
          </cell>
          <cell r="N4812">
            <v>38.399999999999899</v>
          </cell>
          <cell r="O4812" t="str">
            <v>INR</v>
          </cell>
        </row>
        <row r="4813">
          <cell r="A4813" t="str">
            <v>L003 Ankleshwar</v>
          </cell>
          <cell r="B4813">
            <v>666441</v>
          </cell>
          <cell r="C4813" t="str">
            <v>OIL SEAL 84X55X10 NEOPRENE</v>
          </cell>
          <cell r="D4813" t="str">
            <v>L0030151                       EnggStore</v>
          </cell>
          <cell r="E4813">
            <v>0</v>
          </cell>
          <cell r="F4813" t="str">
            <v>ND No planning</v>
          </cell>
          <cell r="G4813" t="str">
            <v>ERSA Spare parts</v>
          </cell>
          <cell r="H4813" t="str">
            <v>EN020     RubberItems&amp;Oil Seal</v>
          </cell>
          <cell r="I4813" t="str">
            <v>L003 Ankleshwar</v>
          </cell>
          <cell r="J4813" t="str">
            <v>99 Input/Byprodt/Scrap</v>
          </cell>
          <cell r="K4813" t="str">
            <v>10.2012</v>
          </cell>
          <cell r="L4813">
            <v>5</v>
          </cell>
          <cell r="M4813" t="str">
            <v>EA</v>
          </cell>
          <cell r="N4813">
            <v>325</v>
          </cell>
          <cell r="O4813" t="str">
            <v>INR</v>
          </cell>
        </row>
        <row r="4814">
          <cell r="A4814" t="str">
            <v>L003 Ankleshwar</v>
          </cell>
          <cell r="B4814">
            <v>666524</v>
          </cell>
          <cell r="C4814" t="str">
            <v>MULTI THERMAMETER DIGITAL -50TO +150°C</v>
          </cell>
          <cell r="D4814" t="str">
            <v>L0030151                       EnggStore</v>
          </cell>
          <cell r="E4814">
            <v>0</v>
          </cell>
          <cell r="F4814" t="str">
            <v>ND No planning</v>
          </cell>
          <cell r="G4814" t="str">
            <v>ERSA Spare parts</v>
          </cell>
          <cell r="H4814" t="str">
            <v>EN017     InstrumentSpares</v>
          </cell>
          <cell r="I4814" t="str">
            <v>L003 Ankleshwar</v>
          </cell>
          <cell r="J4814" t="str">
            <v>99 Input/Byprodt/Scrap</v>
          </cell>
          <cell r="K4814" t="str">
            <v>10.2012</v>
          </cell>
          <cell r="L4814">
            <v>1</v>
          </cell>
          <cell r="M4814" t="str">
            <v>EA</v>
          </cell>
          <cell r="N4814">
            <v>1816.95</v>
          </cell>
          <cell r="O4814" t="str">
            <v>INR</v>
          </cell>
        </row>
        <row r="4815">
          <cell r="A4815" t="str">
            <v>L003 Ankleshwar</v>
          </cell>
          <cell r="B4815">
            <v>666532</v>
          </cell>
          <cell r="C4815" t="str">
            <v>COLUMN TRAY-BUBBLE CAP:SS304:680MMX480MM</v>
          </cell>
          <cell r="D4815" t="str">
            <v>L0030151                       EnggStore</v>
          </cell>
          <cell r="E4815">
            <v>0</v>
          </cell>
          <cell r="F4815" t="str">
            <v>ND No planning</v>
          </cell>
          <cell r="G4815" t="str">
            <v>ERSA Spare parts</v>
          </cell>
          <cell r="H4815" t="str">
            <v>EN039     PlantEquipmentSpares</v>
          </cell>
          <cell r="I4815" t="str">
            <v>L003 Ankleshwar</v>
          </cell>
          <cell r="J4815" t="str">
            <v>99 Input/Byprodt/Scrap</v>
          </cell>
          <cell r="K4815" t="str">
            <v>10.2012</v>
          </cell>
          <cell r="L4815">
            <v>6</v>
          </cell>
          <cell r="M4815" t="str">
            <v>EA</v>
          </cell>
          <cell r="N4815">
            <v>67500</v>
          </cell>
          <cell r="O4815" t="str">
            <v>INR</v>
          </cell>
        </row>
        <row r="4816">
          <cell r="A4816" t="str">
            <v>L003 Ankleshwar</v>
          </cell>
          <cell r="B4816">
            <v>666533</v>
          </cell>
          <cell r="C4816" t="str">
            <v>0201-004 COUPLING</v>
          </cell>
          <cell r="D4816" t="str">
            <v>L0030151                       EnggStore</v>
          </cell>
          <cell r="E4816" t="str">
            <v>E34 E34</v>
          </cell>
          <cell r="F4816" t="str">
            <v>VB Manual reorder point planning</v>
          </cell>
          <cell r="G4816" t="str">
            <v>ERSA Spare parts</v>
          </cell>
          <cell r="H4816" t="str">
            <v>EN032     Pumpspares</v>
          </cell>
          <cell r="I4816" t="str">
            <v>L003 Ankleshwar</v>
          </cell>
          <cell r="J4816" t="str">
            <v>99 Input/Byprodt/Scrap</v>
          </cell>
          <cell r="K4816" t="str">
            <v>10.2012</v>
          </cell>
          <cell r="L4816">
            <v>3</v>
          </cell>
          <cell r="M4816" t="str">
            <v>EA</v>
          </cell>
          <cell r="N4816">
            <v>5521.6899999999896</v>
          </cell>
          <cell r="O4816" t="str">
            <v>INR</v>
          </cell>
        </row>
        <row r="4817">
          <cell r="A4817" t="str">
            <v>L003 Ankleshwar</v>
          </cell>
          <cell r="B4817">
            <v>666538</v>
          </cell>
          <cell r="C4817" t="str">
            <v>IMPELLER PART NO-0343-306</v>
          </cell>
          <cell r="D4817" t="str">
            <v>L0030151                       EnggStore</v>
          </cell>
          <cell r="E4817">
            <v>0</v>
          </cell>
          <cell r="F4817" t="str">
            <v>ND No planning</v>
          </cell>
          <cell r="G4817" t="str">
            <v>ERSA Spare parts</v>
          </cell>
          <cell r="H4817" t="str">
            <v>EN039     PlantEquipmentSpares</v>
          </cell>
          <cell r="I4817" t="str">
            <v>L003 Ankleshwar</v>
          </cell>
          <cell r="J4817" t="str">
            <v>99 Input/Byprodt/Scrap</v>
          </cell>
          <cell r="K4817" t="str">
            <v>10.2012</v>
          </cell>
          <cell r="L4817">
            <v>1</v>
          </cell>
          <cell r="M4817" t="str">
            <v>EA</v>
          </cell>
          <cell r="N4817">
            <v>867.57</v>
          </cell>
          <cell r="O4817" t="str">
            <v>INR</v>
          </cell>
        </row>
        <row r="4818">
          <cell r="A4818" t="str">
            <v>L003 Ankleshwar</v>
          </cell>
          <cell r="B4818">
            <v>666540</v>
          </cell>
          <cell r="C4818" t="str">
            <v>UPPER COUPLING PN.NO.0343-333</v>
          </cell>
          <cell r="D4818" t="str">
            <v>L0030151                       EnggStore</v>
          </cell>
          <cell r="E4818" t="str">
            <v>E34 E34</v>
          </cell>
          <cell r="F4818" t="str">
            <v>VB Manual reorder point planning</v>
          </cell>
          <cell r="G4818" t="str">
            <v>ERSA Spare parts</v>
          </cell>
          <cell r="H4818" t="str">
            <v>EN032     Pumpspares</v>
          </cell>
          <cell r="I4818" t="str">
            <v>L003 Ankleshwar</v>
          </cell>
          <cell r="J4818" t="str">
            <v>99 Input/Byprodt/Scrap</v>
          </cell>
          <cell r="K4818" t="str">
            <v>10.2012</v>
          </cell>
          <cell r="L4818">
            <v>3</v>
          </cell>
          <cell r="M4818" t="str">
            <v>EA</v>
          </cell>
          <cell r="N4818">
            <v>1964.75</v>
          </cell>
          <cell r="O4818" t="str">
            <v>INR</v>
          </cell>
        </row>
        <row r="4819">
          <cell r="A4819" t="str">
            <v>L003 Ankleshwar</v>
          </cell>
          <cell r="B4819">
            <v>666567</v>
          </cell>
          <cell r="C4819" t="str">
            <v>PVC PIPE 6" DIA 6KG/CM2</v>
          </cell>
          <cell r="D4819" t="str">
            <v>L0030201                       Cons StoreKP</v>
          </cell>
          <cell r="E4819">
            <v>0</v>
          </cell>
          <cell r="F4819" t="str">
            <v>ND No planning</v>
          </cell>
          <cell r="G4819" t="str">
            <v>ERSA Spare parts</v>
          </cell>
          <cell r="H4819" t="str">
            <v>EN028     Pipes&amp;pipefittings</v>
          </cell>
          <cell r="I4819" t="str">
            <v>L003 Ankleshwar</v>
          </cell>
          <cell r="J4819" t="str">
            <v>99 Input/Byprodt/Scrap</v>
          </cell>
          <cell r="K4819" t="str">
            <v>10.2012</v>
          </cell>
          <cell r="L4819">
            <v>12</v>
          </cell>
          <cell r="M4819" t="str">
            <v>M</v>
          </cell>
          <cell r="N4819">
            <v>5189.18</v>
          </cell>
          <cell r="O4819" t="str">
            <v>INR</v>
          </cell>
        </row>
        <row r="4820">
          <cell r="A4820" t="str">
            <v>L003 Ankleshwar</v>
          </cell>
          <cell r="B4820">
            <v>666569</v>
          </cell>
          <cell r="C4820" t="str">
            <v>PVC TEE 6" DIA</v>
          </cell>
          <cell r="D4820" t="str">
            <v>L0030201                       Cons StoreKP</v>
          </cell>
          <cell r="E4820">
            <v>0</v>
          </cell>
          <cell r="F4820" t="str">
            <v>ND No planning</v>
          </cell>
          <cell r="G4820" t="str">
            <v>ERSA Spare parts</v>
          </cell>
          <cell r="H4820" t="str">
            <v>EN019     Civil/Buliding Mater</v>
          </cell>
          <cell r="I4820" t="str">
            <v>L003 Ankleshwar</v>
          </cell>
          <cell r="J4820" t="str">
            <v>99 Input/Byprodt/Scrap</v>
          </cell>
          <cell r="K4820" t="str">
            <v>10.2012</v>
          </cell>
          <cell r="L4820">
            <v>5</v>
          </cell>
          <cell r="M4820" t="str">
            <v>EA</v>
          </cell>
          <cell r="N4820">
            <v>1050</v>
          </cell>
          <cell r="O4820" t="str">
            <v>INR</v>
          </cell>
        </row>
        <row r="4821">
          <cell r="A4821" t="str">
            <v>L003 Ankleshwar</v>
          </cell>
          <cell r="B4821">
            <v>666603</v>
          </cell>
          <cell r="C4821" t="str">
            <v>PVC CLAMP 6"</v>
          </cell>
          <cell r="D4821" t="str">
            <v>L0030201                       Cons StoreKP</v>
          </cell>
          <cell r="E4821">
            <v>0</v>
          </cell>
          <cell r="F4821" t="str">
            <v>ND No planning</v>
          </cell>
          <cell r="G4821" t="str">
            <v>ERSA Spare parts</v>
          </cell>
          <cell r="H4821" t="str">
            <v>EN028     Pipes&amp;pipefittings</v>
          </cell>
          <cell r="I4821" t="str">
            <v>L003 Ankleshwar</v>
          </cell>
          <cell r="J4821" t="str">
            <v>99 Input/Byprodt/Scrap</v>
          </cell>
          <cell r="K4821" t="str">
            <v>10.2012</v>
          </cell>
          <cell r="L4821">
            <v>20</v>
          </cell>
          <cell r="M4821" t="str">
            <v>EA</v>
          </cell>
          <cell r="N4821">
            <v>399</v>
          </cell>
          <cell r="O4821" t="str">
            <v>INR</v>
          </cell>
        </row>
        <row r="4822">
          <cell r="A4822" t="str">
            <v>L003 Ankleshwar</v>
          </cell>
          <cell r="B4822">
            <v>666743</v>
          </cell>
          <cell r="C4822" t="str">
            <v>DISTANCE BUSH: PT.NO.4: URP-1300</v>
          </cell>
          <cell r="D4822" t="str">
            <v>L0030151                       EnggStore</v>
          </cell>
          <cell r="E4822">
            <v>0</v>
          </cell>
          <cell r="F4822" t="str">
            <v>ND No planning</v>
          </cell>
          <cell r="G4822" t="str">
            <v>ERSA Spare parts</v>
          </cell>
          <cell r="H4822" t="str">
            <v>EN039     PlantEquipmentSpares</v>
          </cell>
          <cell r="I4822" t="str">
            <v>L003 Ankleshwar</v>
          </cell>
          <cell r="J4822" t="str">
            <v>99 Input/Byprodt/Scrap</v>
          </cell>
          <cell r="K4822" t="str">
            <v>10.2012</v>
          </cell>
          <cell r="L4822">
            <v>2</v>
          </cell>
          <cell r="M4822" t="str">
            <v>EA</v>
          </cell>
          <cell r="N4822">
            <v>2745</v>
          </cell>
          <cell r="O4822" t="str">
            <v>INR</v>
          </cell>
        </row>
        <row r="4823">
          <cell r="A4823" t="str">
            <v>L003 Ankleshwar</v>
          </cell>
          <cell r="B4823">
            <v>666747</v>
          </cell>
          <cell r="C4823" t="str">
            <v>OIL LEVEL GLASS: PT.NO.18: URP-1300</v>
          </cell>
          <cell r="D4823" t="str">
            <v>L0030151                       EnggStore</v>
          </cell>
          <cell r="E4823" t="str">
            <v>E32 E32</v>
          </cell>
          <cell r="F4823" t="str">
            <v>VB Manual reorder point planning</v>
          </cell>
          <cell r="G4823" t="str">
            <v>ERSA Spare parts</v>
          </cell>
          <cell r="H4823" t="str">
            <v>EN018     UtilityEquipmentSpar</v>
          </cell>
          <cell r="I4823" t="str">
            <v>L003 Ankleshwar</v>
          </cell>
          <cell r="J4823" t="str">
            <v>99 Input/Byprodt/Scrap</v>
          </cell>
          <cell r="K4823" t="str">
            <v>10.2012</v>
          </cell>
          <cell r="L4823">
            <v>5</v>
          </cell>
          <cell r="M4823" t="str">
            <v>EA</v>
          </cell>
          <cell r="N4823">
            <v>1575</v>
          </cell>
          <cell r="O4823" t="str">
            <v>INR</v>
          </cell>
        </row>
        <row r="4824">
          <cell r="A4824" t="str">
            <v>L003 Ankleshwar</v>
          </cell>
          <cell r="B4824">
            <v>666748</v>
          </cell>
          <cell r="C4824" t="str">
            <v>OIL SPLASH DISC: PT.NO.19: URP-1300</v>
          </cell>
          <cell r="D4824" t="str">
            <v>L0030151                       EnggStore</v>
          </cell>
          <cell r="E4824">
            <v>0</v>
          </cell>
          <cell r="F4824" t="str">
            <v>ND No planning</v>
          </cell>
          <cell r="G4824" t="str">
            <v>ERSA Spare parts</v>
          </cell>
          <cell r="H4824" t="str">
            <v>EN039     PlantEquipmentSpares</v>
          </cell>
          <cell r="I4824" t="str">
            <v>L003 Ankleshwar</v>
          </cell>
          <cell r="J4824" t="str">
            <v>99 Input/Byprodt/Scrap</v>
          </cell>
          <cell r="K4824" t="str">
            <v>10.2012</v>
          </cell>
          <cell r="L4824">
            <v>1</v>
          </cell>
          <cell r="M4824" t="str">
            <v>EA</v>
          </cell>
          <cell r="N4824">
            <v>1305</v>
          </cell>
          <cell r="O4824" t="str">
            <v>INR</v>
          </cell>
        </row>
        <row r="4825">
          <cell r="A4825" t="str">
            <v>L003 Ankleshwar</v>
          </cell>
          <cell r="B4825">
            <v>666749</v>
          </cell>
          <cell r="C4825" t="str">
            <v>OUTER DISTANCE BUSH: PT.NO.20: URP-1300</v>
          </cell>
          <cell r="D4825" t="str">
            <v>L0030151                       EnggStore</v>
          </cell>
          <cell r="E4825">
            <v>0</v>
          </cell>
          <cell r="F4825" t="str">
            <v>ND No planning</v>
          </cell>
          <cell r="G4825" t="str">
            <v>ERSA Spare parts</v>
          </cell>
          <cell r="H4825" t="str">
            <v>EN039     PlantEquipmentSpares</v>
          </cell>
          <cell r="I4825" t="str">
            <v>L003 Ankleshwar</v>
          </cell>
          <cell r="J4825" t="str">
            <v>99 Input/Byprodt/Scrap</v>
          </cell>
          <cell r="K4825" t="str">
            <v>10.2012</v>
          </cell>
          <cell r="L4825">
            <v>1</v>
          </cell>
          <cell r="M4825" t="str">
            <v>EA</v>
          </cell>
          <cell r="N4825">
            <v>1534.5</v>
          </cell>
          <cell r="O4825" t="str">
            <v>INR</v>
          </cell>
        </row>
        <row r="4826">
          <cell r="A4826" t="str">
            <v>L003 Ankleshwar</v>
          </cell>
          <cell r="B4826">
            <v>666750</v>
          </cell>
          <cell r="C4826" t="str">
            <v>PACKING FOR CASING/MAIN COVER: P.NO.28</v>
          </cell>
          <cell r="D4826" t="str">
            <v>L0030151                       EnggStore</v>
          </cell>
          <cell r="E4826">
            <v>0</v>
          </cell>
          <cell r="F4826" t="str">
            <v>ND No planning</v>
          </cell>
          <cell r="G4826" t="str">
            <v>ERSA Spare parts</v>
          </cell>
          <cell r="H4826" t="str">
            <v>EN039     PlantEquipmentSpares</v>
          </cell>
          <cell r="I4826" t="str">
            <v>L003 Ankleshwar</v>
          </cell>
          <cell r="J4826" t="str">
            <v>99 Input/Byprodt/Scrap</v>
          </cell>
          <cell r="K4826" t="str">
            <v>10.2012</v>
          </cell>
          <cell r="L4826">
            <v>4</v>
          </cell>
          <cell r="M4826" t="str">
            <v>EA</v>
          </cell>
          <cell r="N4826">
            <v>2448</v>
          </cell>
          <cell r="O4826" t="str">
            <v>INR</v>
          </cell>
        </row>
        <row r="4827">
          <cell r="A4827" t="str">
            <v>L003 Ankleshwar</v>
          </cell>
          <cell r="B4827">
            <v>666877</v>
          </cell>
          <cell r="C4827" t="str">
            <v>UPPER ROTOR CASING: UHMWPE: P4: VGP PUMP</v>
          </cell>
          <cell r="D4827" t="str">
            <v>L0030151                       EnggStore</v>
          </cell>
          <cell r="E4827" t="str">
            <v>E34 E34</v>
          </cell>
          <cell r="F4827" t="str">
            <v>VB Manual reorder point planning</v>
          </cell>
          <cell r="G4827" t="str">
            <v>ERSA Spare parts</v>
          </cell>
          <cell r="H4827" t="str">
            <v>EN032     Pumpspares</v>
          </cell>
          <cell r="I4827" t="str">
            <v>L003 Ankleshwar</v>
          </cell>
          <cell r="J4827" t="str">
            <v>99 Input/Byprodt/Scrap</v>
          </cell>
          <cell r="K4827" t="str">
            <v>10.2012</v>
          </cell>
          <cell r="L4827">
            <v>1</v>
          </cell>
          <cell r="M4827" t="str">
            <v>EA</v>
          </cell>
          <cell r="N4827">
            <v>7009.04</v>
          </cell>
          <cell r="O4827" t="str">
            <v>INR</v>
          </cell>
        </row>
        <row r="4828">
          <cell r="A4828" t="str">
            <v>L003 Ankleshwar</v>
          </cell>
          <cell r="B4828">
            <v>666878</v>
          </cell>
          <cell r="C4828" t="str">
            <v>IMPELLER CASING: UHMWPE: P4: VGP PUMP</v>
          </cell>
          <cell r="D4828" t="str">
            <v>L0030151                       EnggStore</v>
          </cell>
          <cell r="E4828">
            <v>0</v>
          </cell>
          <cell r="F4828" t="str">
            <v>ND No planning</v>
          </cell>
          <cell r="G4828" t="str">
            <v>ERSA Spare parts</v>
          </cell>
          <cell r="H4828" t="str">
            <v>EN032     Pumpspares</v>
          </cell>
          <cell r="I4828" t="str">
            <v>L003 Ankleshwar</v>
          </cell>
          <cell r="J4828" t="str">
            <v>99 Input/Byprodt/Scrap</v>
          </cell>
          <cell r="K4828" t="str">
            <v>10.2012</v>
          </cell>
          <cell r="L4828">
            <v>1</v>
          </cell>
          <cell r="M4828" t="str">
            <v>EA</v>
          </cell>
          <cell r="N4828">
            <v>11498.389999999899</v>
          </cell>
          <cell r="O4828" t="str">
            <v>INR</v>
          </cell>
        </row>
        <row r="4829">
          <cell r="A4829" t="str">
            <v>L003 Ankleshwar</v>
          </cell>
          <cell r="B4829">
            <v>667071</v>
          </cell>
          <cell r="C4829" t="str">
            <v>HDGI CABLE TRAY PERFORATED : 50X25X2</v>
          </cell>
          <cell r="D4829" t="str">
            <v>L0030201                       Cons StoreKP</v>
          </cell>
          <cell r="E4829">
            <v>0</v>
          </cell>
          <cell r="F4829" t="str">
            <v>ND No planning</v>
          </cell>
          <cell r="G4829" t="str">
            <v>ERSA Spare parts</v>
          </cell>
          <cell r="H4829" t="str">
            <v>EN003     ElectricalSpares</v>
          </cell>
          <cell r="I4829" t="str">
            <v>L003 Ankleshwar</v>
          </cell>
          <cell r="J4829" t="str">
            <v>99 Input/Byprodt/Scrap</v>
          </cell>
          <cell r="K4829" t="str">
            <v>10.2012</v>
          </cell>
          <cell r="L4829">
            <v>10</v>
          </cell>
          <cell r="M4829" t="str">
            <v>EA</v>
          </cell>
          <cell r="N4829">
            <v>2590</v>
          </cell>
          <cell r="O4829" t="str">
            <v>INR</v>
          </cell>
        </row>
        <row r="4830">
          <cell r="A4830" t="str">
            <v>L003 Ankleshwar</v>
          </cell>
          <cell r="B4830">
            <v>667072</v>
          </cell>
          <cell r="C4830" t="str">
            <v>HDGI CABLE TRAY PERFORATED : 100X25X2</v>
          </cell>
          <cell r="D4830" t="str">
            <v>L0030201                       Cons StoreKP</v>
          </cell>
          <cell r="E4830">
            <v>0</v>
          </cell>
          <cell r="F4830" t="str">
            <v>ND No planning</v>
          </cell>
          <cell r="G4830" t="str">
            <v>ERSA Spare parts</v>
          </cell>
          <cell r="H4830" t="str">
            <v>EN003     ElectricalSpares</v>
          </cell>
          <cell r="I4830" t="str">
            <v>L003 Ankleshwar</v>
          </cell>
          <cell r="J4830" t="str">
            <v>99 Input/Byprodt/Scrap</v>
          </cell>
          <cell r="K4830" t="str">
            <v>10.2012</v>
          </cell>
          <cell r="L4830">
            <v>5</v>
          </cell>
          <cell r="M4830" t="str">
            <v>EA</v>
          </cell>
          <cell r="N4830">
            <v>2180.7399999999898</v>
          </cell>
          <cell r="O4830" t="str">
            <v>INR</v>
          </cell>
        </row>
        <row r="4831">
          <cell r="A4831" t="str">
            <v>L003 Ankleshwar</v>
          </cell>
          <cell r="B4831">
            <v>667073</v>
          </cell>
          <cell r="C4831" t="str">
            <v>HDGI CABLE TRAY PERFORATED : 150X25X2</v>
          </cell>
          <cell r="D4831" t="str">
            <v>L0030201                       Cons StoreKP</v>
          </cell>
          <cell r="E4831">
            <v>0</v>
          </cell>
          <cell r="F4831" t="str">
            <v>ND No planning</v>
          </cell>
          <cell r="G4831" t="str">
            <v>ERSA Spare parts</v>
          </cell>
          <cell r="H4831" t="str">
            <v>EN003     ElectricalSpares</v>
          </cell>
          <cell r="I4831" t="str">
            <v>L003 Ankleshwar</v>
          </cell>
          <cell r="J4831" t="str">
            <v>99 Input/Byprodt/Scrap</v>
          </cell>
          <cell r="K4831" t="str">
            <v>10.2012</v>
          </cell>
          <cell r="L4831">
            <v>1</v>
          </cell>
          <cell r="M4831" t="str">
            <v>EA</v>
          </cell>
          <cell r="N4831">
            <v>580.97</v>
          </cell>
          <cell r="O4831" t="str">
            <v>INR</v>
          </cell>
        </row>
        <row r="4832">
          <cell r="A4832" t="str">
            <v>L003 Ankleshwar</v>
          </cell>
          <cell r="B4832">
            <v>667093</v>
          </cell>
          <cell r="C4832" t="str">
            <v>SEAL-CW RETAINER PNO: 01231293</v>
          </cell>
          <cell r="D4832" t="str">
            <v>L0030151                       EnggStore</v>
          </cell>
          <cell r="E4832">
            <v>0</v>
          </cell>
          <cell r="F4832" t="str">
            <v>ND No planning</v>
          </cell>
          <cell r="G4832" t="str">
            <v>ERSA Spare parts</v>
          </cell>
          <cell r="H4832" t="str">
            <v>EN029     Powerplantitems</v>
          </cell>
          <cell r="I4832" t="str">
            <v>L003 Ankleshwar</v>
          </cell>
          <cell r="J4832" t="str">
            <v>99 Input/Byprodt/Scrap</v>
          </cell>
          <cell r="K4832" t="str">
            <v>10.2012</v>
          </cell>
          <cell r="L4832">
            <v>2</v>
          </cell>
          <cell r="M4832" t="str">
            <v>EA</v>
          </cell>
          <cell r="N4832">
            <v>2188.8099999999899</v>
          </cell>
          <cell r="O4832" t="str">
            <v>INR</v>
          </cell>
        </row>
        <row r="4833">
          <cell r="A4833" t="str">
            <v>L003 Ankleshwar</v>
          </cell>
          <cell r="B4833">
            <v>667095</v>
          </cell>
          <cell r="C4833" t="str">
            <v>PLASTIC RING-GAS TRAIN PNO: 15014105</v>
          </cell>
          <cell r="D4833" t="str">
            <v>L0030151                       EnggStore</v>
          </cell>
          <cell r="E4833">
            <v>0</v>
          </cell>
          <cell r="F4833" t="str">
            <v>ND No planning</v>
          </cell>
          <cell r="G4833" t="str">
            <v>ERSA Spare parts</v>
          </cell>
          <cell r="H4833" t="str">
            <v>EN029     Powerplantitems</v>
          </cell>
          <cell r="I4833" t="str">
            <v>L003 Ankleshwar</v>
          </cell>
          <cell r="J4833" t="str">
            <v>99 Input/Byprodt/Scrap</v>
          </cell>
          <cell r="K4833" t="str">
            <v>10.2012</v>
          </cell>
          <cell r="L4833">
            <v>1</v>
          </cell>
          <cell r="M4833" t="str">
            <v>EA</v>
          </cell>
          <cell r="N4833">
            <v>728.32</v>
          </cell>
          <cell r="O4833" t="str">
            <v>INR</v>
          </cell>
        </row>
        <row r="4834">
          <cell r="A4834" t="str">
            <v>L003 Ankleshwar</v>
          </cell>
          <cell r="B4834">
            <v>667096</v>
          </cell>
          <cell r="C4834" t="str">
            <v>O-SEAL-GAS TRAIN PNO: 20509</v>
          </cell>
          <cell r="D4834" t="str">
            <v>L0030151                       EnggStore</v>
          </cell>
          <cell r="E4834">
            <v>0</v>
          </cell>
          <cell r="F4834" t="str">
            <v>ND No planning</v>
          </cell>
          <cell r="G4834" t="str">
            <v>ERSA Spare parts</v>
          </cell>
          <cell r="H4834" t="str">
            <v>EN029     Powerplantitems</v>
          </cell>
          <cell r="I4834" t="str">
            <v>L003 Ankleshwar</v>
          </cell>
          <cell r="J4834" t="str">
            <v>99 Input/Byprodt/Scrap</v>
          </cell>
          <cell r="K4834" t="str">
            <v>10.2012</v>
          </cell>
          <cell r="L4834">
            <v>1</v>
          </cell>
          <cell r="M4834" t="str">
            <v>EA</v>
          </cell>
          <cell r="N4834">
            <v>1581.45</v>
          </cell>
          <cell r="O4834" t="str">
            <v>INR</v>
          </cell>
        </row>
        <row r="4835">
          <cell r="A4835" t="str">
            <v>L003 Ankleshwar</v>
          </cell>
          <cell r="B4835">
            <v>667097</v>
          </cell>
          <cell r="C4835" t="str">
            <v>O-SEAL-GAS TRAIN PNO: 20265</v>
          </cell>
          <cell r="D4835" t="str">
            <v>L0030151                       EnggStore</v>
          </cell>
          <cell r="E4835">
            <v>0</v>
          </cell>
          <cell r="F4835" t="str">
            <v>ND No planning</v>
          </cell>
          <cell r="G4835" t="str">
            <v>ERSA Spare parts</v>
          </cell>
          <cell r="H4835" t="str">
            <v>EN029     Powerplantitems</v>
          </cell>
          <cell r="I4835" t="str">
            <v>L003 Ankleshwar</v>
          </cell>
          <cell r="J4835" t="str">
            <v>99 Input/Byprodt/Scrap</v>
          </cell>
          <cell r="K4835" t="str">
            <v>10.2012</v>
          </cell>
          <cell r="L4835">
            <v>1</v>
          </cell>
          <cell r="M4835" t="str">
            <v>EA</v>
          </cell>
          <cell r="N4835">
            <v>1585.3499999999899</v>
          </cell>
          <cell r="O4835" t="str">
            <v>INR</v>
          </cell>
        </row>
        <row r="4836">
          <cell r="A4836" t="str">
            <v>L003 Ankleshwar</v>
          </cell>
          <cell r="B4836">
            <v>667098</v>
          </cell>
          <cell r="C4836" t="str">
            <v>CELLULAR FILTER-GAS TRAIN PNO: 27332</v>
          </cell>
          <cell r="D4836" t="str">
            <v>L0030151                       EnggStore</v>
          </cell>
          <cell r="E4836">
            <v>0</v>
          </cell>
          <cell r="F4836" t="str">
            <v>ND No planning</v>
          </cell>
          <cell r="G4836" t="str">
            <v>ERSA Spare parts</v>
          </cell>
          <cell r="H4836" t="str">
            <v>EN029     Powerplantitems</v>
          </cell>
          <cell r="I4836" t="str">
            <v>L003 Ankleshwar</v>
          </cell>
          <cell r="J4836" t="str">
            <v>99 Input/Byprodt/Scrap</v>
          </cell>
          <cell r="K4836" t="str">
            <v>10.2012</v>
          </cell>
          <cell r="L4836">
            <v>1</v>
          </cell>
          <cell r="M4836" t="str">
            <v>EA</v>
          </cell>
          <cell r="N4836">
            <v>10481.25</v>
          </cell>
          <cell r="O4836" t="str">
            <v>INR</v>
          </cell>
        </row>
        <row r="4837">
          <cell r="A4837" t="str">
            <v>L003 Ankleshwar</v>
          </cell>
          <cell r="B4837">
            <v>667099</v>
          </cell>
          <cell r="C4837" t="str">
            <v>O-SEAL-GAS TRAIN PNO: 27333</v>
          </cell>
          <cell r="D4837" t="str">
            <v>L0030151                       EnggStore</v>
          </cell>
          <cell r="E4837">
            <v>0</v>
          </cell>
          <cell r="F4837" t="str">
            <v>ND No planning</v>
          </cell>
          <cell r="G4837" t="str">
            <v>ERSA Spare parts</v>
          </cell>
          <cell r="H4837" t="str">
            <v>EN029     Powerplantitems</v>
          </cell>
          <cell r="I4837" t="str">
            <v>L003 Ankleshwar</v>
          </cell>
          <cell r="J4837" t="str">
            <v>99 Input/Byprodt/Scrap</v>
          </cell>
          <cell r="K4837" t="str">
            <v>10.2012</v>
          </cell>
          <cell r="L4837">
            <v>1</v>
          </cell>
          <cell r="M4837" t="str">
            <v>EA</v>
          </cell>
          <cell r="N4837">
            <v>2102.0999999999899</v>
          </cell>
          <cell r="O4837" t="str">
            <v>INR</v>
          </cell>
        </row>
        <row r="4838">
          <cell r="A4838" t="str">
            <v>L003 Ankleshwar</v>
          </cell>
          <cell r="B4838">
            <v>667118</v>
          </cell>
          <cell r="C4838" t="str">
            <v>CR OIL SEAL: 60X85X10</v>
          </cell>
          <cell r="D4838" t="str">
            <v>L0030151                       EnggStore</v>
          </cell>
          <cell r="E4838" t="str">
            <v>E35 E35</v>
          </cell>
          <cell r="F4838" t="str">
            <v>VB Manual reorder point planning</v>
          </cell>
          <cell r="G4838" t="str">
            <v>ERSA Spare parts</v>
          </cell>
          <cell r="H4838" t="str">
            <v>EN020     RubberItems&amp;Oil Seal</v>
          </cell>
          <cell r="I4838" t="str">
            <v>L003 Ankleshwar</v>
          </cell>
          <cell r="J4838" t="str">
            <v>99 Input/Byprodt/Scrap</v>
          </cell>
          <cell r="K4838" t="str">
            <v>10.2012</v>
          </cell>
          <cell r="L4838">
            <v>2</v>
          </cell>
          <cell r="M4838" t="str">
            <v>EA</v>
          </cell>
          <cell r="N4838">
            <v>318.60000000000002</v>
          </cell>
          <cell r="O4838" t="str">
            <v>INR</v>
          </cell>
        </row>
        <row r="4839">
          <cell r="A4839" t="str">
            <v>L003 Ankleshwar</v>
          </cell>
          <cell r="B4839">
            <v>667119</v>
          </cell>
          <cell r="C4839" t="str">
            <v>SS316 PRE.GAUGE 6"DIAL:0TO10000MMWC½"BSP</v>
          </cell>
          <cell r="D4839" t="str">
            <v>L0030151                       EnggStore</v>
          </cell>
          <cell r="E4839">
            <v>0</v>
          </cell>
          <cell r="F4839" t="str">
            <v>ND No planning</v>
          </cell>
          <cell r="G4839" t="str">
            <v>ERSA Spare parts</v>
          </cell>
          <cell r="H4839" t="str">
            <v>EN017     InstrumentSpares</v>
          </cell>
          <cell r="I4839" t="str">
            <v>L003 Ankleshwar</v>
          </cell>
          <cell r="J4839" t="str">
            <v>99 Input/Byprodt/Scrap</v>
          </cell>
          <cell r="K4839" t="str">
            <v>10.2012</v>
          </cell>
          <cell r="L4839">
            <v>1</v>
          </cell>
          <cell r="M4839" t="str">
            <v>EA</v>
          </cell>
          <cell r="N4839">
            <v>509.68</v>
          </cell>
          <cell r="O4839" t="str">
            <v>INR</v>
          </cell>
        </row>
        <row r="4840">
          <cell r="A4840" t="str">
            <v>L003 Ankleshwar</v>
          </cell>
          <cell r="B4840">
            <v>667122</v>
          </cell>
          <cell r="C4840" t="str">
            <v>MANIK MAKE KC-3 COIL,125 OHM,220 V.A.C.</v>
          </cell>
          <cell r="D4840" t="str">
            <v>L0030151                       EnggStore</v>
          </cell>
          <cell r="E4840" t="str">
            <v>E37 E37</v>
          </cell>
          <cell r="F4840" t="str">
            <v>VB Manual reorder point planning</v>
          </cell>
          <cell r="G4840" t="str">
            <v>ERSA Spare parts</v>
          </cell>
          <cell r="H4840" t="str">
            <v>EN017     InstrumentSpares</v>
          </cell>
          <cell r="I4840" t="str">
            <v>L003 Ankleshwar</v>
          </cell>
          <cell r="J4840" t="str">
            <v>99 Input/Byprodt/Scrap</v>
          </cell>
          <cell r="K4840" t="str">
            <v>10.2012</v>
          </cell>
          <cell r="L4840">
            <v>1</v>
          </cell>
          <cell r="M4840" t="str">
            <v>EA</v>
          </cell>
          <cell r="N4840">
            <v>1180.55</v>
          </cell>
          <cell r="O4840" t="str">
            <v>INR</v>
          </cell>
        </row>
        <row r="4841">
          <cell r="A4841" t="str">
            <v>L003 Ankleshwar</v>
          </cell>
          <cell r="B4841">
            <v>667123</v>
          </cell>
          <cell r="C4841" t="str">
            <v>U-PACKING PTFE FOR SSRRUT 1.250</v>
          </cell>
          <cell r="D4841" t="str">
            <v>L0030151                       EnggStore</v>
          </cell>
          <cell r="E4841" t="str">
            <v>E34 E34</v>
          </cell>
          <cell r="F4841" t="str">
            <v>VB Manual reorder point planning</v>
          </cell>
          <cell r="G4841" t="str">
            <v>ERSA Spare parts</v>
          </cell>
          <cell r="H4841" t="str">
            <v>EN038     MechanicalSeals&amp;Spar</v>
          </cell>
          <cell r="I4841" t="str">
            <v>L003 Ankleshwar</v>
          </cell>
          <cell r="J4841" t="str">
            <v>99 Input/Byprodt/Scrap</v>
          </cell>
          <cell r="K4841" t="str">
            <v>10.2012</v>
          </cell>
          <cell r="L4841">
            <v>2</v>
          </cell>
          <cell r="M4841" t="str">
            <v>EA</v>
          </cell>
          <cell r="N4841">
            <v>486.08999999999901</v>
          </cell>
          <cell r="O4841" t="str">
            <v>INR</v>
          </cell>
        </row>
        <row r="4842">
          <cell r="A4842" t="str">
            <v>L003 Ankleshwar</v>
          </cell>
          <cell r="B4842">
            <v>667126</v>
          </cell>
          <cell r="C4842" t="str">
            <v>MS HOSE NIPPLE 1/2"</v>
          </cell>
          <cell r="D4842" t="str">
            <v>L0030151                       EnggStore</v>
          </cell>
          <cell r="E4842">
            <v>0</v>
          </cell>
          <cell r="F4842" t="str">
            <v>ND No planning</v>
          </cell>
          <cell r="G4842" t="str">
            <v>ERSA Spare parts</v>
          </cell>
          <cell r="H4842" t="str">
            <v>EN028     Pipes&amp;pipefittings</v>
          </cell>
          <cell r="I4842" t="str">
            <v>L003 Ankleshwar</v>
          </cell>
          <cell r="J4842" t="str">
            <v>99 Input/Byprodt/Scrap</v>
          </cell>
          <cell r="K4842" t="str">
            <v>10.2012</v>
          </cell>
          <cell r="L4842">
            <v>317</v>
          </cell>
          <cell r="M4842" t="str">
            <v>EA</v>
          </cell>
          <cell r="N4842">
            <v>4533.1000000000004</v>
          </cell>
          <cell r="O4842" t="str">
            <v>INR</v>
          </cell>
        </row>
        <row r="4843">
          <cell r="A4843" t="str">
            <v>L003 Ankleshwar</v>
          </cell>
          <cell r="B4843">
            <v>667138</v>
          </cell>
          <cell r="C4843" t="str">
            <v>METALIC GASKET 1-1/2"</v>
          </cell>
          <cell r="D4843" t="str">
            <v>L0030151                       EnggStore</v>
          </cell>
          <cell r="E4843" t="str">
            <v>E31 E31</v>
          </cell>
          <cell r="F4843" t="str">
            <v>VB Manual reorder point planning</v>
          </cell>
          <cell r="G4843" t="str">
            <v>ERSA Spare parts</v>
          </cell>
          <cell r="H4843" t="str">
            <v>EN024     EnggConsumables</v>
          </cell>
          <cell r="I4843" t="str">
            <v>L003 Ankleshwar</v>
          </cell>
          <cell r="J4843" t="str">
            <v>99 Input/Byprodt/Scrap</v>
          </cell>
          <cell r="K4843" t="str">
            <v>10.2012</v>
          </cell>
          <cell r="L4843">
            <v>89</v>
          </cell>
          <cell r="M4843" t="str">
            <v>EA</v>
          </cell>
          <cell r="N4843">
            <v>863.29999999999905</v>
          </cell>
          <cell r="O4843" t="str">
            <v>INR</v>
          </cell>
        </row>
        <row r="4844">
          <cell r="A4844" t="str">
            <v>L003 Ankleshwar</v>
          </cell>
          <cell r="B4844">
            <v>667139</v>
          </cell>
          <cell r="C4844" t="str">
            <v>M.S. WIRE ROUND BRUSH: 2-1/2 "</v>
          </cell>
          <cell r="D4844" t="str">
            <v>L0030151                       EnggStore</v>
          </cell>
          <cell r="E4844" t="str">
            <v>E32 E32</v>
          </cell>
          <cell r="F4844" t="str">
            <v>VB Manual reorder point planning</v>
          </cell>
          <cell r="G4844" t="str">
            <v>ERSA Spare parts</v>
          </cell>
          <cell r="H4844" t="str">
            <v>EN024     EnggConsumables</v>
          </cell>
          <cell r="I4844" t="str">
            <v>L003 Ankleshwar</v>
          </cell>
          <cell r="J4844" t="str">
            <v>99 Input/Byprodt/Scrap</v>
          </cell>
          <cell r="K4844" t="str">
            <v>10.2012</v>
          </cell>
          <cell r="L4844">
            <v>1</v>
          </cell>
          <cell r="M4844" t="str">
            <v>EA</v>
          </cell>
          <cell r="N4844">
            <v>35</v>
          </cell>
          <cell r="O4844" t="str">
            <v>INR</v>
          </cell>
        </row>
        <row r="4845">
          <cell r="A4845" t="str">
            <v>L003 Ankleshwar</v>
          </cell>
          <cell r="B4845">
            <v>667149</v>
          </cell>
          <cell r="C4845" t="str">
            <v>GASKET P.NO.:12029606</v>
          </cell>
          <cell r="D4845" t="str">
            <v>L0030151                       EnggStore</v>
          </cell>
          <cell r="E4845">
            <v>0</v>
          </cell>
          <cell r="F4845" t="str">
            <v>ND No planning</v>
          </cell>
          <cell r="G4845" t="str">
            <v>ERSA Spare parts</v>
          </cell>
          <cell r="H4845" t="str">
            <v>EN029     Powerplantitems</v>
          </cell>
          <cell r="I4845" t="str">
            <v>L003 Ankleshwar</v>
          </cell>
          <cell r="J4845" t="str">
            <v>99 Input/Byprodt/Scrap</v>
          </cell>
          <cell r="K4845" t="str">
            <v>10.2012</v>
          </cell>
          <cell r="L4845">
            <v>3</v>
          </cell>
          <cell r="M4845" t="str">
            <v>EA</v>
          </cell>
          <cell r="N4845">
            <v>5528.25</v>
          </cell>
          <cell r="O4845" t="str">
            <v>INR</v>
          </cell>
        </row>
        <row r="4846">
          <cell r="A4846" t="str">
            <v>L003 Ankleshwar</v>
          </cell>
          <cell r="B4846">
            <v>667174</v>
          </cell>
          <cell r="C4846" t="str">
            <v>SET OF PISTON RINGS P.NO.:12211490</v>
          </cell>
          <cell r="D4846" t="str">
            <v>L0030151                       EnggStore</v>
          </cell>
          <cell r="E4846">
            <v>0</v>
          </cell>
          <cell r="F4846" t="str">
            <v>ND No planning</v>
          </cell>
          <cell r="G4846" t="str">
            <v>ERSA Spare parts</v>
          </cell>
          <cell r="H4846" t="str">
            <v>EN029     Powerplantitems</v>
          </cell>
          <cell r="I4846" t="str">
            <v>L003 Ankleshwar</v>
          </cell>
          <cell r="J4846" t="str">
            <v>99 Input/Byprodt/Scrap</v>
          </cell>
          <cell r="K4846" t="str">
            <v>10.2012</v>
          </cell>
          <cell r="L4846">
            <v>1</v>
          </cell>
          <cell r="M4846" t="str">
            <v>EA</v>
          </cell>
          <cell r="N4846">
            <v>30098.25</v>
          </cell>
          <cell r="O4846" t="str">
            <v>INR</v>
          </cell>
        </row>
        <row r="4847">
          <cell r="A4847" t="str">
            <v>L003 Ankleshwar</v>
          </cell>
          <cell r="B4847">
            <v>667185</v>
          </cell>
          <cell r="C4847" t="str">
            <v>O-SEAL P.NO.: 01181928</v>
          </cell>
          <cell r="D4847" t="str">
            <v>L0030151                       EnggStore</v>
          </cell>
          <cell r="E4847">
            <v>0</v>
          </cell>
          <cell r="F4847" t="str">
            <v>ND No planning</v>
          </cell>
          <cell r="G4847" t="str">
            <v>ERSA Spare parts</v>
          </cell>
          <cell r="H4847" t="str">
            <v>EN029     Powerplantitems</v>
          </cell>
          <cell r="I4847" t="str">
            <v>L003 Ankleshwar</v>
          </cell>
          <cell r="J4847" t="str">
            <v>99 Input/Byprodt/Scrap</v>
          </cell>
          <cell r="K4847" t="str">
            <v>10.2012</v>
          </cell>
          <cell r="L4847">
            <v>2</v>
          </cell>
          <cell r="M4847" t="str">
            <v>EA</v>
          </cell>
          <cell r="N4847">
            <v>7792.1999999999898</v>
          </cell>
          <cell r="O4847" t="str">
            <v>INR</v>
          </cell>
        </row>
        <row r="4848">
          <cell r="A4848" t="str">
            <v>L003 Ankleshwar</v>
          </cell>
          <cell r="B4848">
            <v>667191</v>
          </cell>
          <cell r="C4848" t="str">
            <v>REPAIR KIT FOR SOV SVRAT20</v>
          </cell>
          <cell r="D4848" t="str">
            <v>L0030151                       EnggStore</v>
          </cell>
          <cell r="E4848">
            <v>0</v>
          </cell>
          <cell r="F4848" t="str">
            <v>ND No planning</v>
          </cell>
          <cell r="G4848" t="str">
            <v>ERSA Spare parts</v>
          </cell>
          <cell r="H4848" t="str">
            <v>EN017     InstrumentSpares</v>
          </cell>
          <cell r="I4848" t="str">
            <v>L003 Ankleshwar</v>
          </cell>
          <cell r="J4848" t="str">
            <v>99 Input/Byprodt/Scrap</v>
          </cell>
          <cell r="K4848" t="str">
            <v>10.2012</v>
          </cell>
          <cell r="L4848">
            <v>2</v>
          </cell>
          <cell r="M4848" t="str">
            <v>EA</v>
          </cell>
          <cell r="N4848">
            <v>4931.5</v>
          </cell>
          <cell r="O4848" t="str">
            <v>INR</v>
          </cell>
        </row>
        <row r="4849">
          <cell r="A4849" t="str">
            <v>L003 Ankleshwar</v>
          </cell>
          <cell r="B4849">
            <v>667205</v>
          </cell>
          <cell r="C4849" t="str">
            <v>SPANNER FOR FLP SOV</v>
          </cell>
          <cell r="D4849" t="str">
            <v>L0030151                       EnggStore</v>
          </cell>
          <cell r="E4849">
            <v>0</v>
          </cell>
          <cell r="F4849" t="str">
            <v>ND No planning</v>
          </cell>
          <cell r="G4849" t="str">
            <v>ERSA Spare parts</v>
          </cell>
          <cell r="H4849" t="str">
            <v>EN036     Tools&amp;tackles</v>
          </cell>
          <cell r="I4849" t="str">
            <v>L003 Ankleshwar</v>
          </cell>
          <cell r="J4849" t="str">
            <v>99 Input/Byprodt/Scrap</v>
          </cell>
          <cell r="K4849" t="str">
            <v>10.2012</v>
          </cell>
          <cell r="L4849">
            <v>2</v>
          </cell>
          <cell r="M4849" t="str">
            <v>EA</v>
          </cell>
          <cell r="N4849">
            <v>1075.9000000000001</v>
          </cell>
          <cell r="O4849" t="str">
            <v>INR</v>
          </cell>
        </row>
        <row r="4850">
          <cell r="A4850" t="str">
            <v>L003 Ankleshwar</v>
          </cell>
          <cell r="B4850">
            <v>667229</v>
          </cell>
          <cell r="C4850" t="str">
            <v>PG: 0 TO 10000MMWC, 1/2" BSP, 6"DIAL</v>
          </cell>
          <cell r="D4850" t="str">
            <v>L0030151                       EnggStore</v>
          </cell>
          <cell r="E4850" t="str">
            <v>E36 E36</v>
          </cell>
          <cell r="F4850" t="str">
            <v>VB Manual reorder point planning</v>
          </cell>
          <cell r="G4850" t="str">
            <v>ERSA Spare parts</v>
          </cell>
          <cell r="H4850" t="str">
            <v>EN017     InstrumentSpares</v>
          </cell>
          <cell r="I4850" t="str">
            <v>L003 Ankleshwar</v>
          </cell>
          <cell r="J4850" t="str">
            <v>99 Input/Byprodt/Scrap</v>
          </cell>
          <cell r="K4850" t="str">
            <v>10.2012</v>
          </cell>
          <cell r="L4850">
            <v>1</v>
          </cell>
          <cell r="M4850" t="str">
            <v>EA</v>
          </cell>
          <cell r="N4850">
            <v>2023.5</v>
          </cell>
          <cell r="O4850" t="str">
            <v>INR</v>
          </cell>
        </row>
        <row r="4851">
          <cell r="A4851" t="str">
            <v>L003 Ankleshwar</v>
          </cell>
          <cell r="B4851">
            <v>667231</v>
          </cell>
          <cell r="C4851" t="str">
            <v>PG: 0 TO 6 KG/SQCM,1/2"BSP, 4" DIAL</v>
          </cell>
          <cell r="D4851" t="str">
            <v>L0030151                       EnggStore</v>
          </cell>
          <cell r="E4851" t="str">
            <v>E37 E37</v>
          </cell>
          <cell r="F4851" t="str">
            <v>VB Manual reorder point planning</v>
          </cell>
          <cell r="G4851" t="str">
            <v>ERSA Spare parts</v>
          </cell>
          <cell r="H4851" t="str">
            <v>EN017     InstrumentSpares</v>
          </cell>
          <cell r="I4851" t="str">
            <v>L003 Ankleshwar</v>
          </cell>
          <cell r="J4851" t="str">
            <v>99 Input/Byprodt/Scrap</v>
          </cell>
          <cell r="K4851" t="str">
            <v>10.2012</v>
          </cell>
          <cell r="L4851">
            <v>5</v>
          </cell>
          <cell r="M4851" t="str">
            <v>EA</v>
          </cell>
          <cell r="N4851">
            <v>4426.8500000000004</v>
          </cell>
          <cell r="O4851" t="str">
            <v>INR</v>
          </cell>
        </row>
        <row r="4852">
          <cell r="A4852" t="str">
            <v>L003 Ankleshwar</v>
          </cell>
          <cell r="B4852">
            <v>667241</v>
          </cell>
          <cell r="C4852" t="str">
            <v>SPRING FOR VJ-11 PUMP</v>
          </cell>
          <cell r="D4852" t="str">
            <v>L0030151                       EnggStore</v>
          </cell>
          <cell r="E4852">
            <v>0</v>
          </cell>
          <cell r="F4852" t="str">
            <v>ND No planning</v>
          </cell>
          <cell r="G4852" t="str">
            <v>ERSA Spare parts</v>
          </cell>
          <cell r="H4852" t="str">
            <v>EN032     Pumpspares</v>
          </cell>
          <cell r="I4852" t="str">
            <v>L003 Ankleshwar</v>
          </cell>
          <cell r="J4852" t="str">
            <v>99 Input/Byprodt/Scrap</v>
          </cell>
          <cell r="K4852" t="str">
            <v>10.2012</v>
          </cell>
          <cell r="L4852">
            <v>3</v>
          </cell>
          <cell r="M4852" t="str">
            <v>SET</v>
          </cell>
          <cell r="N4852">
            <v>84</v>
          </cell>
          <cell r="O4852" t="str">
            <v>INR</v>
          </cell>
        </row>
        <row r="4853">
          <cell r="A4853" t="str">
            <v>L003 Ankleshwar</v>
          </cell>
          <cell r="B4853">
            <v>667377</v>
          </cell>
          <cell r="C4853" t="str">
            <v>THERMOCOUPLE- K ,600 MM , DUPLEX</v>
          </cell>
          <cell r="D4853" t="str">
            <v>L0030151                       EnggStore</v>
          </cell>
          <cell r="E4853">
            <v>0</v>
          </cell>
          <cell r="F4853" t="str">
            <v>ND No planning</v>
          </cell>
          <cell r="G4853" t="str">
            <v>ERSA Spare parts</v>
          </cell>
          <cell r="H4853" t="str">
            <v>EN017     InstrumentSpares</v>
          </cell>
          <cell r="I4853" t="str">
            <v>L003 Ankleshwar</v>
          </cell>
          <cell r="J4853" t="str">
            <v>99 Input/Byprodt/Scrap</v>
          </cell>
          <cell r="K4853" t="str">
            <v>10.2012</v>
          </cell>
          <cell r="L4853">
            <v>1</v>
          </cell>
          <cell r="M4853" t="str">
            <v>EA</v>
          </cell>
          <cell r="N4853">
            <v>864.5</v>
          </cell>
          <cell r="O4853" t="str">
            <v>INR</v>
          </cell>
        </row>
        <row r="4854">
          <cell r="A4854" t="str">
            <v>L003 Ankleshwar</v>
          </cell>
          <cell r="B4854">
            <v>667386</v>
          </cell>
          <cell r="C4854" t="str">
            <v>MS FAN COVER ND225S -CROMPTON MOTOR NFLP</v>
          </cell>
          <cell r="D4854" t="str">
            <v>L0030151                       EnggStore</v>
          </cell>
          <cell r="E4854">
            <v>0</v>
          </cell>
          <cell r="F4854" t="str">
            <v>ND No planning</v>
          </cell>
          <cell r="G4854" t="str">
            <v>ERSA Spare parts</v>
          </cell>
          <cell r="H4854" t="str">
            <v>EN007     Elec Motors &amp; Spares</v>
          </cell>
          <cell r="I4854" t="str">
            <v>L003 Ankleshwar</v>
          </cell>
          <cell r="J4854" t="str">
            <v>99 Input/Byprodt/Scrap</v>
          </cell>
          <cell r="K4854" t="str">
            <v>10.2012</v>
          </cell>
          <cell r="L4854">
            <v>1</v>
          </cell>
          <cell r="M4854" t="str">
            <v>EA</v>
          </cell>
          <cell r="N4854">
            <v>1190</v>
          </cell>
          <cell r="O4854" t="str">
            <v>INR</v>
          </cell>
        </row>
        <row r="4855">
          <cell r="A4855" t="str">
            <v>L003 Ankleshwar</v>
          </cell>
          <cell r="B4855">
            <v>667487</v>
          </cell>
          <cell r="C4855" t="str">
            <v>SEAL KIT FOR 160-380 MODEL BHS CYLINDER</v>
          </cell>
          <cell r="D4855" t="str">
            <v>L0030151                       EnggStore</v>
          </cell>
          <cell r="E4855">
            <v>0</v>
          </cell>
          <cell r="F4855" t="str">
            <v>ND No planning</v>
          </cell>
          <cell r="G4855" t="str">
            <v>ERSA Spare parts</v>
          </cell>
          <cell r="H4855" t="str">
            <v>EN039     PlantEquipmentSpares</v>
          </cell>
          <cell r="I4855" t="str">
            <v>L003 Ankleshwar</v>
          </cell>
          <cell r="J4855" t="str">
            <v>99 Input/Byprodt/Scrap</v>
          </cell>
          <cell r="K4855" t="str">
            <v>10.2012</v>
          </cell>
          <cell r="L4855">
            <v>2</v>
          </cell>
          <cell r="M4855" t="str">
            <v>SET</v>
          </cell>
          <cell r="N4855">
            <v>10730.4</v>
          </cell>
          <cell r="O4855" t="str">
            <v>INR</v>
          </cell>
        </row>
        <row r="4856">
          <cell r="A4856" t="str">
            <v>L003 Ankleshwar</v>
          </cell>
          <cell r="B4856">
            <v>667488</v>
          </cell>
          <cell r="C4856" t="str">
            <v>SEAL KIT FOR 63-750 MODEL BHS CYLINDER</v>
          </cell>
          <cell r="D4856" t="str">
            <v>L0030151                       EnggStore</v>
          </cell>
          <cell r="E4856">
            <v>0</v>
          </cell>
          <cell r="F4856" t="str">
            <v>ND No planning</v>
          </cell>
          <cell r="G4856" t="str">
            <v>ERSA Spare parts</v>
          </cell>
          <cell r="H4856" t="str">
            <v>EN039     PlantEquipmentSpares</v>
          </cell>
          <cell r="I4856" t="str">
            <v>L003 Ankleshwar</v>
          </cell>
          <cell r="J4856" t="str">
            <v>99 Input/Byprodt/Scrap</v>
          </cell>
          <cell r="K4856" t="str">
            <v>10.2012</v>
          </cell>
          <cell r="L4856">
            <v>3</v>
          </cell>
          <cell r="M4856" t="str">
            <v>SET</v>
          </cell>
          <cell r="N4856">
            <v>6654.1999999999898</v>
          </cell>
          <cell r="O4856" t="str">
            <v>INR</v>
          </cell>
        </row>
        <row r="4857">
          <cell r="A4857" t="str">
            <v>L003 Ankleshwar</v>
          </cell>
          <cell r="B4857">
            <v>667497</v>
          </cell>
          <cell r="C4857" t="str">
            <v>COTTON TAPE 1 "</v>
          </cell>
          <cell r="D4857" t="str">
            <v>L0030151                       EnggStore</v>
          </cell>
          <cell r="E4857" t="str">
            <v>E01 E01</v>
          </cell>
          <cell r="F4857" t="str">
            <v>ND No planning</v>
          </cell>
          <cell r="G4857" t="str">
            <v>ERSA Spare parts</v>
          </cell>
          <cell r="H4857" t="str">
            <v>EN007     Elec Motors &amp; Spares</v>
          </cell>
          <cell r="I4857" t="str">
            <v>L003 Ankleshwar</v>
          </cell>
          <cell r="J4857" t="str">
            <v>99 Input/Byprodt/Scrap</v>
          </cell>
          <cell r="K4857" t="str">
            <v>10.2012</v>
          </cell>
          <cell r="L4857">
            <v>4</v>
          </cell>
          <cell r="M4857" t="str">
            <v>EA</v>
          </cell>
          <cell r="N4857">
            <v>236.5</v>
          </cell>
          <cell r="O4857" t="str">
            <v>INR</v>
          </cell>
        </row>
        <row r="4858">
          <cell r="A4858" t="str">
            <v>L003 Ankleshwar</v>
          </cell>
          <cell r="B4858">
            <v>667501</v>
          </cell>
          <cell r="C4858" t="str">
            <v>CERAMIC CANDLE FILTER 20"x5MICRON</v>
          </cell>
          <cell r="D4858" t="str">
            <v>L0030151                       EnggStore</v>
          </cell>
          <cell r="E4858">
            <v>0</v>
          </cell>
          <cell r="F4858" t="str">
            <v>ND No planning</v>
          </cell>
          <cell r="G4858" t="str">
            <v>ERSA Spare parts</v>
          </cell>
          <cell r="H4858" t="str">
            <v>EN018     UtilityEquipmentSpar</v>
          </cell>
          <cell r="I4858" t="str">
            <v>L003 Ankleshwar</v>
          </cell>
          <cell r="J4858" t="str">
            <v>99 Input/Byprodt/Scrap</v>
          </cell>
          <cell r="K4858" t="str">
            <v>10.2012</v>
          </cell>
          <cell r="L4858">
            <v>3</v>
          </cell>
          <cell r="M4858" t="str">
            <v>SET</v>
          </cell>
          <cell r="N4858">
            <v>3419.25</v>
          </cell>
          <cell r="O4858" t="str">
            <v>INR</v>
          </cell>
        </row>
        <row r="4859">
          <cell r="A4859" t="str">
            <v>L003 Ankleshwar</v>
          </cell>
          <cell r="B4859">
            <v>667505</v>
          </cell>
          <cell r="C4859" t="str">
            <v>PHE EDPM GASKET FOR TRANTER MAKE PHE</v>
          </cell>
          <cell r="D4859" t="str">
            <v>L0030151                       EnggStore</v>
          </cell>
          <cell r="E4859">
            <v>0</v>
          </cell>
          <cell r="F4859" t="str">
            <v>ND No planning</v>
          </cell>
          <cell r="G4859" t="str">
            <v>ERSA Spare parts</v>
          </cell>
          <cell r="H4859" t="str">
            <v>EN039     PlantEquipmentSpares</v>
          </cell>
          <cell r="I4859" t="str">
            <v>L003 Ankleshwar</v>
          </cell>
          <cell r="J4859" t="str">
            <v>99 Input/Byprodt/Scrap</v>
          </cell>
          <cell r="K4859" t="str">
            <v>10.2012</v>
          </cell>
          <cell r="L4859">
            <v>12</v>
          </cell>
          <cell r="M4859" t="str">
            <v>EA</v>
          </cell>
          <cell r="N4859">
            <v>4015.94</v>
          </cell>
          <cell r="O4859" t="str">
            <v>INR</v>
          </cell>
        </row>
        <row r="4860">
          <cell r="A4860" t="str">
            <v>L003 Ankleshwar</v>
          </cell>
          <cell r="B4860">
            <v>667618</v>
          </cell>
          <cell r="C4860" t="str">
            <v>PILOT VALVE FOR MAZDA PRV: 80MM</v>
          </cell>
          <cell r="D4860" t="str">
            <v>L0030151                       EnggStore</v>
          </cell>
          <cell r="E4860">
            <v>0</v>
          </cell>
          <cell r="F4860" t="str">
            <v>ND No planning</v>
          </cell>
          <cell r="G4860" t="str">
            <v>ERSA Spare parts</v>
          </cell>
          <cell r="H4860" t="str">
            <v>EN023     Valves&amp;spares</v>
          </cell>
          <cell r="I4860" t="str">
            <v>L003 Ankleshwar</v>
          </cell>
          <cell r="J4860" t="str">
            <v>99 Input/Byprodt/Scrap</v>
          </cell>
          <cell r="K4860" t="str">
            <v>10.2012</v>
          </cell>
          <cell r="L4860">
            <v>1</v>
          </cell>
          <cell r="M4860" t="str">
            <v>EA</v>
          </cell>
          <cell r="N4860">
            <v>1066</v>
          </cell>
          <cell r="O4860" t="str">
            <v>INR</v>
          </cell>
        </row>
        <row r="4861">
          <cell r="A4861" t="str">
            <v>L003 Ankleshwar</v>
          </cell>
          <cell r="B4861">
            <v>667648</v>
          </cell>
          <cell r="C4861" t="str">
            <v>KETTLE CONNECTOR : 1000W HEATER ELEMENT</v>
          </cell>
          <cell r="D4861" t="str">
            <v>L0030151                       EnggStore</v>
          </cell>
          <cell r="E4861">
            <v>0</v>
          </cell>
          <cell r="F4861" t="str">
            <v>ND No planning</v>
          </cell>
          <cell r="G4861" t="str">
            <v>ERSA Spare parts</v>
          </cell>
          <cell r="H4861" t="str">
            <v>EN006     Elec Switchgear</v>
          </cell>
          <cell r="I4861" t="str">
            <v>L003 Ankleshwar</v>
          </cell>
          <cell r="J4861" t="str">
            <v>99 Input/Byprodt/Scrap</v>
          </cell>
          <cell r="K4861" t="str">
            <v>10.2012</v>
          </cell>
          <cell r="L4861">
            <v>6</v>
          </cell>
          <cell r="M4861" t="str">
            <v>EA</v>
          </cell>
          <cell r="N4861">
            <v>300</v>
          </cell>
          <cell r="O4861" t="str">
            <v>INR</v>
          </cell>
        </row>
        <row r="4862">
          <cell r="A4862" t="str">
            <v>L003 Ankleshwar</v>
          </cell>
          <cell r="B4862">
            <v>667657</v>
          </cell>
          <cell r="C4862" t="str">
            <v>MAIN VALVE SEAT FOR MAZDA PRV: 80MM</v>
          </cell>
          <cell r="D4862" t="str">
            <v>L0030151                       EnggStore</v>
          </cell>
          <cell r="E4862">
            <v>0</v>
          </cell>
          <cell r="F4862" t="str">
            <v>ND No planning</v>
          </cell>
          <cell r="G4862" t="str">
            <v>ERSA Spare parts</v>
          </cell>
          <cell r="H4862" t="str">
            <v>EN023     Valves&amp;spares</v>
          </cell>
          <cell r="I4862" t="str">
            <v>L003 Ankleshwar</v>
          </cell>
          <cell r="J4862" t="str">
            <v>99 Input/Byprodt/Scrap</v>
          </cell>
          <cell r="K4862" t="str">
            <v>10.2012</v>
          </cell>
          <cell r="L4862">
            <v>2</v>
          </cell>
          <cell r="M4862" t="str">
            <v>EA</v>
          </cell>
          <cell r="N4862">
            <v>6240</v>
          </cell>
          <cell r="O4862" t="str">
            <v>INR</v>
          </cell>
        </row>
        <row r="4863">
          <cell r="A4863" t="str">
            <v>L003 Ankleshwar</v>
          </cell>
          <cell r="B4863">
            <v>667658</v>
          </cell>
          <cell r="C4863" t="str">
            <v>PISTON RING PRV MAZDA MAKE 80MM</v>
          </cell>
          <cell r="D4863" t="str">
            <v>L0030151                       EnggStore</v>
          </cell>
          <cell r="E4863">
            <v>0</v>
          </cell>
          <cell r="F4863" t="str">
            <v>ND No planning</v>
          </cell>
          <cell r="G4863" t="str">
            <v>ERSA Spare parts</v>
          </cell>
          <cell r="H4863" t="str">
            <v>EN023     Valves&amp;spares</v>
          </cell>
          <cell r="I4863" t="str">
            <v>L003 Ankleshwar</v>
          </cell>
          <cell r="J4863" t="str">
            <v>99 Input/Byprodt/Scrap</v>
          </cell>
          <cell r="K4863" t="str">
            <v>10.2012</v>
          </cell>
          <cell r="L4863">
            <v>1</v>
          </cell>
          <cell r="M4863" t="str">
            <v>SET</v>
          </cell>
          <cell r="N4863">
            <v>1960.4</v>
          </cell>
          <cell r="O4863" t="str">
            <v>INR</v>
          </cell>
        </row>
        <row r="4864">
          <cell r="A4864" t="str">
            <v>L003 Ankleshwar</v>
          </cell>
          <cell r="B4864">
            <v>667659</v>
          </cell>
          <cell r="C4864" t="str">
            <v>SET OF GASKETS FOR MAZDA PRV: 80MM</v>
          </cell>
          <cell r="D4864" t="str">
            <v>L0030151                       EnggStore</v>
          </cell>
          <cell r="E4864">
            <v>0</v>
          </cell>
          <cell r="F4864" t="str">
            <v>ND No planning</v>
          </cell>
          <cell r="G4864" t="str">
            <v>ERSA Spare parts</v>
          </cell>
          <cell r="H4864" t="str">
            <v>EN023     Valves&amp;spares</v>
          </cell>
          <cell r="I4864" t="str">
            <v>L003 Ankleshwar</v>
          </cell>
          <cell r="J4864" t="str">
            <v>99 Input/Byprodt/Scrap</v>
          </cell>
          <cell r="K4864" t="str">
            <v>10.2012</v>
          </cell>
          <cell r="L4864">
            <v>2</v>
          </cell>
          <cell r="M4864" t="str">
            <v>EA</v>
          </cell>
          <cell r="N4864">
            <v>3535</v>
          </cell>
          <cell r="O4864" t="str">
            <v>INR</v>
          </cell>
        </row>
        <row r="4865">
          <cell r="A4865" t="str">
            <v>L003 Ankleshwar</v>
          </cell>
          <cell r="B4865">
            <v>667686</v>
          </cell>
          <cell r="C4865" t="str">
            <v>SEAL RING : P NO : 3008710</v>
          </cell>
          <cell r="D4865" t="str">
            <v>L0030151                       EnggStore</v>
          </cell>
          <cell r="E4865">
            <v>0</v>
          </cell>
          <cell r="F4865" t="str">
            <v>ND No planning</v>
          </cell>
          <cell r="G4865" t="str">
            <v>ERSA Spare parts</v>
          </cell>
          <cell r="H4865" t="str">
            <v>EN003     ElectricalSpares</v>
          </cell>
          <cell r="I4865" t="str">
            <v>L003 Ankleshwar</v>
          </cell>
          <cell r="J4865" t="str">
            <v>99 Input/Byprodt/Scrap</v>
          </cell>
          <cell r="K4865" t="str">
            <v>10.2012</v>
          </cell>
          <cell r="L4865">
            <v>2</v>
          </cell>
          <cell r="M4865" t="str">
            <v>EA</v>
          </cell>
          <cell r="N4865">
            <v>43.8599999999999</v>
          </cell>
          <cell r="O4865" t="str">
            <v>INR</v>
          </cell>
        </row>
        <row r="4866">
          <cell r="A4866" t="str">
            <v>L003 Ankleshwar</v>
          </cell>
          <cell r="B4866">
            <v>667742</v>
          </cell>
          <cell r="C4866" t="str">
            <v>SS SCREW 25X8</v>
          </cell>
          <cell r="D4866" t="str">
            <v>L0030151                       EnggStore</v>
          </cell>
          <cell r="E4866">
            <v>0</v>
          </cell>
          <cell r="F4866" t="str">
            <v>ND No planning</v>
          </cell>
          <cell r="G4866" t="str">
            <v>ERSA Spare parts</v>
          </cell>
          <cell r="H4866" t="str">
            <v>EN019     Civil/Buliding Mater</v>
          </cell>
          <cell r="I4866" t="str">
            <v>L003 Ankleshwar</v>
          </cell>
          <cell r="J4866" t="str">
            <v>99 Input/Byprodt/Scrap</v>
          </cell>
          <cell r="K4866" t="str">
            <v>10.2012</v>
          </cell>
          <cell r="L4866">
            <v>674</v>
          </cell>
          <cell r="M4866" t="str">
            <v>EA</v>
          </cell>
          <cell r="N4866">
            <v>597.01999999999896</v>
          </cell>
          <cell r="O4866" t="str">
            <v>INR</v>
          </cell>
        </row>
        <row r="4867">
          <cell r="A4867" t="str">
            <v>L003 Ankleshwar</v>
          </cell>
          <cell r="B4867">
            <v>667746</v>
          </cell>
          <cell r="C4867" t="str">
            <v>IGBT CONTROL CARD PCB NO .50023 01F B</v>
          </cell>
          <cell r="D4867" t="str">
            <v>L0030151                       EnggStore</v>
          </cell>
          <cell r="E4867">
            <v>0</v>
          </cell>
          <cell r="F4867" t="str">
            <v>ND No planning</v>
          </cell>
          <cell r="G4867" t="str">
            <v>ERSA Spare parts</v>
          </cell>
          <cell r="H4867" t="str">
            <v>EN017     InstrumentSpares</v>
          </cell>
          <cell r="I4867" t="str">
            <v>L003 Ankleshwar</v>
          </cell>
          <cell r="J4867" t="str">
            <v>99 Input/Byprodt/Scrap</v>
          </cell>
          <cell r="K4867" t="str">
            <v>10.2012</v>
          </cell>
          <cell r="L4867">
            <v>1</v>
          </cell>
          <cell r="M4867" t="str">
            <v>EA</v>
          </cell>
          <cell r="N4867">
            <v>40736.22</v>
          </cell>
          <cell r="O4867" t="str">
            <v>INR</v>
          </cell>
        </row>
        <row r="4868">
          <cell r="A4868" t="str">
            <v>L003 Ankleshwar</v>
          </cell>
          <cell r="B4868">
            <v>667749</v>
          </cell>
          <cell r="C4868" t="str">
            <v>PVC SPRAY NOZZLE 1" SCREW TYPE</v>
          </cell>
          <cell r="D4868" t="str">
            <v>L0030151                       EnggStore</v>
          </cell>
          <cell r="E4868">
            <v>0</v>
          </cell>
          <cell r="F4868" t="str">
            <v>ND No planning</v>
          </cell>
          <cell r="G4868" t="str">
            <v>ERSA Spare parts</v>
          </cell>
          <cell r="H4868" t="str">
            <v>EN018     UtilityEquipmentSpar</v>
          </cell>
          <cell r="I4868" t="str">
            <v>L003 Ankleshwar</v>
          </cell>
          <cell r="J4868" t="str">
            <v>99 Input/Byprodt/Scrap</v>
          </cell>
          <cell r="K4868" t="str">
            <v>10.2012</v>
          </cell>
          <cell r="L4868">
            <v>12</v>
          </cell>
          <cell r="M4868" t="str">
            <v>EA</v>
          </cell>
          <cell r="N4868">
            <v>780</v>
          </cell>
          <cell r="O4868" t="str">
            <v>INR</v>
          </cell>
        </row>
        <row r="4869">
          <cell r="A4869" t="str">
            <v>L003 Ankleshwar</v>
          </cell>
          <cell r="B4869">
            <v>667770</v>
          </cell>
          <cell r="C4869" t="str">
            <v>HRC FUSE LINK HPL LKTSF 200A, 415V. 80KA</v>
          </cell>
          <cell r="D4869" t="str">
            <v>L0030151                       EnggStore</v>
          </cell>
          <cell r="E4869">
            <v>0</v>
          </cell>
          <cell r="F4869" t="str">
            <v>ND No planning</v>
          </cell>
          <cell r="G4869" t="str">
            <v>ERSA Spare parts</v>
          </cell>
          <cell r="H4869" t="str">
            <v>EN003     ElectricalSpares</v>
          </cell>
          <cell r="I4869" t="str">
            <v>L003 Ankleshwar</v>
          </cell>
          <cell r="J4869" t="str">
            <v>99 Input/Byprodt/Scrap</v>
          </cell>
          <cell r="K4869" t="str">
            <v>10.2012</v>
          </cell>
          <cell r="L4869">
            <v>6</v>
          </cell>
          <cell r="M4869" t="str">
            <v>EA</v>
          </cell>
          <cell r="N4869">
            <v>929.03999999999905</v>
          </cell>
          <cell r="O4869" t="str">
            <v>INR</v>
          </cell>
        </row>
        <row r="4870">
          <cell r="A4870" t="str">
            <v>L003 Ankleshwar</v>
          </cell>
          <cell r="B4870">
            <v>667782</v>
          </cell>
          <cell r="C4870" t="str">
            <v>PISTON FOR 80MM PRV MAZDA MAKE</v>
          </cell>
          <cell r="D4870" t="str">
            <v>L0030151                       EnggStore</v>
          </cell>
          <cell r="E4870">
            <v>0</v>
          </cell>
          <cell r="F4870" t="str">
            <v>ND No planning</v>
          </cell>
          <cell r="G4870" t="str">
            <v>ERSA Spare parts</v>
          </cell>
          <cell r="H4870" t="str">
            <v>EN024     EnggConsumables</v>
          </cell>
          <cell r="I4870" t="str">
            <v>L003 Ankleshwar</v>
          </cell>
          <cell r="J4870" t="str">
            <v>99 Input/Byprodt/Scrap</v>
          </cell>
          <cell r="K4870" t="str">
            <v>10.2012</v>
          </cell>
          <cell r="L4870">
            <v>1</v>
          </cell>
          <cell r="M4870" t="str">
            <v>EA</v>
          </cell>
          <cell r="N4870">
            <v>3328</v>
          </cell>
          <cell r="O4870" t="str">
            <v>INR</v>
          </cell>
        </row>
        <row r="4871">
          <cell r="A4871" t="str">
            <v>L003 Ankleshwar</v>
          </cell>
          <cell r="B4871">
            <v>667808</v>
          </cell>
          <cell r="C4871" t="str">
            <v>FINS-MS-WIDTH 90MM X 88.9 MM HT</v>
          </cell>
          <cell r="D4871" t="str">
            <v>L0030151                       EnggStore</v>
          </cell>
          <cell r="E4871">
            <v>0</v>
          </cell>
          <cell r="F4871" t="str">
            <v>ND No planning</v>
          </cell>
          <cell r="G4871" t="str">
            <v>ERSA Spare parts</v>
          </cell>
          <cell r="H4871" t="str">
            <v>EN028     Pipes&amp;pipefittings</v>
          </cell>
          <cell r="I4871" t="str">
            <v>L003 Ankleshwar</v>
          </cell>
          <cell r="J4871" t="str">
            <v>99 Input/Byprodt/Scrap</v>
          </cell>
          <cell r="K4871" t="str">
            <v>10.2012</v>
          </cell>
          <cell r="L4871">
            <v>300</v>
          </cell>
          <cell r="M4871" t="str">
            <v>EA</v>
          </cell>
          <cell r="N4871">
            <v>6880.5</v>
          </cell>
          <cell r="O4871" t="str">
            <v>INR</v>
          </cell>
        </row>
        <row r="4872">
          <cell r="A4872" t="str">
            <v>L003 Ankleshwar</v>
          </cell>
          <cell r="B4872">
            <v>667809</v>
          </cell>
          <cell r="C4872" t="str">
            <v>ELECTROMAGNETIC LOCK 600 LBS</v>
          </cell>
          <cell r="D4872" t="str">
            <v>L0030151                       EnggStore</v>
          </cell>
          <cell r="E4872">
            <v>0</v>
          </cell>
          <cell r="F4872" t="str">
            <v>ND No planning</v>
          </cell>
          <cell r="G4872" t="str">
            <v>ERSA Spare parts</v>
          </cell>
          <cell r="H4872" t="str">
            <v>EN003     ElectricalSpares</v>
          </cell>
          <cell r="I4872" t="str">
            <v>L003 Ankleshwar</v>
          </cell>
          <cell r="J4872" t="str">
            <v>99 Input/Byprodt/Scrap</v>
          </cell>
          <cell r="K4872" t="str">
            <v>10.2012</v>
          </cell>
          <cell r="L4872">
            <v>1</v>
          </cell>
          <cell r="M4872" t="str">
            <v>EA</v>
          </cell>
          <cell r="N4872">
            <v>2812.5</v>
          </cell>
          <cell r="O4872" t="str">
            <v>INR</v>
          </cell>
        </row>
        <row r="4873">
          <cell r="A4873" t="str">
            <v>L003 Ankleshwar</v>
          </cell>
          <cell r="B4873">
            <v>667924</v>
          </cell>
          <cell r="C4873" t="str">
            <v>FUSE,80A,660-690VAC,FERRAZ PROTISTOR</v>
          </cell>
          <cell r="D4873" t="str">
            <v>L0030151                       EnggStore</v>
          </cell>
          <cell r="E4873">
            <v>0</v>
          </cell>
          <cell r="F4873" t="str">
            <v>ND No planning</v>
          </cell>
          <cell r="G4873" t="str">
            <v>ERSA Spare parts</v>
          </cell>
          <cell r="H4873" t="str">
            <v>EN017     InstrumentSpares</v>
          </cell>
          <cell r="I4873" t="str">
            <v>L003 Ankleshwar</v>
          </cell>
          <cell r="J4873" t="str">
            <v>99 Input/Byprodt/Scrap</v>
          </cell>
          <cell r="K4873" t="str">
            <v>10.2012</v>
          </cell>
          <cell r="L4873">
            <v>2</v>
          </cell>
          <cell r="M4873" t="str">
            <v>EA</v>
          </cell>
          <cell r="N4873">
            <v>7594.6899999999896</v>
          </cell>
          <cell r="O4873" t="str">
            <v>INR</v>
          </cell>
        </row>
        <row r="4874">
          <cell r="A4874" t="str">
            <v>L003 Ankleshwar</v>
          </cell>
          <cell r="B4874">
            <v>667931</v>
          </cell>
          <cell r="C4874" t="str">
            <v>V BELT B 90</v>
          </cell>
          <cell r="D4874" t="str">
            <v>L0030151                       EnggStore</v>
          </cell>
          <cell r="E4874" t="str">
            <v>E35 E35</v>
          </cell>
          <cell r="F4874" t="str">
            <v>VB Manual reorder point planning</v>
          </cell>
          <cell r="G4874" t="str">
            <v>ERSA Spare parts</v>
          </cell>
          <cell r="H4874" t="str">
            <v>EN021     VbeltCoupling&amp;Pulley</v>
          </cell>
          <cell r="I4874" t="str">
            <v>L003 Ankleshwar</v>
          </cell>
          <cell r="J4874" t="str">
            <v>99 Input/Byprodt/Scrap</v>
          </cell>
          <cell r="K4874" t="str">
            <v>10.2012</v>
          </cell>
          <cell r="L4874">
            <v>2</v>
          </cell>
          <cell r="M4874" t="str">
            <v>EA</v>
          </cell>
          <cell r="N4874">
            <v>533.71</v>
          </cell>
          <cell r="O4874" t="str">
            <v>INR</v>
          </cell>
        </row>
        <row r="4875">
          <cell r="A4875" t="str">
            <v>L003 Ankleshwar</v>
          </cell>
          <cell r="B4875">
            <v>667947</v>
          </cell>
          <cell r="C4875" t="str">
            <v>CONNECTING ROD HS2028,P/N 83431-405</v>
          </cell>
          <cell r="D4875" t="str">
            <v>L0030151                       EnggStore</v>
          </cell>
          <cell r="E4875">
            <v>0</v>
          </cell>
          <cell r="F4875" t="str">
            <v>ND No planning</v>
          </cell>
          <cell r="G4875" t="str">
            <v>ERSA Spare parts</v>
          </cell>
          <cell r="H4875" t="str">
            <v>EN018     UtilityEquipmentSpar</v>
          </cell>
          <cell r="I4875" t="str">
            <v>L003 Ankleshwar</v>
          </cell>
          <cell r="J4875" t="str">
            <v>99 Input/Byprodt/Scrap</v>
          </cell>
          <cell r="K4875" t="str">
            <v>10.2012</v>
          </cell>
          <cell r="L4875">
            <v>1</v>
          </cell>
          <cell r="M4875" t="str">
            <v>EA</v>
          </cell>
          <cell r="N4875">
            <v>7273.93</v>
          </cell>
          <cell r="O4875" t="str">
            <v>INR</v>
          </cell>
        </row>
        <row r="4876">
          <cell r="A4876" t="str">
            <v>L003 Ankleshwar</v>
          </cell>
          <cell r="B4876">
            <v>667948</v>
          </cell>
          <cell r="C4876" t="str">
            <v>COIL HOUSING ASSY. HS2028,P/N 91155-105</v>
          </cell>
          <cell r="D4876" t="str">
            <v>L0030151                       EnggStore</v>
          </cell>
          <cell r="E4876">
            <v>0</v>
          </cell>
          <cell r="F4876" t="str">
            <v>ND No planning</v>
          </cell>
          <cell r="G4876" t="str">
            <v>ERSA Spare parts</v>
          </cell>
          <cell r="H4876" t="str">
            <v>EN018     UtilityEquipmentSpar</v>
          </cell>
          <cell r="I4876" t="str">
            <v>L003 Ankleshwar</v>
          </cell>
          <cell r="J4876" t="str">
            <v>99 Input/Byprodt/Scrap</v>
          </cell>
          <cell r="K4876" t="str">
            <v>10.2012</v>
          </cell>
          <cell r="L4876">
            <v>1</v>
          </cell>
          <cell r="M4876" t="str">
            <v>EA</v>
          </cell>
          <cell r="N4876">
            <v>44956.61</v>
          </cell>
          <cell r="O4876" t="str">
            <v>INR</v>
          </cell>
        </row>
        <row r="4877">
          <cell r="A4877" t="str">
            <v>L003 Ankleshwar</v>
          </cell>
          <cell r="B4877">
            <v>667992</v>
          </cell>
          <cell r="C4877" t="str">
            <v>SS CASING DB -40X20</v>
          </cell>
          <cell r="D4877" t="str">
            <v>L0030151                       EnggStore</v>
          </cell>
          <cell r="E4877">
            <v>0</v>
          </cell>
          <cell r="F4877" t="str">
            <v>ND No planning</v>
          </cell>
          <cell r="G4877" t="str">
            <v>ERSA Spare parts</v>
          </cell>
          <cell r="H4877" t="str">
            <v>EN032     Pumpspares</v>
          </cell>
          <cell r="I4877" t="str">
            <v>L003 Ankleshwar</v>
          </cell>
          <cell r="J4877" t="str">
            <v>99 Input/Byprodt/Scrap</v>
          </cell>
          <cell r="K4877" t="str">
            <v>10.2012</v>
          </cell>
          <cell r="L4877">
            <v>1</v>
          </cell>
          <cell r="M4877" t="str">
            <v>EA</v>
          </cell>
          <cell r="N4877">
            <v>12240</v>
          </cell>
          <cell r="O4877" t="str">
            <v>INR</v>
          </cell>
        </row>
        <row r="4878">
          <cell r="A4878" t="str">
            <v>L003 Ankleshwar</v>
          </cell>
          <cell r="B4878">
            <v>667998</v>
          </cell>
          <cell r="C4878" t="str">
            <v>TRANSFORMER 220-3200V FOR INSECT KILLER</v>
          </cell>
          <cell r="D4878" t="str">
            <v>L0030151                       EnggStore</v>
          </cell>
          <cell r="E4878">
            <v>0</v>
          </cell>
          <cell r="F4878" t="str">
            <v>ND No planning</v>
          </cell>
          <cell r="G4878" t="str">
            <v>ERSA Spare parts</v>
          </cell>
          <cell r="H4878" t="str">
            <v>EN005     Elec Lighting</v>
          </cell>
          <cell r="I4878" t="str">
            <v>L003 Ankleshwar</v>
          </cell>
          <cell r="J4878" t="str">
            <v>99 Input/Byprodt/Scrap</v>
          </cell>
          <cell r="K4878" t="str">
            <v>10.2012</v>
          </cell>
          <cell r="L4878">
            <v>2</v>
          </cell>
          <cell r="M4878" t="str">
            <v>EA</v>
          </cell>
          <cell r="N4878">
            <v>1600</v>
          </cell>
          <cell r="O4878" t="str">
            <v>INR</v>
          </cell>
        </row>
        <row r="4879">
          <cell r="A4879" t="str">
            <v>L003 Ankleshwar</v>
          </cell>
          <cell r="B4879">
            <v>668013</v>
          </cell>
          <cell r="C4879" t="str">
            <v>2HX2T-25/16PA,H3264125,RIDER RING</v>
          </cell>
          <cell r="D4879" t="str">
            <v>L0030151                       EnggStore</v>
          </cell>
          <cell r="E4879" t="str">
            <v>E32 E32</v>
          </cell>
          <cell r="F4879" t="str">
            <v>VB Manual reorder point planning</v>
          </cell>
          <cell r="G4879" t="str">
            <v>ERSA Spare parts</v>
          </cell>
          <cell r="H4879" t="str">
            <v>EN018     UtilityEquipmentSpar</v>
          </cell>
          <cell r="I4879" t="str">
            <v>L003 Ankleshwar</v>
          </cell>
          <cell r="J4879" t="str">
            <v>99 Input/Byprodt/Scrap</v>
          </cell>
          <cell r="K4879" t="str">
            <v>10.2012</v>
          </cell>
          <cell r="L4879">
            <v>2</v>
          </cell>
          <cell r="M4879" t="str">
            <v>EA</v>
          </cell>
          <cell r="N4879">
            <v>8767.0799999999908</v>
          </cell>
          <cell r="O4879" t="str">
            <v>INR</v>
          </cell>
        </row>
        <row r="4880">
          <cell r="A4880" t="str">
            <v>L003 Ankleshwar</v>
          </cell>
          <cell r="B4880">
            <v>668054</v>
          </cell>
          <cell r="C4880" t="str">
            <v>UV TUBE 8W  AQUAGAURD G20T5</v>
          </cell>
          <cell r="D4880" t="str">
            <v>L0030151                       EnggStore</v>
          </cell>
          <cell r="E4880">
            <v>0</v>
          </cell>
          <cell r="F4880" t="str">
            <v>ND No planning</v>
          </cell>
          <cell r="G4880" t="str">
            <v>ERSA Spare parts</v>
          </cell>
          <cell r="H4880" t="str">
            <v>EN037     Refrigeration&amp;A/Cspa</v>
          </cell>
          <cell r="I4880" t="str">
            <v>L003 Ankleshwar</v>
          </cell>
          <cell r="J4880" t="str">
            <v>99 Input/Byprodt/Scrap</v>
          </cell>
          <cell r="K4880" t="str">
            <v>10.2012</v>
          </cell>
          <cell r="L4880">
            <v>3</v>
          </cell>
          <cell r="M4880" t="str">
            <v>EA</v>
          </cell>
          <cell r="N4880">
            <v>1748.89</v>
          </cell>
          <cell r="O4880" t="str">
            <v>INR</v>
          </cell>
        </row>
        <row r="4881">
          <cell r="A4881" t="str">
            <v>L003 Ankleshwar</v>
          </cell>
          <cell r="B4881">
            <v>668123</v>
          </cell>
          <cell r="C4881" t="str">
            <v>TOUGHNED GLASS ROUND SIZE: 190X15MM</v>
          </cell>
          <cell r="D4881" t="str">
            <v>L0030151                       EnggStore</v>
          </cell>
          <cell r="E4881">
            <v>0</v>
          </cell>
          <cell r="F4881" t="str">
            <v>ND No planning</v>
          </cell>
          <cell r="G4881" t="str">
            <v>ERSA Spare parts</v>
          </cell>
          <cell r="H4881" t="str">
            <v>EN028     Pipes&amp;pipefittings</v>
          </cell>
          <cell r="I4881" t="str">
            <v>L003 Ankleshwar</v>
          </cell>
          <cell r="J4881" t="str">
            <v>99 Input/Byprodt/Scrap</v>
          </cell>
          <cell r="K4881" t="str">
            <v>10.2012</v>
          </cell>
          <cell r="L4881">
            <v>3</v>
          </cell>
          <cell r="M4881" t="str">
            <v>EA</v>
          </cell>
          <cell r="N4881">
            <v>495</v>
          </cell>
          <cell r="O4881" t="str">
            <v>INR</v>
          </cell>
        </row>
        <row r="4882">
          <cell r="A4882" t="str">
            <v>L003 Ankleshwar</v>
          </cell>
          <cell r="B4882">
            <v>668157</v>
          </cell>
          <cell r="C4882" t="str">
            <v>ADOPTER SLEEVE H-310</v>
          </cell>
          <cell r="D4882" t="str">
            <v>L0030151                       EnggStore</v>
          </cell>
          <cell r="E4882" t="str">
            <v>E31 E31</v>
          </cell>
          <cell r="F4882" t="str">
            <v>VB Manual reorder point planning</v>
          </cell>
          <cell r="G4882" t="str">
            <v>ERSA Spare parts</v>
          </cell>
          <cell r="H4882" t="str">
            <v>EN009     Bearings</v>
          </cell>
          <cell r="I4882" t="str">
            <v>L003 Ankleshwar</v>
          </cell>
          <cell r="J4882" t="str">
            <v>99 Input/Byprodt/Scrap</v>
          </cell>
          <cell r="K4882" t="str">
            <v>10.2012</v>
          </cell>
          <cell r="L4882">
            <v>1</v>
          </cell>
          <cell r="M4882" t="str">
            <v>EA</v>
          </cell>
          <cell r="N4882">
            <v>391.31999999999903</v>
          </cell>
          <cell r="O4882" t="str">
            <v>INR</v>
          </cell>
        </row>
        <row r="4883">
          <cell r="A4883" t="str">
            <v>L003 Ankleshwar</v>
          </cell>
          <cell r="B4883">
            <v>668158</v>
          </cell>
          <cell r="C4883" t="str">
            <v>BEARING 22210EK</v>
          </cell>
          <cell r="D4883" t="str">
            <v>L0030151                       EnggStore</v>
          </cell>
          <cell r="E4883" t="str">
            <v>E31 E31</v>
          </cell>
          <cell r="F4883" t="str">
            <v>VB Manual reorder point planning</v>
          </cell>
          <cell r="G4883" t="str">
            <v>ERSA Spare parts</v>
          </cell>
          <cell r="H4883" t="str">
            <v>EN009     Bearings</v>
          </cell>
          <cell r="I4883" t="str">
            <v>L003 Ankleshwar</v>
          </cell>
          <cell r="J4883" t="str">
            <v>99 Input/Byprodt/Scrap</v>
          </cell>
          <cell r="K4883" t="str">
            <v>10.2012</v>
          </cell>
          <cell r="L4883">
            <v>4</v>
          </cell>
          <cell r="M4883" t="str">
            <v>EA</v>
          </cell>
          <cell r="N4883">
            <v>13864.16</v>
          </cell>
          <cell r="O4883" t="str">
            <v>INR</v>
          </cell>
        </row>
        <row r="4884">
          <cell r="A4884" t="str">
            <v>L003 Ankleshwar</v>
          </cell>
          <cell r="B4884">
            <v>668159</v>
          </cell>
          <cell r="C4884" t="str">
            <v>GI CLAMP 4"</v>
          </cell>
          <cell r="D4884" t="str">
            <v>L0030151                       EnggStore</v>
          </cell>
          <cell r="E4884">
            <v>0</v>
          </cell>
          <cell r="F4884" t="str">
            <v>ND No planning</v>
          </cell>
          <cell r="G4884" t="str">
            <v>ERSA Spare parts</v>
          </cell>
          <cell r="H4884" t="str">
            <v>EN028     Pipes&amp;pipefittings</v>
          </cell>
          <cell r="I4884" t="str">
            <v>L003 Ankleshwar</v>
          </cell>
          <cell r="J4884" t="str">
            <v>99 Input/Byprodt/Scrap</v>
          </cell>
          <cell r="K4884" t="str">
            <v>10.2012</v>
          </cell>
          <cell r="L4884">
            <v>1</v>
          </cell>
          <cell r="M4884" t="str">
            <v>EA</v>
          </cell>
          <cell r="N4884">
            <v>13.76</v>
          </cell>
          <cell r="O4884" t="str">
            <v>INR</v>
          </cell>
        </row>
        <row r="4885">
          <cell r="A4885" t="str">
            <v>L003 Ankleshwar</v>
          </cell>
          <cell r="B4885">
            <v>668159</v>
          </cell>
          <cell r="C4885" t="str">
            <v>GI CLAMP 4"</v>
          </cell>
          <cell r="D4885" t="str">
            <v>L0030201                       Cons StoreKP</v>
          </cell>
          <cell r="E4885">
            <v>0</v>
          </cell>
          <cell r="F4885" t="str">
            <v>ND No planning</v>
          </cell>
          <cell r="G4885" t="str">
            <v>ERSA Spare parts</v>
          </cell>
          <cell r="H4885" t="str">
            <v>EN028     Pipes&amp;pipefittings</v>
          </cell>
          <cell r="I4885" t="str">
            <v>L003 Ankleshwar</v>
          </cell>
          <cell r="J4885" t="str">
            <v>99 Input/Byprodt/Scrap</v>
          </cell>
          <cell r="K4885" t="str">
            <v>10.2012</v>
          </cell>
          <cell r="L4885">
            <v>36</v>
          </cell>
          <cell r="M4885" t="str">
            <v>EA</v>
          </cell>
          <cell r="N4885">
            <v>495.44999999999902</v>
          </cell>
          <cell r="O4885" t="str">
            <v>INR</v>
          </cell>
        </row>
        <row r="4886">
          <cell r="A4886" t="str">
            <v>L003 Ankleshwar</v>
          </cell>
          <cell r="B4886">
            <v>668161</v>
          </cell>
          <cell r="C4886" t="str">
            <v>V-BELT : SPC - 4750</v>
          </cell>
          <cell r="D4886" t="str">
            <v>L0030151                       EnggStore</v>
          </cell>
          <cell r="E4886" t="str">
            <v>E35 E35</v>
          </cell>
          <cell r="F4886" t="str">
            <v>VB Manual reorder point planning</v>
          </cell>
          <cell r="G4886" t="str">
            <v>ERSA Spare parts</v>
          </cell>
          <cell r="H4886" t="str">
            <v>EN021     VbeltCoupling&amp;Pulley</v>
          </cell>
          <cell r="I4886" t="str">
            <v>L003 Ankleshwar</v>
          </cell>
          <cell r="J4886" t="str">
            <v>99 Input/Byprodt/Scrap</v>
          </cell>
          <cell r="K4886" t="str">
            <v>10.2012</v>
          </cell>
          <cell r="L4886">
            <v>12</v>
          </cell>
          <cell r="M4886" t="str">
            <v>EA</v>
          </cell>
          <cell r="N4886">
            <v>15741.2</v>
          </cell>
          <cell r="O4886" t="str">
            <v>INR</v>
          </cell>
        </row>
        <row r="4887">
          <cell r="A4887" t="str">
            <v>L003 Ankleshwar</v>
          </cell>
          <cell r="B4887">
            <v>668168</v>
          </cell>
          <cell r="C4887" t="str">
            <v>CASING GASKET PN 300:PUMP-CCR 25-160</v>
          </cell>
          <cell r="D4887" t="str">
            <v>L0030151                       EnggStore</v>
          </cell>
          <cell r="E4887" t="str">
            <v>E34 E34</v>
          </cell>
          <cell r="F4887" t="str">
            <v>VB Manual reorder point planning</v>
          </cell>
          <cell r="G4887" t="str">
            <v>ERSA Spare parts</v>
          </cell>
          <cell r="H4887" t="str">
            <v>EN032     Pumpspares</v>
          </cell>
          <cell r="I4887" t="str">
            <v>L003 Ankleshwar</v>
          </cell>
          <cell r="J4887" t="str">
            <v>99 Input/Byprodt/Scrap</v>
          </cell>
          <cell r="K4887" t="str">
            <v>10.2012</v>
          </cell>
          <cell r="L4887">
            <v>5</v>
          </cell>
          <cell r="M4887" t="str">
            <v>EA</v>
          </cell>
          <cell r="N4887">
            <v>450</v>
          </cell>
          <cell r="O4887" t="str">
            <v>INR</v>
          </cell>
        </row>
        <row r="4888">
          <cell r="A4888" t="str">
            <v>L003 Ankleshwar</v>
          </cell>
          <cell r="B4888">
            <v>668169</v>
          </cell>
          <cell r="C4888" t="str">
            <v>SHAFT SLEEVE P.N 1100:PUMP-CCR 25-160</v>
          </cell>
          <cell r="D4888" t="str">
            <v>L0030151                       EnggStore</v>
          </cell>
          <cell r="E4888" t="str">
            <v>E34 E34</v>
          </cell>
          <cell r="F4888" t="str">
            <v>VB Manual reorder point planning</v>
          </cell>
          <cell r="G4888" t="str">
            <v>ERSA Spare parts</v>
          </cell>
          <cell r="H4888" t="str">
            <v>EN032     Pumpspares</v>
          </cell>
          <cell r="I4888" t="str">
            <v>L003 Ankleshwar</v>
          </cell>
          <cell r="J4888" t="str">
            <v>99 Input/Byprodt/Scrap</v>
          </cell>
          <cell r="K4888" t="str">
            <v>10.2012</v>
          </cell>
          <cell r="L4888">
            <v>3</v>
          </cell>
          <cell r="M4888" t="str">
            <v>EA</v>
          </cell>
          <cell r="N4888">
            <v>3390</v>
          </cell>
          <cell r="O4888" t="str">
            <v>INR</v>
          </cell>
        </row>
        <row r="4889">
          <cell r="A4889" t="str">
            <v>L003 Ankleshwar</v>
          </cell>
          <cell r="B4889">
            <v>668170</v>
          </cell>
          <cell r="C4889" t="str">
            <v>SHAFT SLEEVE P.N 1200:PUMP-CCR 25-160</v>
          </cell>
          <cell r="D4889" t="str">
            <v>L0030151                       EnggStore</v>
          </cell>
          <cell r="E4889">
            <v>0</v>
          </cell>
          <cell r="F4889" t="str">
            <v>ND No planning</v>
          </cell>
          <cell r="G4889" t="str">
            <v>ERSA Spare parts</v>
          </cell>
          <cell r="H4889" t="str">
            <v>EN032     Pumpspares</v>
          </cell>
          <cell r="I4889" t="str">
            <v>L003 Ankleshwar</v>
          </cell>
          <cell r="J4889" t="str">
            <v>99 Input/Byprodt/Scrap</v>
          </cell>
          <cell r="K4889" t="str">
            <v>10.2012</v>
          </cell>
          <cell r="L4889">
            <v>1</v>
          </cell>
          <cell r="M4889" t="str">
            <v>EA</v>
          </cell>
          <cell r="N4889">
            <v>1835.25</v>
          </cell>
          <cell r="O4889" t="str">
            <v>INR</v>
          </cell>
        </row>
        <row r="4890">
          <cell r="A4890" t="str">
            <v>L003 Ankleshwar</v>
          </cell>
          <cell r="B4890">
            <v>668183</v>
          </cell>
          <cell r="C4890" t="str">
            <v>O' RING (S4) P.N 1350:PUMP-CCR 25-160</v>
          </cell>
          <cell r="D4890" t="str">
            <v>L0030151                       EnggStore</v>
          </cell>
          <cell r="E4890">
            <v>0</v>
          </cell>
          <cell r="F4890" t="str">
            <v>ND No planning</v>
          </cell>
          <cell r="G4890" t="str">
            <v>ERSA Spare parts</v>
          </cell>
          <cell r="H4890" t="str">
            <v>EN032     Pumpspares</v>
          </cell>
          <cell r="I4890" t="str">
            <v>L003 Ankleshwar</v>
          </cell>
          <cell r="J4890" t="str">
            <v>99 Input/Byprodt/Scrap</v>
          </cell>
          <cell r="K4890" t="str">
            <v>10.2012</v>
          </cell>
          <cell r="L4890">
            <v>1</v>
          </cell>
          <cell r="M4890" t="str">
            <v>EA</v>
          </cell>
          <cell r="N4890">
            <v>87.87</v>
          </cell>
          <cell r="O4890" t="str">
            <v>INR</v>
          </cell>
        </row>
        <row r="4891">
          <cell r="A4891" t="str">
            <v>L003 Ankleshwar</v>
          </cell>
          <cell r="B4891">
            <v>668185</v>
          </cell>
          <cell r="C4891" t="str">
            <v>IMPELLAR CAP NUT PN1820:PUMP-CCR 25-160</v>
          </cell>
          <cell r="D4891" t="str">
            <v>L0030151                       EnggStore</v>
          </cell>
          <cell r="E4891" t="str">
            <v>E34 E34</v>
          </cell>
          <cell r="F4891" t="str">
            <v>VB Manual reorder point planning</v>
          </cell>
          <cell r="G4891" t="str">
            <v>ERSA Spare parts</v>
          </cell>
          <cell r="H4891" t="str">
            <v>EN032     Pumpspares</v>
          </cell>
          <cell r="I4891" t="str">
            <v>L003 Ankleshwar</v>
          </cell>
          <cell r="J4891" t="str">
            <v>99 Input/Byprodt/Scrap</v>
          </cell>
          <cell r="K4891" t="str">
            <v>10.2012</v>
          </cell>
          <cell r="L4891">
            <v>3</v>
          </cell>
          <cell r="M4891" t="str">
            <v>EA</v>
          </cell>
          <cell r="N4891">
            <v>1101.67</v>
          </cell>
          <cell r="O4891" t="str">
            <v>INR</v>
          </cell>
        </row>
        <row r="4892">
          <cell r="A4892" t="str">
            <v>L003 Ankleshwar</v>
          </cell>
          <cell r="B4892">
            <v>668187</v>
          </cell>
          <cell r="C4892" t="str">
            <v>BEARING HOUSING P.N 2100:PUMP-CCR 25-160</v>
          </cell>
          <cell r="D4892" t="str">
            <v>L0030151                       EnggStore</v>
          </cell>
          <cell r="E4892">
            <v>0</v>
          </cell>
          <cell r="F4892" t="str">
            <v>ND No planning</v>
          </cell>
          <cell r="G4892" t="str">
            <v>ERSA Spare parts</v>
          </cell>
          <cell r="H4892" t="str">
            <v>EN032     Pumpspares</v>
          </cell>
          <cell r="I4892" t="str">
            <v>L003 Ankleshwar</v>
          </cell>
          <cell r="J4892" t="str">
            <v>99 Input/Byprodt/Scrap</v>
          </cell>
          <cell r="K4892" t="str">
            <v>10.2012</v>
          </cell>
          <cell r="L4892">
            <v>1</v>
          </cell>
          <cell r="M4892" t="str">
            <v>EA</v>
          </cell>
          <cell r="N4892">
            <v>2845.3</v>
          </cell>
          <cell r="O4892" t="str">
            <v>INR</v>
          </cell>
        </row>
        <row r="4893">
          <cell r="A4893" t="str">
            <v>L003 Ankleshwar</v>
          </cell>
          <cell r="B4893">
            <v>668188</v>
          </cell>
          <cell r="C4893" t="str">
            <v>BEARING COVER P.N 2110:PUMP-CCR 25-160</v>
          </cell>
          <cell r="D4893" t="str">
            <v>L0030151                       EnggStore</v>
          </cell>
          <cell r="E4893" t="str">
            <v>E34 E34</v>
          </cell>
          <cell r="F4893" t="str">
            <v>VB Manual reorder point planning</v>
          </cell>
          <cell r="G4893" t="str">
            <v>ERSA Spare parts</v>
          </cell>
          <cell r="H4893" t="str">
            <v>EN032     Pumpspares</v>
          </cell>
          <cell r="I4893" t="str">
            <v>L003 Ankleshwar</v>
          </cell>
          <cell r="J4893" t="str">
            <v>99 Input/Byprodt/Scrap</v>
          </cell>
          <cell r="K4893" t="str">
            <v>10.2012</v>
          </cell>
          <cell r="L4893">
            <v>1</v>
          </cell>
          <cell r="M4893" t="str">
            <v>EA</v>
          </cell>
          <cell r="N4893">
            <v>272.25</v>
          </cell>
          <cell r="O4893" t="str">
            <v>INR</v>
          </cell>
        </row>
        <row r="4894">
          <cell r="A4894" t="str">
            <v>L003 Ankleshwar</v>
          </cell>
          <cell r="B4894">
            <v>668189</v>
          </cell>
          <cell r="C4894" t="str">
            <v>BEARING COVER P.N 2115:PUMP-CCR 25-160</v>
          </cell>
          <cell r="D4894" t="str">
            <v>L0030151                       EnggStore</v>
          </cell>
          <cell r="E4894">
            <v>0</v>
          </cell>
          <cell r="F4894" t="str">
            <v>ND No planning</v>
          </cell>
          <cell r="G4894" t="str">
            <v>ERSA Spare parts</v>
          </cell>
          <cell r="H4894" t="str">
            <v>EN032     Pumpspares</v>
          </cell>
          <cell r="I4894" t="str">
            <v>L003 Ankleshwar</v>
          </cell>
          <cell r="J4894" t="str">
            <v>99 Input/Byprodt/Scrap</v>
          </cell>
          <cell r="K4894" t="str">
            <v>10.2012</v>
          </cell>
          <cell r="L4894">
            <v>2</v>
          </cell>
          <cell r="M4894" t="str">
            <v>EA</v>
          </cell>
          <cell r="N4894">
            <v>590.14999999999895</v>
          </cell>
          <cell r="O4894" t="str">
            <v>INR</v>
          </cell>
        </row>
        <row r="4895">
          <cell r="A4895" t="str">
            <v>L003 Ankleshwar</v>
          </cell>
          <cell r="B4895">
            <v>668190</v>
          </cell>
          <cell r="C4895" t="str">
            <v>PUMP SHAFT P.N 2200:PUMP-CCR 25-160</v>
          </cell>
          <cell r="D4895" t="str">
            <v>L0030151                       EnggStore</v>
          </cell>
          <cell r="E4895" t="str">
            <v>E34 E34</v>
          </cell>
          <cell r="F4895" t="str">
            <v>VB Manual reorder point planning</v>
          </cell>
          <cell r="G4895" t="str">
            <v>ERSA Spare parts</v>
          </cell>
          <cell r="H4895" t="str">
            <v>EN032     Pumpspares</v>
          </cell>
          <cell r="I4895" t="str">
            <v>L003 Ankleshwar</v>
          </cell>
          <cell r="J4895" t="str">
            <v>99 Input/Byprodt/Scrap</v>
          </cell>
          <cell r="K4895" t="str">
            <v>10.2012</v>
          </cell>
          <cell r="L4895">
            <v>1</v>
          </cell>
          <cell r="M4895" t="str">
            <v>EA</v>
          </cell>
          <cell r="N4895">
            <v>2249.77</v>
          </cell>
          <cell r="O4895" t="str">
            <v>INR</v>
          </cell>
        </row>
        <row r="4896">
          <cell r="A4896" t="str">
            <v>L003 Ankleshwar</v>
          </cell>
          <cell r="B4896">
            <v>668201</v>
          </cell>
          <cell r="C4896" t="str">
            <v>CASING GASKET FOR CCR-25 X 160</v>
          </cell>
          <cell r="D4896" t="str">
            <v>L0030151                       EnggStore</v>
          </cell>
          <cell r="E4896">
            <v>0</v>
          </cell>
          <cell r="F4896" t="str">
            <v>ND No planning</v>
          </cell>
          <cell r="G4896" t="str">
            <v>ERSA Spare parts</v>
          </cell>
          <cell r="H4896" t="str">
            <v>EN032     Pumpspares</v>
          </cell>
          <cell r="I4896" t="str">
            <v>L003 Ankleshwar</v>
          </cell>
          <cell r="J4896" t="str">
            <v>99 Input/Byprodt/Scrap</v>
          </cell>
          <cell r="K4896" t="str">
            <v>10.2012</v>
          </cell>
          <cell r="L4896">
            <v>10</v>
          </cell>
          <cell r="M4896" t="str">
            <v>EA</v>
          </cell>
          <cell r="N4896">
            <v>1138.5</v>
          </cell>
          <cell r="O4896" t="str">
            <v>INR</v>
          </cell>
        </row>
        <row r="4897">
          <cell r="A4897" t="str">
            <v>L003 Ankleshwar</v>
          </cell>
          <cell r="B4897">
            <v>668239</v>
          </cell>
          <cell r="C4897" t="str">
            <v>HASTELLOY-C NUT BOLT 5/8" X 2-1/2"</v>
          </cell>
          <cell r="D4897" t="str">
            <v>L0030151                       EnggStore</v>
          </cell>
          <cell r="E4897">
            <v>0</v>
          </cell>
          <cell r="F4897" t="str">
            <v>ND No planning</v>
          </cell>
          <cell r="G4897" t="str">
            <v>ERSA Spare parts</v>
          </cell>
          <cell r="H4897" t="str">
            <v>EN022     Hardwareitems</v>
          </cell>
          <cell r="I4897" t="str">
            <v>L003 Ankleshwar</v>
          </cell>
          <cell r="J4897" t="str">
            <v>99 Input/Byprodt/Scrap</v>
          </cell>
          <cell r="K4897" t="str">
            <v>10.2012</v>
          </cell>
          <cell r="L4897">
            <v>12</v>
          </cell>
          <cell r="M4897" t="str">
            <v>EA</v>
          </cell>
          <cell r="N4897">
            <v>9792</v>
          </cell>
          <cell r="O4897" t="str">
            <v>INR</v>
          </cell>
        </row>
        <row r="4898">
          <cell r="A4898" t="str">
            <v>L003 Ankleshwar</v>
          </cell>
          <cell r="B4898">
            <v>668240</v>
          </cell>
          <cell r="C4898" t="str">
            <v>HASTELLOY-C NUT 5/8"</v>
          </cell>
          <cell r="D4898" t="str">
            <v>L0030151                       EnggStore</v>
          </cell>
          <cell r="E4898">
            <v>0</v>
          </cell>
          <cell r="F4898" t="str">
            <v>ND No planning</v>
          </cell>
          <cell r="G4898" t="str">
            <v>ERSA Spare parts</v>
          </cell>
          <cell r="H4898" t="str">
            <v>EN022     Hardwareitems</v>
          </cell>
          <cell r="I4898" t="str">
            <v>L003 Ankleshwar</v>
          </cell>
          <cell r="J4898" t="str">
            <v>99 Input/Byprodt/Scrap</v>
          </cell>
          <cell r="K4898" t="str">
            <v>10.2012</v>
          </cell>
          <cell r="L4898">
            <v>35</v>
          </cell>
          <cell r="M4898" t="str">
            <v>EA</v>
          </cell>
          <cell r="N4898">
            <v>6667.6199999999899</v>
          </cell>
          <cell r="O4898" t="str">
            <v>INR</v>
          </cell>
        </row>
        <row r="4899">
          <cell r="A4899" t="str">
            <v>L003 Ankleshwar</v>
          </cell>
          <cell r="B4899">
            <v>668243</v>
          </cell>
          <cell r="C4899" t="str">
            <v>MAGNEHELIC GAUGE: R: 0 TO 10MMWC</v>
          </cell>
          <cell r="D4899" t="str">
            <v>L0030151                       EnggStore</v>
          </cell>
          <cell r="E4899">
            <v>0</v>
          </cell>
          <cell r="F4899" t="str">
            <v>ND No planning</v>
          </cell>
          <cell r="G4899" t="str">
            <v>ERSA Spare parts</v>
          </cell>
          <cell r="H4899" t="str">
            <v>EN017     InstrumentSpares</v>
          </cell>
          <cell r="I4899" t="str">
            <v>L003 Ankleshwar</v>
          </cell>
          <cell r="J4899" t="str">
            <v>99 Input/Byprodt/Scrap</v>
          </cell>
          <cell r="K4899" t="str">
            <v>10.2012</v>
          </cell>
          <cell r="L4899">
            <v>1</v>
          </cell>
          <cell r="M4899" t="str">
            <v>EA</v>
          </cell>
          <cell r="N4899">
            <v>4365</v>
          </cell>
          <cell r="O4899" t="str">
            <v>INR</v>
          </cell>
        </row>
        <row r="4900">
          <cell r="A4900" t="str">
            <v>L003 Ankleshwar</v>
          </cell>
          <cell r="B4900">
            <v>668273</v>
          </cell>
          <cell r="C4900" t="str">
            <v>TAPPER ROLLER BEARING : 33122/Q</v>
          </cell>
          <cell r="D4900" t="str">
            <v>L0030151                       EnggStore</v>
          </cell>
          <cell r="E4900">
            <v>0</v>
          </cell>
          <cell r="F4900" t="str">
            <v>ND No planning</v>
          </cell>
          <cell r="G4900" t="str">
            <v>ERSA Spare parts</v>
          </cell>
          <cell r="H4900" t="str">
            <v>EN009     Bearings</v>
          </cell>
          <cell r="I4900" t="str">
            <v>L003 Ankleshwar</v>
          </cell>
          <cell r="J4900" t="str">
            <v>99 Input/Byprodt/Scrap</v>
          </cell>
          <cell r="K4900" t="str">
            <v>10.2012</v>
          </cell>
          <cell r="L4900">
            <v>2</v>
          </cell>
          <cell r="M4900" t="str">
            <v>EA</v>
          </cell>
          <cell r="N4900">
            <v>25794.080000000002</v>
          </cell>
          <cell r="O4900" t="str">
            <v>INR</v>
          </cell>
        </row>
        <row r="4901">
          <cell r="A4901" t="str">
            <v>L003 Ankleshwar</v>
          </cell>
          <cell r="B4901">
            <v>668373</v>
          </cell>
          <cell r="C4901" t="str">
            <v>FLUID PULLEY OIL SEAL SLEEVE</v>
          </cell>
          <cell r="D4901" t="str">
            <v>L0030151                       EnggStore</v>
          </cell>
          <cell r="E4901">
            <v>0</v>
          </cell>
          <cell r="F4901" t="str">
            <v>ND No planning</v>
          </cell>
          <cell r="G4901" t="str">
            <v>ERSA Spare parts</v>
          </cell>
          <cell r="H4901" t="str">
            <v>EN021     VbeltCoupling&amp;Pulley</v>
          </cell>
          <cell r="I4901" t="str">
            <v>L003 Ankleshwar</v>
          </cell>
          <cell r="J4901" t="str">
            <v>99 Input/Byprodt/Scrap</v>
          </cell>
          <cell r="K4901" t="str">
            <v>10.2012</v>
          </cell>
          <cell r="L4901">
            <v>3</v>
          </cell>
          <cell r="M4901" t="str">
            <v>EA</v>
          </cell>
          <cell r="N4901">
            <v>8346.0699999999906</v>
          </cell>
          <cell r="O4901" t="str">
            <v>INR</v>
          </cell>
        </row>
        <row r="4902">
          <cell r="A4902" t="str">
            <v>L003 Ankleshwar</v>
          </cell>
          <cell r="B4902">
            <v>668374</v>
          </cell>
          <cell r="C4902" t="str">
            <v>OIL SEAL : 75 X 110 X 10</v>
          </cell>
          <cell r="D4902" t="str">
            <v>L0030151                       EnggStore</v>
          </cell>
          <cell r="E4902">
            <v>0</v>
          </cell>
          <cell r="F4902" t="str">
            <v>ND No planning</v>
          </cell>
          <cell r="G4902" t="str">
            <v>ERSA Spare parts</v>
          </cell>
          <cell r="H4902" t="str">
            <v>EN020     RubberItems&amp;Oil Seal</v>
          </cell>
          <cell r="I4902" t="str">
            <v>L003 Ankleshwar</v>
          </cell>
          <cell r="J4902" t="str">
            <v>99 Input/Byprodt/Scrap</v>
          </cell>
          <cell r="K4902" t="str">
            <v>10.2012</v>
          </cell>
          <cell r="L4902">
            <v>2</v>
          </cell>
          <cell r="M4902" t="str">
            <v>EA</v>
          </cell>
          <cell r="N4902">
            <v>93.799999999999898</v>
          </cell>
          <cell r="O4902" t="str">
            <v>INR</v>
          </cell>
        </row>
        <row r="4903">
          <cell r="A4903" t="str">
            <v>L003 Ankleshwar</v>
          </cell>
          <cell r="B4903">
            <v>668376</v>
          </cell>
          <cell r="C4903" t="str">
            <v>FLUID PULLEY LOCK WASHER</v>
          </cell>
          <cell r="D4903" t="str">
            <v>L0030151                       EnggStore</v>
          </cell>
          <cell r="E4903">
            <v>0</v>
          </cell>
          <cell r="F4903" t="str">
            <v>ND No planning</v>
          </cell>
          <cell r="G4903" t="str">
            <v>ERSA Spare parts</v>
          </cell>
          <cell r="H4903" t="str">
            <v>EN021     VbeltCoupling&amp;Pulley</v>
          </cell>
          <cell r="I4903" t="str">
            <v>L003 Ankleshwar</v>
          </cell>
          <cell r="J4903" t="str">
            <v>99 Input/Byprodt/Scrap</v>
          </cell>
          <cell r="K4903" t="str">
            <v>10.2012</v>
          </cell>
          <cell r="L4903">
            <v>3</v>
          </cell>
          <cell r="M4903" t="str">
            <v>EA</v>
          </cell>
          <cell r="N4903">
            <v>1404</v>
          </cell>
          <cell r="O4903" t="str">
            <v>INR</v>
          </cell>
        </row>
        <row r="4904">
          <cell r="A4904" t="str">
            <v>L003 Ankleshwar</v>
          </cell>
          <cell r="B4904">
            <v>668377</v>
          </cell>
          <cell r="C4904" t="str">
            <v>FLUID PULLEY IMPELLER</v>
          </cell>
          <cell r="D4904" t="str">
            <v>L0030151                       EnggStore</v>
          </cell>
          <cell r="E4904">
            <v>0</v>
          </cell>
          <cell r="F4904" t="str">
            <v>ND No planning</v>
          </cell>
          <cell r="G4904" t="str">
            <v>ERSA Spare parts</v>
          </cell>
          <cell r="H4904" t="str">
            <v>EN021     VbeltCoupling&amp;Pulley</v>
          </cell>
          <cell r="I4904" t="str">
            <v>L003 Ankleshwar</v>
          </cell>
          <cell r="J4904" t="str">
            <v>99 Input/Byprodt/Scrap</v>
          </cell>
          <cell r="K4904" t="str">
            <v>10.2012</v>
          </cell>
          <cell r="L4904">
            <v>1</v>
          </cell>
          <cell r="M4904" t="str">
            <v>EA</v>
          </cell>
          <cell r="N4904">
            <v>11902.86</v>
          </cell>
          <cell r="O4904" t="str">
            <v>INR</v>
          </cell>
        </row>
        <row r="4905">
          <cell r="A4905" t="str">
            <v>L003 Ankleshwar</v>
          </cell>
          <cell r="B4905">
            <v>668382</v>
          </cell>
          <cell r="C4905" t="str">
            <v>FLUID PULLEY WITHDRAWAL NUT</v>
          </cell>
          <cell r="D4905" t="str">
            <v>L0030151                       EnggStore</v>
          </cell>
          <cell r="E4905">
            <v>0</v>
          </cell>
          <cell r="F4905" t="str">
            <v>ND No planning</v>
          </cell>
          <cell r="G4905" t="str">
            <v>ERSA Spare parts</v>
          </cell>
          <cell r="H4905" t="str">
            <v>EN021     VbeltCoupling&amp;Pulley</v>
          </cell>
          <cell r="I4905" t="str">
            <v>L003 Ankleshwar</v>
          </cell>
          <cell r="J4905" t="str">
            <v>99 Input/Byprodt/Scrap</v>
          </cell>
          <cell r="K4905" t="str">
            <v>10.2012</v>
          </cell>
          <cell r="L4905">
            <v>1</v>
          </cell>
          <cell r="M4905" t="str">
            <v>EA</v>
          </cell>
          <cell r="N4905">
            <v>452.42</v>
          </cell>
          <cell r="O4905" t="str">
            <v>INR</v>
          </cell>
        </row>
        <row r="4906">
          <cell r="A4906" t="str">
            <v>L003 Ankleshwar</v>
          </cell>
          <cell r="B4906">
            <v>668387</v>
          </cell>
          <cell r="C4906" t="str">
            <v>FLUID PULLEY 'O' RING</v>
          </cell>
          <cell r="D4906" t="str">
            <v>L0030151                       EnggStore</v>
          </cell>
          <cell r="E4906">
            <v>0</v>
          </cell>
          <cell r="F4906" t="str">
            <v>ND No planning</v>
          </cell>
          <cell r="G4906" t="str">
            <v>ERSA Spare parts</v>
          </cell>
          <cell r="H4906" t="str">
            <v>EN021     VbeltCoupling&amp;Pulley</v>
          </cell>
          <cell r="I4906" t="str">
            <v>L003 Ankleshwar</v>
          </cell>
          <cell r="J4906" t="str">
            <v>99 Input/Byprodt/Scrap</v>
          </cell>
          <cell r="K4906" t="str">
            <v>10.2012</v>
          </cell>
          <cell r="L4906">
            <v>1</v>
          </cell>
          <cell r="M4906" t="str">
            <v>EA</v>
          </cell>
          <cell r="N4906">
            <v>223.59</v>
          </cell>
          <cell r="O4906" t="str">
            <v>INR</v>
          </cell>
        </row>
        <row r="4907">
          <cell r="A4907" t="str">
            <v>L003 Ankleshwar</v>
          </cell>
          <cell r="B4907">
            <v>668389</v>
          </cell>
          <cell r="C4907" t="str">
            <v>FLUID PULLEY HEX. HEAD BOLT, WASHER</v>
          </cell>
          <cell r="D4907" t="str">
            <v>L0030151                       EnggStore</v>
          </cell>
          <cell r="E4907">
            <v>0</v>
          </cell>
          <cell r="F4907" t="str">
            <v>ND No planning</v>
          </cell>
          <cell r="G4907" t="str">
            <v>ERSA Spare parts</v>
          </cell>
          <cell r="H4907" t="str">
            <v>EN021     VbeltCoupling&amp;Pulley</v>
          </cell>
          <cell r="I4907" t="str">
            <v>L003 Ankleshwar</v>
          </cell>
          <cell r="J4907" t="str">
            <v>99 Input/Byprodt/Scrap</v>
          </cell>
          <cell r="K4907" t="str">
            <v>10.2012</v>
          </cell>
          <cell r="L4907">
            <v>12</v>
          </cell>
          <cell r="M4907" t="str">
            <v>EA</v>
          </cell>
          <cell r="N4907">
            <v>717.59</v>
          </cell>
          <cell r="O4907" t="str">
            <v>INR</v>
          </cell>
        </row>
        <row r="4908">
          <cell r="A4908" t="str">
            <v>L003 Ankleshwar</v>
          </cell>
          <cell r="B4908">
            <v>668392</v>
          </cell>
          <cell r="C4908" t="str">
            <v>HEX HEAD BOLT, SPRING WASHER, HEX NUT</v>
          </cell>
          <cell r="D4908" t="str">
            <v>L0030151                       EnggStore</v>
          </cell>
          <cell r="E4908">
            <v>0</v>
          </cell>
          <cell r="F4908" t="str">
            <v>ND No planning</v>
          </cell>
          <cell r="G4908" t="str">
            <v>ERSA Spare parts</v>
          </cell>
          <cell r="H4908" t="str">
            <v>EN021     VbeltCoupling&amp;Pulley</v>
          </cell>
          <cell r="I4908" t="str">
            <v>L003 Ankleshwar</v>
          </cell>
          <cell r="J4908" t="str">
            <v>99 Input/Byprodt/Scrap</v>
          </cell>
          <cell r="K4908" t="str">
            <v>10.2012</v>
          </cell>
          <cell r="L4908">
            <v>12</v>
          </cell>
          <cell r="M4908" t="str">
            <v>EA</v>
          </cell>
          <cell r="N4908">
            <v>395.25999999999902</v>
          </cell>
          <cell r="O4908" t="str">
            <v>INR</v>
          </cell>
        </row>
        <row r="4909">
          <cell r="A4909" t="str">
            <v>L003 Ankleshwar</v>
          </cell>
          <cell r="B4909">
            <v>668394</v>
          </cell>
          <cell r="C4909" t="str">
            <v>FLUID PULLEY OIL SEAL</v>
          </cell>
          <cell r="D4909" t="str">
            <v>L0030151                       EnggStore</v>
          </cell>
          <cell r="E4909">
            <v>0</v>
          </cell>
          <cell r="F4909" t="str">
            <v>ND No planning</v>
          </cell>
          <cell r="G4909" t="str">
            <v>ERSA Spare parts</v>
          </cell>
          <cell r="H4909" t="str">
            <v>EN021     VbeltCoupling&amp;Pulley</v>
          </cell>
          <cell r="I4909" t="str">
            <v>L003 Ankleshwar</v>
          </cell>
          <cell r="J4909" t="str">
            <v>99 Input/Byprodt/Scrap</v>
          </cell>
          <cell r="K4909" t="str">
            <v>10.2012</v>
          </cell>
          <cell r="L4909">
            <v>2</v>
          </cell>
          <cell r="M4909" t="str">
            <v>EA</v>
          </cell>
          <cell r="N4909">
            <v>1362.38</v>
          </cell>
          <cell r="O4909" t="str">
            <v>INR</v>
          </cell>
        </row>
        <row r="4910">
          <cell r="A4910" t="str">
            <v>L003 Ankleshwar</v>
          </cell>
          <cell r="B4910">
            <v>668396</v>
          </cell>
          <cell r="C4910" t="str">
            <v>GI WIRE BRAIDED HOSE PIPE 3/8"X1 M LONG</v>
          </cell>
          <cell r="D4910" t="str">
            <v>L0030151                       EnggStore</v>
          </cell>
          <cell r="E4910">
            <v>0</v>
          </cell>
          <cell r="F4910" t="str">
            <v>ND No planning</v>
          </cell>
          <cell r="G4910" t="str">
            <v>ERSA Spare parts</v>
          </cell>
          <cell r="H4910" t="str">
            <v>EN028     Pipes&amp;pipefittings</v>
          </cell>
          <cell r="I4910" t="str">
            <v>L003 Ankleshwar</v>
          </cell>
          <cell r="J4910" t="str">
            <v>99 Input/Byprodt/Scrap</v>
          </cell>
          <cell r="K4910" t="str">
            <v>10.2012</v>
          </cell>
          <cell r="L4910">
            <v>3</v>
          </cell>
          <cell r="M4910" t="str">
            <v>EA</v>
          </cell>
          <cell r="N4910">
            <v>167.4</v>
          </cell>
          <cell r="O4910" t="str">
            <v>INR</v>
          </cell>
        </row>
        <row r="4911">
          <cell r="A4911" t="str">
            <v>L003 Ankleshwar</v>
          </cell>
          <cell r="B4911">
            <v>668457</v>
          </cell>
          <cell r="C4911" t="str">
            <v>C.I.PULLEY 'C' SECTION 3 GROOVES SIZE 8"</v>
          </cell>
          <cell r="D4911" t="str">
            <v>L0030151                       EnggStore</v>
          </cell>
          <cell r="E4911">
            <v>0</v>
          </cell>
          <cell r="F4911" t="str">
            <v>ND No planning</v>
          </cell>
          <cell r="G4911" t="str">
            <v>ERSA Spare parts</v>
          </cell>
          <cell r="H4911" t="str">
            <v>EN021     VbeltCoupling&amp;Pulley</v>
          </cell>
          <cell r="I4911" t="str">
            <v>L003 Ankleshwar</v>
          </cell>
          <cell r="J4911" t="str">
            <v>99 Input/Byprodt/Scrap</v>
          </cell>
          <cell r="K4911" t="str">
            <v>10.2012</v>
          </cell>
          <cell r="L4911">
            <v>3</v>
          </cell>
          <cell r="M4911" t="str">
            <v>EA</v>
          </cell>
          <cell r="N4911">
            <v>3105</v>
          </cell>
          <cell r="O4911" t="str">
            <v>INR</v>
          </cell>
        </row>
        <row r="4912">
          <cell r="A4912" t="str">
            <v>L003 Ankleshwar</v>
          </cell>
          <cell r="B4912">
            <v>668471</v>
          </cell>
          <cell r="C4912" t="str">
            <v>SS SPRING-HI-FAB:SSDB-E1-SIZE-85MM</v>
          </cell>
          <cell r="D4912" t="str">
            <v>L0030151                       EnggStore</v>
          </cell>
          <cell r="E4912">
            <v>0</v>
          </cell>
          <cell r="F4912" t="str">
            <v>ND No planning</v>
          </cell>
          <cell r="G4912" t="str">
            <v>ERSA Spare parts</v>
          </cell>
          <cell r="H4912" t="str">
            <v>EN038     MechanicalSeals&amp;Spar</v>
          </cell>
          <cell r="I4912" t="str">
            <v>L003 Ankleshwar</v>
          </cell>
          <cell r="J4912" t="str">
            <v>99 Input/Byprodt/Scrap</v>
          </cell>
          <cell r="K4912" t="str">
            <v>10.2012</v>
          </cell>
          <cell r="L4912">
            <v>8</v>
          </cell>
          <cell r="M4912" t="str">
            <v>EA</v>
          </cell>
          <cell r="N4912">
            <v>1186.0899999999899</v>
          </cell>
          <cell r="O4912" t="str">
            <v>INR</v>
          </cell>
        </row>
        <row r="4913">
          <cell r="A4913" t="str">
            <v>L003 Ankleshwar</v>
          </cell>
          <cell r="B4913">
            <v>668474</v>
          </cell>
          <cell r="C4913" t="str">
            <v>VITON TUBE 10 X 7 MM</v>
          </cell>
          <cell r="D4913" t="str">
            <v>L0030151                       EnggStore</v>
          </cell>
          <cell r="E4913">
            <v>0</v>
          </cell>
          <cell r="F4913" t="str">
            <v>ND No planning</v>
          </cell>
          <cell r="G4913" t="str">
            <v>ERSA Spare parts</v>
          </cell>
          <cell r="H4913" t="str">
            <v>EN024     EnggConsumables</v>
          </cell>
          <cell r="I4913" t="str">
            <v>L003 Ankleshwar</v>
          </cell>
          <cell r="J4913" t="str">
            <v>99 Input/Byprodt/Scrap</v>
          </cell>
          <cell r="K4913" t="str">
            <v>10.2012</v>
          </cell>
          <cell r="L4913">
            <v>10</v>
          </cell>
          <cell r="M4913" t="str">
            <v>M</v>
          </cell>
          <cell r="N4913">
            <v>5400</v>
          </cell>
          <cell r="O4913" t="str">
            <v>INR</v>
          </cell>
        </row>
        <row r="4914">
          <cell r="A4914" t="str">
            <v>L003 Ankleshwar</v>
          </cell>
          <cell r="B4914">
            <v>668475</v>
          </cell>
          <cell r="C4914" t="str">
            <v>TV 'O' RING -HI-FAB:SSDB-E1-SIZE-85MM</v>
          </cell>
          <cell r="D4914" t="str">
            <v>L0030151                       EnggStore</v>
          </cell>
          <cell r="E4914">
            <v>0</v>
          </cell>
          <cell r="F4914" t="str">
            <v>ND No planning</v>
          </cell>
          <cell r="G4914" t="str">
            <v>ERSA Spare parts</v>
          </cell>
          <cell r="H4914" t="str">
            <v>EN038     MechanicalSeals&amp;Spar</v>
          </cell>
          <cell r="I4914" t="str">
            <v>L003 Ankleshwar</v>
          </cell>
          <cell r="J4914" t="str">
            <v>99 Input/Byprodt/Scrap</v>
          </cell>
          <cell r="K4914" t="str">
            <v>10.2012</v>
          </cell>
          <cell r="L4914">
            <v>1</v>
          </cell>
          <cell r="M4914" t="str">
            <v>EA</v>
          </cell>
          <cell r="N4914">
            <v>2175.0300000000002</v>
          </cell>
          <cell r="O4914" t="str">
            <v>INR</v>
          </cell>
        </row>
        <row r="4915">
          <cell r="A4915" t="str">
            <v>L003 Ankleshwar</v>
          </cell>
          <cell r="B4915">
            <v>668476</v>
          </cell>
          <cell r="C4915" t="str">
            <v>SS SNAP RING-HI-FAB:SSDB-E1-SIZE-85MM</v>
          </cell>
          <cell r="D4915" t="str">
            <v>L0030151                       EnggStore</v>
          </cell>
          <cell r="E4915">
            <v>0</v>
          </cell>
          <cell r="F4915" t="str">
            <v>ND No planning</v>
          </cell>
          <cell r="G4915" t="str">
            <v>ERSA Spare parts</v>
          </cell>
          <cell r="H4915" t="str">
            <v>EN038     MechanicalSeals&amp;Spar</v>
          </cell>
          <cell r="I4915" t="str">
            <v>L003 Ankleshwar</v>
          </cell>
          <cell r="J4915" t="str">
            <v>99 Input/Byprodt/Scrap</v>
          </cell>
          <cell r="K4915" t="str">
            <v>10.2012</v>
          </cell>
          <cell r="L4915">
            <v>1</v>
          </cell>
          <cell r="M4915" t="str">
            <v>EA</v>
          </cell>
          <cell r="N4915">
            <v>889.84</v>
          </cell>
          <cell r="O4915" t="str">
            <v>INR</v>
          </cell>
        </row>
        <row r="4916">
          <cell r="A4916" t="str">
            <v>L003 Ankleshwar</v>
          </cell>
          <cell r="B4916">
            <v>668479</v>
          </cell>
          <cell r="C4916" t="str">
            <v>PTFE 'O' RING-HI-FAB:SSDB-E1-SIZE-85MM</v>
          </cell>
          <cell r="D4916" t="str">
            <v>L0030151                       EnggStore</v>
          </cell>
          <cell r="E4916">
            <v>0</v>
          </cell>
          <cell r="F4916" t="str">
            <v>ND No planning</v>
          </cell>
          <cell r="G4916" t="str">
            <v>ERSA Spare parts</v>
          </cell>
          <cell r="H4916" t="str">
            <v>EN038     MechanicalSeals&amp;Spar</v>
          </cell>
          <cell r="I4916" t="str">
            <v>L003 Ankleshwar</v>
          </cell>
          <cell r="J4916" t="str">
            <v>99 Input/Byprodt/Scrap</v>
          </cell>
          <cell r="K4916" t="str">
            <v>10.2012</v>
          </cell>
          <cell r="L4916">
            <v>3</v>
          </cell>
          <cell r="M4916" t="str">
            <v>EA</v>
          </cell>
          <cell r="N4916">
            <v>4299.96</v>
          </cell>
          <cell r="O4916" t="str">
            <v>INR</v>
          </cell>
        </row>
        <row r="4917">
          <cell r="A4917" t="str">
            <v>L003 Ankleshwar</v>
          </cell>
          <cell r="B4917">
            <v>668480</v>
          </cell>
          <cell r="C4917" t="str">
            <v>VITON 'O' RING-HI-FAB:SSDB-E1-SIZE-85MM</v>
          </cell>
          <cell r="D4917" t="str">
            <v>L0030151                       EnggStore</v>
          </cell>
          <cell r="E4917">
            <v>0</v>
          </cell>
          <cell r="F4917" t="str">
            <v>ND No planning</v>
          </cell>
          <cell r="G4917" t="str">
            <v>ERSA Spare parts</v>
          </cell>
          <cell r="H4917" t="str">
            <v>EN038     MechanicalSeals&amp;Spar</v>
          </cell>
          <cell r="I4917" t="str">
            <v>L003 Ankleshwar</v>
          </cell>
          <cell r="J4917" t="str">
            <v>99 Input/Byprodt/Scrap</v>
          </cell>
          <cell r="K4917" t="str">
            <v>10.2012</v>
          </cell>
          <cell r="L4917">
            <v>1</v>
          </cell>
          <cell r="M4917" t="str">
            <v>EA</v>
          </cell>
          <cell r="N4917">
            <v>1186.0799999999899</v>
          </cell>
          <cell r="O4917" t="str">
            <v>INR</v>
          </cell>
        </row>
        <row r="4918">
          <cell r="A4918" t="str">
            <v>L003 Ankleshwar</v>
          </cell>
          <cell r="B4918">
            <v>668495</v>
          </cell>
          <cell r="C4918" t="str">
            <v>SPRING-HI-FAB:HEB-E1-XBBC-MF-SIZE-80MM</v>
          </cell>
          <cell r="D4918" t="str">
            <v>L0030151                       EnggStore</v>
          </cell>
          <cell r="E4918" t="str">
            <v>E34 E34</v>
          </cell>
          <cell r="F4918" t="str">
            <v>VB Manual reorder point planning</v>
          </cell>
          <cell r="G4918" t="str">
            <v>ERSA Spare parts</v>
          </cell>
          <cell r="H4918" t="str">
            <v>EN038     MechanicalSeals&amp;Spar</v>
          </cell>
          <cell r="I4918" t="str">
            <v>L003 Ankleshwar</v>
          </cell>
          <cell r="J4918" t="str">
            <v>99 Input/Byprodt/Scrap</v>
          </cell>
          <cell r="K4918" t="str">
            <v>10.2012</v>
          </cell>
          <cell r="L4918">
            <v>8</v>
          </cell>
          <cell r="M4918" t="str">
            <v>SET</v>
          </cell>
          <cell r="N4918">
            <v>7800.26</v>
          </cell>
          <cell r="O4918" t="str">
            <v>INR</v>
          </cell>
        </row>
        <row r="4919">
          <cell r="A4919" t="str">
            <v>L003 Ankleshwar</v>
          </cell>
          <cell r="B4919">
            <v>668496</v>
          </cell>
          <cell r="C4919" t="str">
            <v>O'RING-HI-FAB:HEB-E1-XBBC-MF-SIZE-80MM</v>
          </cell>
          <cell r="D4919" t="str">
            <v>L0030151                       EnggStore</v>
          </cell>
          <cell r="E4919" t="str">
            <v>E34 E34</v>
          </cell>
          <cell r="F4919" t="str">
            <v>VB Manual reorder point planning</v>
          </cell>
          <cell r="G4919" t="str">
            <v>ERSA Spare parts</v>
          </cell>
          <cell r="H4919" t="str">
            <v>EN038     MechanicalSeals&amp;Spar</v>
          </cell>
          <cell r="I4919" t="str">
            <v>L003 Ankleshwar</v>
          </cell>
          <cell r="J4919" t="str">
            <v>99 Input/Byprodt/Scrap</v>
          </cell>
          <cell r="K4919" t="str">
            <v>10.2012</v>
          </cell>
          <cell r="L4919">
            <v>2</v>
          </cell>
          <cell r="M4919" t="str">
            <v>EA</v>
          </cell>
          <cell r="N4919">
            <v>4569.42</v>
          </cell>
          <cell r="O4919" t="str">
            <v>INR</v>
          </cell>
        </row>
        <row r="4920">
          <cell r="A4920" t="str">
            <v>L003 Ankleshwar</v>
          </cell>
          <cell r="B4920">
            <v>668497</v>
          </cell>
          <cell r="C4920" t="str">
            <v>SNAP RING-HIFAB:HEB-E1-XBBC-MF-SIZE-80MM</v>
          </cell>
          <cell r="D4920" t="str">
            <v>L0030151                       EnggStore</v>
          </cell>
          <cell r="E4920" t="str">
            <v>E34 E34</v>
          </cell>
          <cell r="F4920" t="str">
            <v>VB Manual reorder point planning</v>
          </cell>
          <cell r="G4920" t="str">
            <v>ERSA Spare parts</v>
          </cell>
          <cell r="H4920" t="str">
            <v>EN038     MechanicalSeals&amp;Spar</v>
          </cell>
          <cell r="I4920" t="str">
            <v>L003 Ankleshwar</v>
          </cell>
          <cell r="J4920" t="str">
            <v>99 Input/Byprodt/Scrap</v>
          </cell>
          <cell r="K4920" t="str">
            <v>10.2012</v>
          </cell>
          <cell r="L4920">
            <v>2</v>
          </cell>
          <cell r="M4920" t="str">
            <v>EA</v>
          </cell>
          <cell r="N4920">
            <v>2213.46</v>
          </cell>
          <cell r="O4920" t="str">
            <v>INR</v>
          </cell>
        </row>
        <row r="4921">
          <cell r="A4921" t="str">
            <v>L003 Ankleshwar</v>
          </cell>
          <cell r="B4921">
            <v>668498</v>
          </cell>
          <cell r="C4921" t="str">
            <v>CAP SCREW-HI-FAB:HEB-E1-XBBC-MF-SIZE80MM</v>
          </cell>
          <cell r="D4921" t="str">
            <v>L0030151                       EnggStore</v>
          </cell>
          <cell r="E4921" t="str">
            <v>E34 E34</v>
          </cell>
          <cell r="F4921" t="str">
            <v>VB Manual reorder point planning</v>
          </cell>
          <cell r="G4921" t="str">
            <v>ERSA Spare parts</v>
          </cell>
          <cell r="H4921" t="str">
            <v>EN038     MechanicalSeals&amp;Spar</v>
          </cell>
          <cell r="I4921" t="str">
            <v>L003 Ankleshwar</v>
          </cell>
          <cell r="J4921" t="str">
            <v>99 Input/Byprodt/Scrap</v>
          </cell>
          <cell r="K4921" t="str">
            <v>10.2012</v>
          </cell>
          <cell r="L4921">
            <v>4</v>
          </cell>
          <cell r="M4921" t="str">
            <v>SET</v>
          </cell>
          <cell r="N4921">
            <v>1912.42</v>
          </cell>
          <cell r="O4921" t="str">
            <v>INR</v>
          </cell>
        </row>
        <row r="4922">
          <cell r="A4922" t="str">
            <v>L003 Ankleshwar</v>
          </cell>
          <cell r="B4922">
            <v>668499</v>
          </cell>
          <cell r="C4922" t="str">
            <v>TH.WASHER-HIFAB:HEB-E1-XBBC-MF-SIZE-80MM</v>
          </cell>
          <cell r="D4922" t="str">
            <v>L0030151                       EnggStore</v>
          </cell>
          <cell r="E4922" t="str">
            <v>E34 E34</v>
          </cell>
          <cell r="F4922" t="str">
            <v>VB Manual reorder point planning</v>
          </cell>
          <cell r="G4922" t="str">
            <v>ERSA Spare parts</v>
          </cell>
          <cell r="H4922" t="str">
            <v>EN038     MechanicalSeals&amp;Spar</v>
          </cell>
          <cell r="I4922" t="str">
            <v>L003 Ankleshwar</v>
          </cell>
          <cell r="J4922" t="str">
            <v>99 Input/Byprodt/Scrap</v>
          </cell>
          <cell r="K4922" t="str">
            <v>10.2012</v>
          </cell>
          <cell r="L4922">
            <v>2</v>
          </cell>
          <cell r="M4922" t="str">
            <v>EA</v>
          </cell>
          <cell r="N4922">
            <v>4057.98</v>
          </cell>
          <cell r="O4922" t="str">
            <v>INR</v>
          </cell>
        </row>
        <row r="4923">
          <cell r="A4923" t="str">
            <v>L003 Ankleshwar</v>
          </cell>
          <cell r="B4923">
            <v>668501</v>
          </cell>
          <cell r="C4923" t="str">
            <v>CARBON RING-HIFAB:HEB-E1-XBBC-MFSIZE80MM</v>
          </cell>
          <cell r="D4923" t="str">
            <v>L0030151                       EnggStore</v>
          </cell>
          <cell r="E4923" t="str">
            <v>E34 E34</v>
          </cell>
          <cell r="F4923" t="str">
            <v>VB Manual reorder point planning</v>
          </cell>
          <cell r="G4923" t="str">
            <v>ERSA Spare parts</v>
          </cell>
          <cell r="H4923" t="str">
            <v>EN038     MechanicalSeals&amp;Spar</v>
          </cell>
          <cell r="I4923" t="str">
            <v>L003 Ankleshwar</v>
          </cell>
          <cell r="J4923" t="str">
            <v>99 Input/Byprodt/Scrap</v>
          </cell>
          <cell r="K4923" t="str">
            <v>10.2012</v>
          </cell>
          <cell r="L4923">
            <v>1</v>
          </cell>
          <cell r="M4923" t="str">
            <v>EA</v>
          </cell>
          <cell r="N4923">
            <v>10480.34</v>
          </cell>
          <cell r="O4923" t="str">
            <v>INR</v>
          </cell>
        </row>
        <row r="4924">
          <cell r="A4924" t="str">
            <v>L003 Ankleshwar</v>
          </cell>
          <cell r="B4924">
            <v>668502</v>
          </cell>
          <cell r="C4924" t="str">
            <v>SIC.ST.SEAT-HIFABHEB-E1-XBBC-MFSIZE-80MM</v>
          </cell>
          <cell r="D4924" t="str">
            <v>L0030151                       EnggStore</v>
          </cell>
          <cell r="E4924" t="str">
            <v>E34 E34</v>
          </cell>
          <cell r="F4924" t="str">
            <v>VB Manual reorder point planning</v>
          </cell>
          <cell r="G4924" t="str">
            <v>ERSA Spare parts</v>
          </cell>
          <cell r="H4924" t="str">
            <v>EN038     MechanicalSeals&amp;Spar</v>
          </cell>
          <cell r="I4924" t="str">
            <v>L003 Ankleshwar</v>
          </cell>
          <cell r="J4924" t="str">
            <v>99 Input/Byprodt/Scrap</v>
          </cell>
          <cell r="K4924" t="str">
            <v>10.2012</v>
          </cell>
          <cell r="L4924">
            <v>1</v>
          </cell>
          <cell r="M4924" t="str">
            <v>EA</v>
          </cell>
          <cell r="N4924">
            <v>18445.400000000001</v>
          </cell>
          <cell r="O4924" t="str">
            <v>INR</v>
          </cell>
        </row>
        <row r="4925">
          <cell r="A4925" t="str">
            <v>L003 Ankleshwar</v>
          </cell>
          <cell r="B4925">
            <v>668503</v>
          </cell>
          <cell r="C4925" t="str">
            <v>PTFE GASKET,HIFAB:HEB-E1-XBBC-MFSIZE80MM</v>
          </cell>
          <cell r="D4925" t="str">
            <v>L0030151                       EnggStore</v>
          </cell>
          <cell r="E4925" t="str">
            <v>E34 E34</v>
          </cell>
          <cell r="F4925" t="str">
            <v>VB Manual reorder point planning</v>
          </cell>
          <cell r="G4925" t="str">
            <v>ERSA Spare parts</v>
          </cell>
          <cell r="H4925" t="str">
            <v>EN038     MechanicalSeals&amp;Spar</v>
          </cell>
          <cell r="I4925" t="str">
            <v>L003 Ankleshwar</v>
          </cell>
          <cell r="J4925" t="str">
            <v>99 Input/Byprodt/Scrap</v>
          </cell>
          <cell r="K4925" t="str">
            <v>10.2012</v>
          </cell>
          <cell r="L4925">
            <v>2</v>
          </cell>
          <cell r="M4925" t="str">
            <v>EA</v>
          </cell>
          <cell r="N4925">
            <v>2599.1599999999899</v>
          </cell>
          <cell r="O4925" t="str">
            <v>INR</v>
          </cell>
        </row>
        <row r="4926">
          <cell r="A4926" t="str">
            <v>L003 Ankleshwar</v>
          </cell>
          <cell r="B4926">
            <v>668504</v>
          </cell>
          <cell r="C4926" t="str">
            <v>GRUB SCREW-HI-FAB:HEB-E1-XBBC-MFSIZE80MM</v>
          </cell>
          <cell r="D4926" t="str">
            <v>L0030151                       EnggStore</v>
          </cell>
          <cell r="E4926" t="str">
            <v>E34 E34</v>
          </cell>
          <cell r="F4926" t="str">
            <v>VB Manual reorder point planning</v>
          </cell>
          <cell r="G4926" t="str">
            <v>ERSA Spare parts</v>
          </cell>
          <cell r="H4926" t="str">
            <v>EN038     MechanicalSeals&amp;Spar</v>
          </cell>
          <cell r="I4926" t="str">
            <v>L003 Ankleshwar</v>
          </cell>
          <cell r="J4926" t="str">
            <v>99 Input/Byprodt/Scrap</v>
          </cell>
          <cell r="K4926" t="str">
            <v>10.2012</v>
          </cell>
          <cell r="L4926">
            <v>8</v>
          </cell>
          <cell r="M4926" t="str">
            <v>SET</v>
          </cell>
          <cell r="N4926">
            <v>4993.3299999999899</v>
          </cell>
          <cell r="O4926" t="str">
            <v>INR</v>
          </cell>
        </row>
        <row r="4927">
          <cell r="A4927" t="str">
            <v>L003 Ankleshwar</v>
          </cell>
          <cell r="B4927">
            <v>668505</v>
          </cell>
          <cell r="C4927" t="str">
            <v>CIRCLIP-HI-FAB:HEB-E1-XBBC-MF-SIZE-80MM</v>
          </cell>
          <cell r="D4927" t="str">
            <v>L0030151                       EnggStore</v>
          </cell>
          <cell r="E4927" t="str">
            <v>E34 E34</v>
          </cell>
          <cell r="F4927" t="str">
            <v>VB Manual reorder point planning</v>
          </cell>
          <cell r="G4927" t="str">
            <v>ERSA Spare parts</v>
          </cell>
          <cell r="H4927" t="str">
            <v>EN038     MechanicalSeals&amp;Spar</v>
          </cell>
          <cell r="I4927" t="str">
            <v>L003 Ankleshwar</v>
          </cell>
          <cell r="J4927" t="str">
            <v>99 Input/Byprodt/Scrap</v>
          </cell>
          <cell r="K4927" t="str">
            <v>10.2012</v>
          </cell>
          <cell r="L4927">
            <v>1</v>
          </cell>
          <cell r="M4927" t="str">
            <v>EA</v>
          </cell>
          <cell r="N4927">
            <v>511.44</v>
          </cell>
          <cell r="O4927" t="str">
            <v>INR</v>
          </cell>
        </row>
        <row r="4928">
          <cell r="A4928" t="str">
            <v>L003 Ankleshwar</v>
          </cell>
          <cell r="B4928">
            <v>668506</v>
          </cell>
          <cell r="C4928" t="str">
            <v>GASKET-HI-FAB:HEB-E1-XBBC-MF-SIZE-80MM</v>
          </cell>
          <cell r="D4928" t="str">
            <v>L0030151                       EnggStore</v>
          </cell>
          <cell r="E4928" t="str">
            <v>E34 E34</v>
          </cell>
          <cell r="F4928" t="str">
            <v>VB Manual reorder point planning</v>
          </cell>
          <cell r="G4928" t="str">
            <v>ERSA Spare parts</v>
          </cell>
          <cell r="H4928" t="str">
            <v>EN038     MechanicalSeals&amp;Spar</v>
          </cell>
          <cell r="I4928" t="str">
            <v>L003 Ankleshwar</v>
          </cell>
          <cell r="J4928" t="str">
            <v>99 Input/Byprodt/Scrap</v>
          </cell>
          <cell r="K4928" t="str">
            <v>10.2012</v>
          </cell>
          <cell r="L4928">
            <v>1</v>
          </cell>
          <cell r="M4928" t="str">
            <v>EA</v>
          </cell>
          <cell r="N4928">
            <v>3772.92</v>
          </cell>
          <cell r="O4928" t="str">
            <v>INR</v>
          </cell>
        </row>
        <row r="4929">
          <cell r="A4929" t="str">
            <v>L003 Ankleshwar</v>
          </cell>
          <cell r="B4929">
            <v>668508</v>
          </cell>
          <cell r="C4929" t="str">
            <v>SS 316 FLAT - SIZE : 125 X 8 MM THICK</v>
          </cell>
          <cell r="D4929" t="str">
            <v>L0030151                       EnggStore</v>
          </cell>
          <cell r="E4929">
            <v>0</v>
          </cell>
          <cell r="F4929" t="str">
            <v>ND No planning</v>
          </cell>
          <cell r="G4929" t="str">
            <v>ERSA Spare parts</v>
          </cell>
          <cell r="H4929" t="str">
            <v>EN019     Civil/Buliding Mater</v>
          </cell>
          <cell r="I4929" t="str">
            <v>L003 Ankleshwar</v>
          </cell>
          <cell r="J4929" t="str">
            <v>99 Input/Byprodt/Scrap</v>
          </cell>
          <cell r="K4929" t="str">
            <v>10.2012</v>
          </cell>
          <cell r="L4929">
            <v>28.8</v>
          </cell>
          <cell r="M4929" t="str">
            <v>KG</v>
          </cell>
          <cell r="N4929">
            <v>7639.8</v>
          </cell>
          <cell r="O4929" t="str">
            <v>INR</v>
          </cell>
        </row>
        <row r="4930">
          <cell r="A4930" t="str">
            <v>L003 Ankleshwar</v>
          </cell>
          <cell r="B4930">
            <v>668513</v>
          </cell>
          <cell r="C4930" t="str">
            <v>VITON 'O' RING-HIFAB:HEB-E1-XBBC-MF-80MM</v>
          </cell>
          <cell r="D4930" t="str">
            <v>L0030151                       EnggStore</v>
          </cell>
          <cell r="E4930" t="str">
            <v>E34 E34</v>
          </cell>
          <cell r="F4930" t="str">
            <v>VB Manual reorder point planning</v>
          </cell>
          <cell r="G4930" t="str">
            <v>ERSA Spare parts</v>
          </cell>
          <cell r="H4930" t="str">
            <v>EN038     MechanicalSeals&amp;Spar</v>
          </cell>
          <cell r="I4930" t="str">
            <v>L003 Ankleshwar</v>
          </cell>
          <cell r="J4930" t="str">
            <v>99 Input/Byprodt/Scrap</v>
          </cell>
          <cell r="K4930" t="str">
            <v>10.2012</v>
          </cell>
          <cell r="L4930">
            <v>4</v>
          </cell>
          <cell r="M4930" t="str">
            <v>EA</v>
          </cell>
          <cell r="N4930">
            <v>4432.8599999999897</v>
          </cell>
          <cell r="O4930" t="str">
            <v>INR</v>
          </cell>
        </row>
        <row r="4931">
          <cell r="A4931" t="str">
            <v>L003 Ankleshwar</v>
          </cell>
          <cell r="B4931">
            <v>668621</v>
          </cell>
          <cell r="C4931" t="str">
            <v>THEMOCOUPLE,K TYPE,500MM,FLP,DUPLEX</v>
          </cell>
          <cell r="D4931" t="str">
            <v>L0030151                       EnggStore</v>
          </cell>
          <cell r="E4931">
            <v>0</v>
          </cell>
          <cell r="F4931" t="str">
            <v>ND No planning</v>
          </cell>
          <cell r="G4931" t="str">
            <v>ERSA Spare parts</v>
          </cell>
          <cell r="H4931" t="str">
            <v>EN017     InstrumentSpares</v>
          </cell>
          <cell r="I4931" t="str">
            <v>L003 Ankleshwar</v>
          </cell>
          <cell r="J4931" t="str">
            <v>99 Input/Byprodt/Scrap</v>
          </cell>
          <cell r="K4931" t="str">
            <v>10.2012</v>
          </cell>
          <cell r="L4931">
            <v>1</v>
          </cell>
          <cell r="M4931" t="str">
            <v>EA</v>
          </cell>
          <cell r="N4931">
            <v>850.25</v>
          </cell>
          <cell r="O4931" t="str">
            <v>INR</v>
          </cell>
        </row>
        <row r="4932">
          <cell r="A4932" t="str">
            <v>L003 Ankleshwar</v>
          </cell>
          <cell r="B4932">
            <v>668643</v>
          </cell>
          <cell r="C4932" t="str">
            <v>0.5MMSS316 PLATEFORGW-83TRENTERMAKEPHE</v>
          </cell>
          <cell r="D4932" t="str">
            <v>L0030151                       EnggStore</v>
          </cell>
          <cell r="E4932">
            <v>0</v>
          </cell>
          <cell r="F4932" t="str">
            <v>ND No planning</v>
          </cell>
          <cell r="G4932" t="str">
            <v>ERSA Spare parts</v>
          </cell>
          <cell r="H4932" t="str">
            <v>EN039     PlantEquipmentSpares</v>
          </cell>
          <cell r="I4932" t="str">
            <v>L003 Ankleshwar</v>
          </cell>
          <cell r="J4932" t="str">
            <v>99 Input/Byprodt/Scrap</v>
          </cell>
          <cell r="K4932" t="str">
            <v>10.2012</v>
          </cell>
          <cell r="L4932">
            <v>1</v>
          </cell>
          <cell r="M4932" t="str">
            <v>EA</v>
          </cell>
          <cell r="N4932">
            <v>2897.5</v>
          </cell>
          <cell r="O4932" t="str">
            <v>INR</v>
          </cell>
        </row>
        <row r="4933">
          <cell r="A4933" t="str">
            <v>L003 Ankleshwar</v>
          </cell>
          <cell r="B4933">
            <v>668697</v>
          </cell>
          <cell r="C4933" t="str">
            <v>SSINJECTIONCHECKVALVE PARTN-906232S,M-09</v>
          </cell>
          <cell r="D4933" t="str">
            <v>L0030151                       EnggStore</v>
          </cell>
          <cell r="E4933">
            <v>0</v>
          </cell>
          <cell r="F4933" t="str">
            <v>ND No planning</v>
          </cell>
          <cell r="G4933" t="str">
            <v>ERSA Spare parts</v>
          </cell>
          <cell r="H4933" t="str">
            <v>EN039     PlantEquipmentSpares</v>
          </cell>
          <cell r="I4933" t="str">
            <v>L003 Ankleshwar</v>
          </cell>
          <cell r="J4933" t="str">
            <v>99 Input/Byprodt/Scrap</v>
          </cell>
          <cell r="K4933" t="str">
            <v>10.2012</v>
          </cell>
          <cell r="L4933">
            <v>4</v>
          </cell>
          <cell r="M4933" t="str">
            <v>EA</v>
          </cell>
          <cell r="N4933">
            <v>7210</v>
          </cell>
          <cell r="O4933" t="str">
            <v>INR</v>
          </cell>
        </row>
        <row r="4934">
          <cell r="A4934" t="str">
            <v>L003 Ankleshwar</v>
          </cell>
          <cell r="B4934">
            <v>668698</v>
          </cell>
          <cell r="C4934" t="str">
            <v>DIAPHRAGM PARTNO-30917 ,MODEL M-09</v>
          </cell>
          <cell r="D4934" t="str">
            <v>L0030151                       EnggStore</v>
          </cell>
          <cell r="E4934">
            <v>0</v>
          </cell>
          <cell r="F4934" t="str">
            <v>ND No planning</v>
          </cell>
          <cell r="G4934" t="str">
            <v>ERSA Spare parts</v>
          </cell>
          <cell r="H4934" t="str">
            <v>EN039     PlantEquipmentSpares</v>
          </cell>
          <cell r="I4934" t="str">
            <v>L003 Ankleshwar</v>
          </cell>
          <cell r="J4934" t="str">
            <v>99 Input/Byprodt/Scrap</v>
          </cell>
          <cell r="K4934" t="str">
            <v>10.2012</v>
          </cell>
          <cell r="L4934">
            <v>2</v>
          </cell>
          <cell r="M4934" t="str">
            <v>EA</v>
          </cell>
          <cell r="N4934">
            <v>4738</v>
          </cell>
          <cell r="O4934" t="str">
            <v>INR</v>
          </cell>
        </row>
        <row r="4935">
          <cell r="A4935" t="str">
            <v>L003 Ankleshwar</v>
          </cell>
          <cell r="B4935">
            <v>668731</v>
          </cell>
          <cell r="C4935" t="str">
            <v>MS PTFE LINING PIPE PIECE - 3"X3000 MM</v>
          </cell>
          <cell r="D4935" t="str">
            <v>L0030151                       EnggStore</v>
          </cell>
          <cell r="E4935">
            <v>0</v>
          </cell>
          <cell r="F4935" t="str">
            <v>ND No planning</v>
          </cell>
          <cell r="G4935" t="str">
            <v>ERSA Spare parts</v>
          </cell>
          <cell r="H4935" t="str">
            <v>EN028     Pipes&amp;pipefittings</v>
          </cell>
          <cell r="I4935" t="str">
            <v>L003 Ankleshwar</v>
          </cell>
          <cell r="J4935" t="str">
            <v>99 Input/Byprodt/Scrap</v>
          </cell>
          <cell r="K4935" t="str">
            <v>10.2012</v>
          </cell>
          <cell r="L4935">
            <v>8</v>
          </cell>
          <cell r="M4935" t="str">
            <v>EA</v>
          </cell>
          <cell r="N4935">
            <v>78979.679999999906</v>
          </cell>
          <cell r="O4935" t="str">
            <v>INR</v>
          </cell>
        </row>
        <row r="4936">
          <cell r="A4936" t="str">
            <v>L003 Ankleshwar</v>
          </cell>
          <cell r="B4936">
            <v>668742</v>
          </cell>
          <cell r="C4936" t="str">
            <v>CLAMP, U-TYPE, GI, SIZE - 3" PIPE</v>
          </cell>
          <cell r="D4936" t="str">
            <v>L0030151                       EnggStore</v>
          </cell>
          <cell r="E4936">
            <v>0</v>
          </cell>
          <cell r="F4936" t="str">
            <v>ND No planning</v>
          </cell>
          <cell r="G4936" t="str">
            <v>ERSA Spare parts</v>
          </cell>
          <cell r="H4936" t="str">
            <v>EN028     Pipes&amp;pipefittings</v>
          </cell>
          <cell r="I4936" t="str">
            <v>L003 Ankleshwar</v>
          </cell>
          <cell r="J4936" t="str">
            <v>99 Input/Byprodt/Scrap</v>
          </cell>
          <cell r="K4936" t="str">
            <v>10.2012</v>
          </cell>
          <cell r="L4936">
            <v>25</v>
          </cell>
          <cell r="M4936" t="str">
            <v>EA</v>
          </cell>
          <cell r="N4936">
            <v>235</v>
          </cell>
          <cell r="O4936" t="str">
            <v>INR</v>
          </cell>
        </row>
        <row r="4937">
          <cell r="A4937" t="str">
            <v>L003 Ankleshwar</v>
          </cell>
          <cell r="B4937">
            <v>668745</v>
          </cell>
          <cell r="C4937" t="str">
            <v>3/4 SS PLUG</v>
          </cell>
          <cell r="D4937" t="str">
            <v>L0030151                       EnggStore</v>
          </cell>
          <cell r="E4937">
            <v>0</v>
          </cell>
          <cell r="F4937" t="str">
            <v>ND No planning</v>
          </cell>
          <cell r="G4937" t="str">
            <v>ERSA Spare parts</v>
          </cell>
          <cell r="H4937" t="str">
            <v>EN024     EnggConsumables</v>
          </cell>
          <cell r="I4937" t="str">
            <v>L003 Ankleshwar</v>
          </cell>
          <cell r="J4937" t="str">
            <v>99 Input/Byprodt/Scrap</v>
          </cell>
          <cell r="K4937" t="str">
            <v>10.2012</v>
          </cell>
          <cell r="L4937">
            <v>2</v>
          </cell>
          <cell r="M4937" t="str">
            <v>EA</v>
          </cell>
          <cell r="N4937">
            <v>232</v>
          </cell>
          <cell r="O4937" t="str">
            <v>INR</v>
          </cell>
        </row>
        <row r="4938">
          <cell r="A4938" t="str">
            <v>L003 Ankleshwar</v>
          </cell>
          <cell r="B4938">
            <v>668774</v>
          </cell>
          <cell r="C4938" t="str">
            <v>4"TEFLON BELLOW WITH CI FLANGE</v>
          </cell>
          <cell r="D4938" t="str">
            <v>L0030151                       EnggStore</v>
          </cell>
          <cell r="E4938">
            <v>0</v>
          </cell>
          <cell r="F4938" t="str">
            <v>ND No planning</v>
          </cell>
          <cell r="G4938" t="str">
            <v>ERSA Spare parts</v>
          </cell>
          <cell r="H4938" t="str">
            <v>EN028     Pipes&amp;pipefittings</v>
          </cell>
          <cell r="I4938" t="str">
            <v>L003 Ankleshwar</v>
          </cell>
          <cell r="J4938" t="str">
            <v>99 Input/Byprodt/Scrap</v>
          </cell>
          <cell r="K4938" t="str">
            <v>10.2012</v>
          </cell>
          <cell r="L4938">
            <v>1</v>
          </cell>
          <cell r="M4938" t="str">
            <v>SET</v>
          </cell>
          <cell r="N4938">
            <v>918</v>
          </cell>
          <cell r="O4938" t="str">
            <v>INR</v>
          </cell>
        </row>
        <row r="4939">
          <cell r="A4939" t="str">
            <v>L003 Ankleshwar</v>
          </cell>
          <cell r="B4939">
            <v>668809</v>
          </cell>
          <cell r="C4939" t="str">
            <v>PIPE SECTION, MS HDPE LINED, 80NBX2500MM</v>
          </cell>
          <cell r="D4939" t="str">
            <v>L0030151                       EnggStore</v>
          </cell>
          <cell r="E4939">
            <v>0</v>
          </cell>
          <cell r="F4939" t="str">
            <v>ND No planning</v>
          </cell>
          <cell r="G4939" t="str">
            <v>ERSA Spare parts</v>
          </cell>
          <cell r="H4939" t="str">
            <v>EN028     Pipes&amp;pipefittings</v>
          </cell>
          <cell r="I4939" t="str">
            <v>L003 Ankleshwar</v>
          </cell>
          <cell r="J4939" t="str">
            <v>99 Input/Byprodt/Scrap</v>
          </cell>
          <cell r="K4939" t="str">
            <v>10.2012</v>
          </cell>
          <cell r="L4939">
            <v>2</v>
          </cell>
          <cell r="M4939" t="str">
            <v>EA</v>
          </cell>
          <cell r="N4939">
            <v>5492.7799999999897</v>
          </cell>
          <cell r="O4939" t="str">
            <v>INR</v>
          </cell>
        </row>
        <row r="4940">
          <cell r="A4940" t="str">
            <v>L003 Ankleshwar</v>
          </cell>
          <cell r="B4940">
            <v>668810</v>
          </cell>
          <cell r="C4940" t="str">
            <v>PIPE SECTION, MS HDPE LINED, 80NBX150MM</v>
          </cell>
          <cell r="D4940" t="str">
            <v>L0030151                       EnggStore</v>
          </cell>
          <cell r="E4940">
            <v>0</v>
          </cell>
          <cell r="F4940" t="str">
            <v>ND No planning</v>
          </cell>
          <cell r="G4940" t="str">
            <v>ERSA Spare parts</v>
          </cell>
          <cell r="H4940" t="str">
            <v>EN028     Pipes&amp;pipefittings</v>
          </cell>
          <cell r="I4940" t="str">
            <v>L003 Ankleshwar</v>
          </cell>
          <cell r="J4940" t="str">
            <v>99 Input/Byprodt/Scrap</v>
          </cell>
          <cell r="K4940" t="str">
            <v>10.2012</v>
          </cell>
          <cell r="L4940">
            <v>3</v>
          </cell>
          <cell r="M4940" t="str">
            <v>EA</v>
          </cell>
          <cell r="N4940">
            <v>2457.54</v>
          </cell>
          <cell r="O4940" t="str">
            <v>INR</v>
          </cell>
        </row>
        <row r="4941">
          <cell r="A4941" t="str">
            <v>L003 Ankleshwar</v>
          </cell>
          <cell r="B4941">
            <v>668865</v>
          </cell>
          <cell r="C4941" t="str">
            <v>ROTAMETER,3"- SIZE,2000-20000LPH</v>
          </cell>
          <cell r="D4941" t="str">
            <v>L0030151                       EnggStore</v>
          </cell>
          <cell r="E4941">
            <v>0</v>
          </cell>
          <cell r="F4941" t="str">
            <v>ND No planning</v>
          </cell>
          <cell r="G4941" t="str">
            <v>ERSA Spare parts</v>
          </cell>
          <cell r="H4941" t="str">
            <v>EN017     InstrumentSpares</v>
          </cell>
          <cell r="I4941" t="str">
            <v>L003 Ankleshwar</v>
          </cell>
          <cell r="J4941" t="str">
            <v>99 Input/Byprodt/Scrap</v>
          </cell>
          <cell r="K4941" t="str">
            <v>10.2012</v>
          </cell>
          <cell r="L4941">
            <v>1</v>
          </cell>
          <cell r="M4941" t="str">
            <v>EA</v>
          </cell>
          <cell r="N4941">
            <v>7012.5</v>
          </cell>
          <cell r="O4941" t="str">
            <v>INR</v>
          </cell>
        </row>
        <row r="4942">
          <cell r="A4942" t="str">
            <v>L003 Ankleshwar</v>
          </cell>
          <cell r="B4942">
            <v>668890</v>
          </cell>
          <cell r="C4942" t="str">
            <v>SIDE PLATE PLASTIC: MODEL-BETA:SIZE-1MTR</v>
          </cell>
          <cell r="D4942" t="str">
            <v>L0030151                       EnggStore</v>
          </cell>
          <cell r="E4942">
            <v>0</v>
          </cell>
          <cell r="F4942" t="str">
            <v>ND No planning</v>
          </cell>
          <cell r="G4942" t="str">
            <v>ERSA Spare parts</v>
          </cell>
          <cell r="H4942" t="str">
            <v>EN039     PlantEquipmentSpares</v>
          </cell>
          <cell r="I4942" t="str">
            <v>L003 Ankleshwar</v>
          </cell>
          <cell r="J4942" t="str">
            <v>99 Input/Byprodt/Scrap</v>
          </cell>
          <cell r="K4942" t="str">
            <v>10.2012</v>
          </cell>
          <cell r="L4942">
            <v>1</v>
          </cell>
          <cell r="M4942" t="str">
            <v>EA</v>
          </cell>
          <cell r="N4942">
            <v>290.82999999999902</v>
          </cell>
          <cell r="O4942" t="str">
            <v>INR</v>
          </cell>
        </row>
        <row r="4943">
          <cell r="A4943" t="str">
            <v>L003 Ankleshwar</v>
          </cell>
          <cell r="B4943">
            <v>668903</v>
          </cell>
          <cell r="C4943" t="str">
            <v>RUBB. BUSH IMPELLER:MODEL-BETA:SIZE-1MTR</v>
          </cell>
          <cell r="D4943" t="str">
            <v>L0030151                       EnggStore</v>
          </cell>
          <cell r="E4943">
            <v>0</v>
          </cell>
          <cell r="F4943" t="str">
            <v>ND No planning</v>
          </cell>
          <cell r="G4943" t="str">
            <v>ERSA Spare parts</v>
          </cell>
          <cell r="H4943" t="str">
            <v>EN039     PlantEquipmentSpares</v>
          </cell>
          <cell r="I4943" t="str">
            <v>L003 Ankleshwar</v>
          </cell>
          <cell r="J4943" t="str">
            <v>99 Input/Byprodt/Scrap</v>
          </cell>
          <cell r="K4943" t="str">
            <v>10.2012</v>
          </cell>
          <cell r="L4943">
            <v>5</v>
          </cell>
          <cell r="M4943" t="str">
            <v>EA</v>
          </cell>
          <cell r="N4943">
            <v>2908.32</v>
          </cell>
          <cell r="O4943" t="str">
            <v>INR</v>
          </cell>
        </row>
        <row r="4944">
          <cell r="A4944" t="str">
            <v>L003 Ankleshwar</v>
          </cell>
          <cell r="B4944">
            <v>668909</v>
          </cell>
          <cell r="C4944" t="str">
            <v>FIELD GASKET NBRP FOR CHANNEL PLATE</v>
          </cell>
          <cell r="D4944" t="str">
            <v>L0030151                       EnggStore</v>
          </cell>
          <cell r="E4944">
            <v>0</v>
          </cell>
          <cell r="F4944" t="str">
            <v>ND No planning</v>
          </cell>
          <cell r="G4944" t="str">
            <v>ERSA Spare parts</v>
          </cell>
          <cell r="H4944" t="str">
            <v>EN024     EnggConsumables</v>
          </cell>
          <cell r="I4944" t="str">
            <v>L003 Ankleshwar</v>
          </cell>
          <cell r="J4944" t="str">
            <v>99 Input/Byprodt/Scrap</v>
          </cell>
          <cell r="K4944" t="str">
            <v>10.2012</v>
          </cell>
          <cell r="L4944">
            <v>2</v>
          </cell>
          <cell r="M4944" t="str">
            <v>EA</v>
          </cell>
          <cell r="N4944">
            <v>2348.4</v>
          </cell>
          <cell r="O4944" t="str">
            <v>INR</v>
          </cell>
        </row>
        <row r="4945">
          <cell r="A4945" t="str">
            <v>L003 Ankleshwar</v>
          </cell>
          <cell r="B4945">
            <v>668911</v>
          </cell>
          <cell r="C4945" t="str">
            <v>RING GASKET FKMG FOR END PLATE</v>
          </cell>
          <cell r="D4945" t="str">
            <v>L0030151                       EnggStore</v>
          </cell>
          <cell r="E4945">
            <v>0</v>
          </cell>
          <cell r="F4945" t="str">
            <v>ND No planning</v>
          </cell>
          <cell r="G4945" t="str">
            <v>ERSA Spare parts</v>
          </cell>
          <cell r="H4945" t="str">
            <v>EN024     EnggConsumables</v>
          </cell>
          <cell r="I4945" t="str">
            <v>L003 Ankleshwar</v>
          </cell>
          <cell r="J4945" t="str">
            <v>99 Input/Byprodt/Scrap</v>
          </cell>
          <cell r="K4945" t="str">
            <v>10.2012</v>
          </cell>
          <cell r="L4945">
            <v>1</v>
          </cell>
          <cell r="M4945" t="str">
            <v>EA</v>
          </cell>
          <cell r="N4945">
            <v>1761.3</v>
          </cell>
          <cell r="O4945" t="str">
            <v>INR</v>
          </cell>
        </row>
        <row r="4946">
          <cell r="A4946" t="str">
            <v>L003 Ankleshwar</v>
          </cell>
          <cell r="B4946">
            <v>668912</v>
          </cell>
          <cell r="C4946" t="str">
            <v>FLANGE,MS,BACKLING,ASA 150,SIZE 100 MM</v>
          </cell>
          <cell r="D4946" t="str">
            <v>L0030201                       Cons StoreKP</v>
          </cell>
          <cell r="E4946">
            <v>0</v>
          </cell>
          <cell r="F4946" t="str">
            <v>ND No planning</v>
          </cell>
          <cell r="G4946" t="str">
            <v>ERSA Spare parts</v>
          </cell>
          <cell r="H4946" t="str">
            <v>EN028     Pipes&amp;pipefittings</v>
          </cell>
          <cell r="I4946" t="str">
            <v>L003 Ankleshwar</v>
          </cell>
          <cell r="J4946" t="str">
            <v>99 Input/Byprodt/Scrap</v>
          </cell>
          <cell r="K4946" t="str">
            <v>10.2012</v>
          </cell>
          <cell r="L4946">
            <v>4</v>
          </cell>
          <cell r="M4946" t="str">
            <v>EA</v>
          </cell>
          <cell r="N4946">
            <v>1111.2</v>
          </cell>
          <cell r="O4946" t="str">
            <v>INR</v>
          </cell>
        </row>
        <row r="4947">
          <cell r="A4947" t="str">
            <v>L003 Ankleshwar</v>
          </cell>
          <cell r="B4947">
            <v>668942</v>
          </cell>
          <cell r="C4947" t="str">
            <v>LANTERN RING : KPD-50/16QF</v>
          </cell>
          <cell r="D4947" t="str">
            <v>L0030151                       EnggStore</v>
          </cell>
          <cell r="E4947">
            <v>0</v>
          </cell>
          <cell r="F4947" t="str">
            <v>ND No planning</v>
          </cell>
          <cell r="G4947" t="str">
            <v>ERSA Spare parts</v>
          </cell>
          <cell r="H4947" t="str">
            <v>EN032     Pumpspares</v>
          </cell>
          <cell r="I4947" t="str">
            <v>L003 Ankleshwar</v>
          </cell>
          <cell r="J4947" t="str">
            <v>99 Input/Byprodt/Scrap</v>
          </cell>
          <cell r="K4947" t="str">
            <v>10.2012</v>
          </cell>
          <cell r="L4947">
            <v>2</v>
          </cell>
          <cell r="M4947" t="str">
            <v>EA</v>
          </cell>
          <cell r="N4947">
            <v>277.5</v>
          </cell>
          <cell r="O4947" t="str">
            <v>INR</v>
          </cell>
        </row>
        <row r="4948">
          <cell r="A4948" t="str">
            <v>L003 Ankleshwar</v>
          </cell>
          <cell r="B4948">
            <v>668958</v>
          </cell>
          <cell r="C4948" t="str">
            <v>BALL BEARING : 2310 K</v>
          </cell>
          <cell r="D4948" t="str">
            <v>L0030151                       EnggStore</v>
          </cell>
          <cell r="E4948" t="str">
            <v>E31 E31</v>
          </cell>
          <cell r="F4948" t="str">
            <v>VB Manual reorder point planning</v>
          </cell>
          <cell r="G4948" t="str">
            <v>ERSA Spare parts</v>
          </cell>
          <cell r="H4948" t="str">
            <v>EN009     Bearings</v>
          </cell>
          <cell r="I4948" t="str">
            <v>L003 Ankleshwar</v>
          </cell>
          <cell r="J4948" t="str">
            <v>99 Input/Byprodt/Scrap</v>
          </cell>
          <cell r="K4948" t="str">
            <v>10.2012</v>
          </cell>
          <cell r="L4948">
            <v>1</v>
          </cell>
          <cell r="M4948" t="str">
            <v>EA</v>
          </cell>
          <cell r="N4948">
            <v>3914.53</v>
          </cell>
          <cell r="O4948" t="str">
            <v>INR</v>
          </cell>
        </row>
        <row r="4949">
          <cell r="A4949" t="str">
            <v>L003 Ankleshwar</v>
          </cell>
          <cell r="B4949">
            <v>668972</v>
          </cell>
          <cell r="C4949" t="str">
            <v>PUMP SHAFT  MDL UP 100/38 KIRLOSKAR</v>
          </cell>
          <cell r="D4949" t="str">
            <v>L0030151                       EnggStore</v>
          </cell>
          <cell r="E4949">
            <v>0</v>
          </cell>
          <cell r="F4949" t="str">
            <v>ND No planning</v>
          </cell>
          <cell r="G4949" t="str">
            <v>ERSA Spare parts</v>
          </cell>
          <cell r="H4949" t="str">
            <v>EN032     Pumpspares</v>
          </cell>
          <cell r="I4949" t="str">
            <v>L003 Ankleshwar</v>
          </cell>
          <cell r="J4949" t="str">
            <v>99 Input/Byprodt/Scrap</v>
          </cell>
          <cell r="K4949" t="str">
            <v>10.2012</v>
          </cell>
          <cell r="L4949">
            <v>1</v>
          </cell>
          <cell r="M4949" t="str">
            <v>EA</v>
          </cell>
          <cell r="N4949">
            <v>15743.5</v>
          </cell>
          <cell r="O4949" t="str">
            <v>INR</v>
          </cell>
        </row>
        <row r="4950">
          <cell r="A4950" t="str">
            <v>L003 Ankleshwar</v>
          </cell>
          <cell r="B4950">
            <v>668976</v>
          </cell>
          <cell r="C4950" t="str">
            <v>TRANSFORMER AQUAGAURD MDL HI-FLO</v>
          </cell>
          <cell r="D4950" t="str">
            <v>L0030151                       EnggStore</v>
          </cell>
          <cell r="E4950">
            <v>0</v>
          </cell>
          <cell r="F4950" t="str">
            <v>ND No planning</v>
          </cell>
          <cell r="G4950" t="str">
            <v>ERSA Spare parts</v>
          </cell>
          <cell r="H4950" t="str">
            <v>EN008     ElectronicCards&amp;comp</v>
          </cell>
          <cell r="I4950" t="str">
            <v>L003 Ankleshwar</v>
          </cell>
          <cell r="J4950" t="str">
            <v>99 Input/Byprodt/Scrap</v>
          </cell>
          <cell r="K4950" t="str">
            <v>10.2012</v>
          </cell>
          <cell r="L4950">
            <v>3</v>
          </cell>
          <cell r="M4950" t="str">
            <v>EA</v>
          </cell>
          <cell r="N4950">
            <v>759.99</v>
          </cell>
          <cell r="O4950" t="str">
            <v>INR</v>
          </cell>
        </row>
        <row r="4951">
          <cell r="A4951" t="str">
            <v>L003 Ankleshwar</v>
          </cell>
          <cell r="B4951">
            <v>668977</v>
          </cell>
          <cell r="C4951" t="str">
            <v>TRANSFORMER AQUAGAURD MDL CLASSIC</v>
          </cell>
          <cell r="D4951" t="str">
            <v>L0030151                       EnggStore</v>
          </cell>
          <cell r="E4951">
            <v>0</v>
          </cell>
          <cell r="F4951" t="str">
            <v>ND No planning</v>
          </cell>
          <cell r="G4951" t="str">
            <v>ERSA Spare parts</v>
          </cell>
          <cell r="H4951" t="str">
            <v>EN008     ElectronicCards&amp;comp</v>
          </cell>
          <cell r="I4951" t="str">
            <v>L003 Ankleshwar</v>
          </cell>
          <cell r="J4951" t="str">
            <v>99 Input/Byprodt/Scrap</v>
          </cell>
          <cell r="K4951" t="str">
            <v>10.2012</v>
          </cell>
          <cell r="L4951">
            <v>1</v>
          </cell>
          <cell r="M4951" t="str">
            <v>EA</v>
          </cell>
          <cell r="N4951">
            <v>253.33</v>
          </cell>
          <cell r="O4951" t="str">
            <v>INR</v>
          </cell>
        </row>
        <row r="4952">
          <cell r="A4952" t="str">
            <v>L003 Ankleshwar</v>
          </cell>
          <cell r="B4952">
            <v>669009</v>
          </cell>
          <cell r="C4952" t="str">
            <v>8 * 8  MM SILICON GLAND</v>
          </cell>
          <cell r="D4952" t="str">
            <v>L0030151                       EnggStore</v>
          </cell>
          <cell r="E4952">
            <v>0</v>
          </cell>
          <cell r="F4952" t="str">
            <v>ND No planning</v>
          </cell>
          <cell r="G4952" t="str">
            <v>ERSA Spare parts</v>
          </cell>
          <cell r="H4952" t="str">
            <v>EN024     EnggConsumables</v>
          </cell>
          <cell r="I4952" t="str">
            <v>L003 Ankleshwar</v>
          </cell>
          <cell r="J4952" t="str">
            <v>99 Input/Byprodt/Scrap</v>
          </cell>
          <cell r="K4952" t="str">
            <v>10.2012</v>
          </cell>
          <cell r="L4952">
            <v>2</v>
          </cell>
          <cell r="M4952" t="str">
            <v>MTR</v>
          </cell>
          <cell r="N4952">
            <v>101.75</v>
          </cell>
          <cell r="O4952" t="str">
            <v>INR</v>
          </cell>
        </row>
        <row r="4953">
          <cell r="A4953" t="str">
            <v>L003 Ankleshwar</v>
          </cell>
          <cell r="B4953">
            <v>669014</v>
          </cell>
          <cell r="C4953" t="str">
            <v>ALU. STEP PULLEY B SEC. 3" TO 6"4-GROOVE</v>
          </cell>
          <cell r="D4953" t="str">
            <v>L0030151                       EnggStore</v>
          </cell>
          <cell r="E4953">
            <v>0</v>
          </cell>
          <cell r="F4953" t="str">
            <v>ND No planning</v>
          </cell>
          <cell r="G4953" t="str">
            <v>ERSA Spare parts</v>
          </cell>
          <cell r="H4953" t="str">
            <v>EN021     VbeltCoupling&amp;Pulley</v>
          </cell>
          <cell r="I4953" t="str">
            <v>L003 Ankleshwar</v>
          </cell>
          <cell r="J4953" t="str">
            <v>99 Input/Byprodt/Scrap</v>
          </cell>
          <cell r="K4953" t="str">
            <v>10.2012</v>
          </cell>
          <cell r="L4953">
            <v>2</v>
          </cell>
          <cell r="M4953" t="str">
            <v>EA</v>
          </cell>
          <cell r="N4953">
            <v>1220</v>
          </cell>
          <cell r="O4953" t="str">
            <v>INR</v>
          </cell>
        </row>
        <row r="4954">
          <cell r="A4954" t="str">
            <v>L003 Ankleshwar</v>
          </cell>
          <cell r="B4954">
            <v>669042</v>
          </cell>
          <cell r="C4954" t="str">
            <v>LEGRAND MAKE MCB-FP, 63A</v>
          </cell>
          <cell r="D4954" t="str">
            <v>L0030151                       EnggStore</v>
          </cell>
          <cell r="E4954" t="str">
            <v>E36 E36</v>
          </cell>
          <cell r="F4954" t="str">
            <v>VB Manual reorder point planning</v>
          </cell>
          <cell r="G4954" t="str">
            <v>ERSA Spare parts</v>
          </cell>
          <cell r="H4954" t="str">
            <v>EN006     Elec Switchgear</v>
          </cell>
          <cell r="I4954" t="str">
            <v>L003 Ankleshwar</v>
          </cell>
          <cell r="J4954" t="str">
            <v>99 Input/Byprodt/Scrap</v>
          </cell>
          <cell r="K4954" t="str">
            <v>10.2012</v>
          </cell>
          <cell r="L4954">
            <v>1</v>
          </cell>
          <cell r="M4954" t="str">
            <v>EA</v>
          </cell>
          <cell r="N4954">
            <v>1230</v>
          </cell>
          <cell r="O4954" t="str">
            <v>INR</v>
          </cell>
        </row>
        <row r="4955">
          <cell r="A4955" t="str">
            <v>L003 Ankleshwar</v>
          </cell>
          <cell r="B4955">
            <v>669043</v>
          </cell>
          <cell r="C4955" t="str">
            <v>LEGRAND MAKE MCB-FP, 32A</v>
          </cell>
          <cell r="D4955" t="str">
            <v>L0030151                       EnggStore</v>
          </cell>
          <cell r="E4955" t="str">
            <v>E36 E36</v>
          </cell>
          <cell r="F4955" t="str">
            <v>VB Manual reorder point planning</v>
          </cell>
          <cell r="G4955" t="str">
            <v>ERSA Spare parts</v>
          </cell>
          <cell r="H4955" t="str">
            <v>EN006     Elec Switchgear</v>
          </cell>
          <cell r="I4955" t="str">
            <v>L003 Ankleshwar</v>
          </cell>
          <cell r="J4955" t="str">
            <v>99 Input/Byprodt/Scrap</v>
          </cell>
          <cell r="K4955" t="str">
            <v>10.2012</v>
          </cell>
          <cell r="L4955">
            <v>2</v>
          </cell>
          <cell r="M4955" t="str">
            <v>EA</v>
          </cell>
          <cell r="N4955">
            <v>1656</v>
          </cell>
          <cell r="O4955" t="str">
            <v>INR</v>
          </cell>
        </row>
        <row r="4956">
          <cell r="A4956" t="str">
            <v>L003 Ankleshwar</v>
          </cell>
          <cell r="B4956">
            <v>669079</v>
          </cell>
          <cell r="C4956" t="str">
            <v>HASTALLOY-C BOLT FULL THREAD:1/2"x2-1/2"</v>
          </cell>
          <cell r="D4956" t="str">
            <v>L0030151                       EnggStore</v>
          </cell>
          <cell r="E4956">
            <v>0</v>
          </cell>
          <cell r="F4956" t="str">
            <v>ND No planning</v>
          </cell>
          <cell r="G4956" t="str">
            <v>ERSA Spare parts</v>
          </cell>
          <cell r="H4956" t="str">
            <v>EN022     Hardwareitems</v>
          </cell>
          <cell r="I4956" t="str">
            <v>L003 Ankleshwar</v>
          </cell>
          <cell r="J4956" t="str">
            <v>99 Input/Byprodt/Scrap</v>
          </cell>
          <cell r="K4956" t="str">
            <v>10.2012</v>
          </cell>
          <cell r="L4956">
            <v>20</v>
          </cell>
          <cell r="M4956" t="str">
            <v>EA</v>
          </cell>
          <cell r="N4956">
            <v>7344</v>
          </cell>
          <cell r="O4956" t="str">
            <v>INR</v>
          </cell>
        </row>
        <row r="4957">
          <cell r="A4957" t="str">
            <v>L003 Ankleshwar</v>
          </cell>
          <cell r="B4957">
            <v>669093</v>
          </cell>
          <cell r="C4957" t="str">
            <v>ZINK PLATED PLAIN WASHER SZ 16X60 MM</v>
          </cell>
          <cell r="D4957" t="str">
            <v>L0030151                       EnggStore</v>
          </cell>
          <cell r="E4957">
            <v>0</v>
          </cell>
          <cell r="F4957" t="str">
            <v>ND No planning</v>
          </cell>
          <cell r="G4957" t="str">
            <v>ERSA Spare parts</v>
          </cell>
          <cell r="H4957" t="str">
            <v>EN003     ElectricalSpares</v>
          </cell>
          <cell r="I4957" t="str">
            <v>L003 Ankleshwar</v>
          </cell>
          <cell r="J4957" t="str">
            <v>99 Input/Byprodt/Scrap</v>
          </cell>
          <cell r="K4957" t="str">
            <v>10.2012</v>
          </cell>
          <cell r="L4957">
            <v>84</v>
          </cell>
          <cell r="M4957" t="str">
            <v>EA</v>
          </cell>
          <cell r="N4957">
            <v>609</v>
          </cell>
          <cell r="O4957" t="str">
            <v>INR</v>
          </cell>
        </row>
        <row r="4958">
          <cell r="A4958" t="str">
            <v>L003 Ankleshwar</v>
          </cell>
          <cell r="B4958">
            <v>669094</v>
          </cell>
          <cell r="C4958" t="str">
            <v>ZINK PLATED PLAIN WASHER SZ 12X40 MM</v>
          </cell>
          <cell r="D4958" t="str">
            <v>L0030151                       EnggStore</v>
          </cell>
          <cell r="E4958">
            <v>0</v>
          </cell>
          <cell r="F4958" t="str">
            <v>ND No planning</v>
          </cell>
          <cell r="G4958" t="str">
            <v>ERSA Spare parts</v>
          </cell>
          <cell r="H4958" t="str">
            <v>EN003     ElectricalSpares</v>
          </cell>
          <cell r="I4958" t="str">
            <v>L003 Ankleshwar</v>
          </cell>
          <cell r="J4958" t="str">
            <v>99 Input/Byprodt/Scrap</v>
          </cell>
          <cell r="K4958" t="str">
            <v>10.2012</v>
          </cell>
          <cell r="L4958">
            <v>88</v>
          </cell>
          <cell r="M4958" t="str">
            <v>EA</v>
          </cell>
          <cell r="N4958">
            <v>537.52999999999895</v>
          </cell>
          <cell r="O4958" t="str">
            <v>INR</v>
          </cell>
        </row>
        <row r="4959">
          <cell r="A4959" t="str">
            <v>L003 Ankleshwar</v>
          </cell>
          <cell r="B4959">
            <v>669115</v>
          </cell>
          <cell r="C4959" t="str">
            <v>PP SPRAY NOZZLE: 1/2"</v>
          </cell>
          <cell r="D4959" t="str">
            <v>L0030151                       EnggStore</v>
          </cell>
          <cell r="E4959">
            <v>0</v>
          </cell>
          <cell r="F4959" t="str">
            <v>ND No planning</v>
          </cell>
          <cell r="G4959" t="str">
            <v>ERSA Spare parts</v>
          </cell>
          <cell r="H4959" t="str">
            <v>EN018     UtilityEquipmentSpar</v>
          </cell>
          <cell r="I4959" t="str">
            <v>L003 Ankleshwar</v>
          </cell>
          <cell r="J4959" t="str">
            <v>99 Input/Byprodt/Scrap</v>
          </cell>
          <cell r="K4959" t="str">
            <v>10.2012</v>
          </cell>
          <cell r="L4959">
            <v>8</v>
          </cell>
          <cell r="M4959" t="str">
            <v>EA</v>
          </cell>
          <cell r="N4959">
            <v>96</v>
          </cell>
          <cell r="O4959" t="str">
            <v>INR</v>
          </cell>
        </row>
        <row r="4960">
          <cell r="A4960" t="str">
            <v>L003 Ankleshwar</v>
          </cell>
          <cell r="B4960">
            <v>669116</v>
          </cell>
          <cell r="C4960" t="str">
            <v>FOOD GRADE SILICON STRIP: 8MM X 8MM</v>
          </cell>
          <cell r="D4960" t="str">
            <v>L0030151                       EnggStore</v>
          </cell>
          <cell r="E4960" t="str">
            <v>E35 E35</v>
          </cell>
          <cell r="F4960" t="str">
            <v>VB Manual reorder point planning</v>
          </cell>
          <cell r="G4960" t="str">
            <v>ERSA Spare parts</v>
          </cell>
          <cell r="H4960" t="str">
            <v>EN020     RubberItems&amp;Oil Seal</v>
          </cell>
          <cell r="I4960" t="str">
            <v>L003 Ankleshwar</v>
          </cell>
          <cell r="J4960" t="str">
            <v>99 Input/Byprodt/Scrap</v>
          </cell>
          <cell r="K4960" t="str">
            <v>10.2012</v>
          </cell>
          <cell r="L4960">
            <v>3.5</v>
          </cell>
          <cell r="M4960" t="str">
            <v>MTR</v>
          </cell>
          <cell r="N4960">
            <v>214.37</v>
          </cell>
          <cell r="O4960" t="str">
            <v>INR</v>
          </cell>
        </row>
        <row r="4961">
          <cell r="A4961" t="str">
            <v>L003 Ankleshwar</v>
          </cell>
          <cell r="B4961">
            <v>669128</v>
          </cell>
          <cell r="C4961" t="str">
            <v>FILTER(OUTER):12466707</v>
          </cell>
          <cell r="D4961" t="str">
            <v>L0030151                       EnggStore</v>
          </cell>
          <cell r="E4961">
            <v>0</v>
          </cell>
          <cell r="F4961" t="str">
            <v>ND No planning</v>
          </cell>
          <cell r="G4961" t="str">
            <v>ERSA Spare parts</v>
          </cell>
          <cell r="H4961" t="str">
            <v>EN029     Powerplantitems</v>
          </cell>
          <cell r="I4961" t="str">
            <v>L003 Ankleshwar</v>
          </cell>
          <cell r="J4961" t="str">
            <v>99 Input/Byprodt/Scrap</v>
          </cell>
          <cell r="K4961" t="str">
            <v>10.2012</v>
          </cell>
          <cell r="L4961">
            <v>2</v>
          </cell>
          <cell r="M4961" t="str">
            <v>EA</v>
          </cell>
          <cell r="N4961">
            <v>109441.48</v>
          </cell>
          <cell r="O4961" t="str">
            <v>INR</v>
          </cell>
        </row>
        <row r="4962">
          <cell r="A4962" t="str">
            <v>L003 Ankleshwar</v>
          </cell>
          <cell r="B4962">
            <v>669158</v>
          </cell>
          <cell r="C4962" t="str">
            <v>PP DIAPHRAGM VALVE: 1" FOR SOFTNER</v>
          </cell>
          <cell r="D4962" t="str">
            <v>L0030151                       EnggStore</v>
          </cell>
          <cell r="E4962">
            <v>0</v>
          </cell>
          <cell r="F4962" t="str">
            <v>ND No planning</v>
          </cell>
          <cell r="G4962" t="str">
            <v>ERSA Spare parts</v>
          </cell>
          <cell r="H4962" t="str">
            <v>EN023     Valves&amp;spares</v>
          </cell>
          <cell r="I4962" t="str">
            <v>L003 Ankleshwar</v>
          </cell>
          <cell r="J4962" t="str">
            <v>99 Input/Byprodt/Scrap</v>
          </cell>
          <cell r="K4962" t="str">
            <v>10.2012</v>
          </cell>
          <cell r="L4962">
            <v>2</v>
          </cell>
          <cell r="M4962" t="str">
            <v>EA</v>
          </cell>
          <cell r="N4962">
            <v>1693.3299999999899</v>
          </cell>
          <cell r="O4962" t="str">
            <v>INR</v>
          </cell>
        </row>
        <row r="4963">
          <cell r="A4963" t="str">
            <v>L003 Ankleshwar</v>
          </cell>
          <cell r="B4963">
            <v>669175</v>
          </cell>
          <cell r="C4963" t="str">
            <v>20*7 MM EXPANDED PTFE ROPE</v>
          </cell>
          <cell r="D4963" t="str">
            <v>L0030151                       EnggStore</v>
          </cell>
          <cell r="E4963" t="str">
            <v>E35 E35</v>
          </cell>
          <cell r="F4963" t="str">
            <v>ND No planning</v>
          </cell>
          <cell r="G4963" t="str">
            <v>ERSA Spare parts</v>
          </cell>
          <cell r="H4963" t="str">
            <v>EN024     EnggConsumables</v>
          </cell>
          <cell r="I4963" t="str">
            <v>L003 Ankleshwar</v>
          </cell>
          <cell r="J4963" t="str">
            <v>99 Input/Byprodt/Scrap</v>
          </cell>
          <cell r="K4963" t="str">
            <v>10.2012</v>
          </cell>
          <cell r="L4963">
            <v>7</v>
          </cell>
          <cell r="M4963" t="str">
            <v>MTR</v>
          </cell>
          <cell r="N4963">
            <v>3227.78</v>
          </cell>
          <cell r="O4963" t="str">
            <v>INR</v>
          </cell>
        </row>
        <row r="4964">
          <cell r="A4964" t="str">
            <v>L003 Ankleshwar</v>
          </cell>
          <cell r="B4964">
            <v>669253</v>
          </cell>
          <cell r="C4964" t="str">
            <v>BUTTERFLY VALVE(WITH ACTUATOR),4"-SIZE</v>
          </cell>
          <cell r="D4964" t="str">
            <v>L0030151                       EnggStore</v>
          </cell>
          <cell r="E4964">
            <v>0</v>
          </cell>
          <cell r="F4964" t="str">
            <v>ND No planning</v>
          </cell>
          <cell r="G4964" t="str">
            <v>ERSA Spare parts</v>
          </cell>
          <cell r="H4964" t="str">
            <v>EN023     Valves&amp;spares</v>
          </cell>
          <cell r="I4964" t="str">
            <v>L003 Ankleshwar</v>
          </cell>
          <cell r="J4964" t="str">
            <v>99 Input/Byprodt/Scrap</v>
          </cell>
          <cell r="K4964" t="str">
            <v>10.2012</v>
          </cell>
          <cell r="L4964">
            <v>1</v>
          </cell>
          <cell r="M4964" t="str">
            <v>EA</v>
          </cell>
          <cell r="N4964">
            <v>12813.5</v>
          </cell>
          <cell r="O4964" t="str">
            <v>INR</v>
          </cell>
        </row>
        <row r="4965">
          <cell r="A4965" t="str">
            <v>L003 Ankleshwar</v>
          </cell>
          <cell r="B4965">
            <v>669257</v>
          </cell>
          <cell r="C4965" t="str">
            <v>BALL VALVE(WITH ACTUATOR),2"-SIZE</v>
          </cell>
          <cell r="D4965" t="str">
            <v>L0030151                       EnggStore</v>
          </cell>
          <cell r="E4965">
            <v>0</v>
          </cell>
          <cell r="F4965" t="str">
            <v>ND No planning</v>
          </cell>
          <cell r="G4965" t="str">
            <v>ERSA Spare parts</v>
          </cell>
          <cell r="H4965" t="str">
            <v>EN017     InstrumentSpares</v>
          </cell>
          <cell r="I4965" t="str">
            <v>L003 Ankleshwar</v>
          </cell>
          <cell r="J4965" t="str">
            <v>99 Input/Byprodt/Scrap</v>
          </cell>
          <cell r="K4965" t="str">
            <v>10.2012</v>
          </cell>
          <cell r="L4965">
            <v>2</v>
          </cell>
          <cell r="M4965" t="str">
            <v>EA</v>
          </cell>
          <cell r="N4965">
            <v>26833.5</v>
          </cell>
          <cell r="O4965" t="str">
            <v>INR</v>
          </cell>
        </row>
        <row r="4966">
          <cell r="A4966" t="str">
            <v>L003 Ankleshwar</v>
          </cell>
          <cell r="B4966">
            <v>669266</v>
          </cell>
          <cell r="C4966" t="str">
            <v>CFV20 CONV. CONTROLLER WITH TRANSFORMER</v>
          </cell>
          <cell r="D4966" t="str">
            <v>L0030151                       EnggStore</v>
          </cell>
          <cell r="E4966">
            <v>0</v>
          </cell>
          <cell r="F4966" t="str">
            <v>ND No planning</v>
          </cell>
          <cell r="G4966" t="str">
            <v>ERSA Spare parts</v>
          </cell>
          <cell r="H4966" t="str">
            <v>EN017     InstrumentSpares</v>
          </cell>
          <cell r="I4966" t="str">
            <v>L003 Ankleshwar</v>
          </cell>
          <cell r="J4966" t="str">
            <v>99 Input/Byprodt/Scrap</v>
          </cell>
          <cell r="K4966" t="str">
            <v>10.2012</v>
          </cell>
          <cell r="L4966">
            <v>1</v>
          </cell>
          <cell r="M4966" t="str">
            <v>EA</v>
          </cell>
          <cell r="N4966">
            <v>333316.95</v>
          </cell>
          <cell r="O4966" t="str">
            <v>INR</v>
          </cell>
        </row>
        <row r="4967">
          <cell r="A4967" t="str">
            <v>L003 Ankleshwar</v>
          </cell>
          <cell r="B4967">
            <v>669267</v>
          </cell>
          <cell r="C4967" t="str">
            <v>FIX SPANNER, D/E, 30 X 32 MM</v>
          </cell>
          <cell r="D4967" t="str">
            <v>L0030151                       EnggStore</v>
          </cell>
          <cell r="E4967">
            <v>0</v>
          </cell>
          <cell r="F4967" t="str">
            <v>ND No planning</v>
          </cell>
          <cell r="G4967" t="str">
            <v>ERSA Spare parts</v>
          </cell>
          <cell r="H4967" t="str">
            <v>EN036     Tools&amp;tackles</v>
          </cell>
          <cell r="I4967" t="str">
            <v>L003 Ankleshwar</v>
          </cell>
          <cell r="J4967" t="str">
            <v>99 Input/Byprodt/Scrap</v>
          </cell>
          <cell r="K4967" t="str">
            <v>10.2012</v>
          </cell>
          <cell r="L4967">
            <v>1</v>
          </cell>
          <cell r="M4967" t="str">
            <v>EA</v>
          </cell>
          <cell r="N4967">
            <v>73.95</v>
          </cell>
          <cell r="O4967" t="str">
            <v>INR</v>
          </cell>
        </row>
        <row r="4968">
          <cell r="A4968" t="str">
            <v>L003 Ankleshwar</v>
          </cell>
          <cell r="B4968">
            <v>669289</v>
          </cell>
          <cell r="C4968" t="str">
            <v>CONDUCTIVITY SENSOR</v>
          </cell>
          <cell r="D4968" t="str">
            <v>L0030151                       EnggStore</v>
          </cell>
          <cell r="E4968">
            <v>0</v>
          </cell>
          <cell r="F4968" t="str">
            <v>ND No planning</v>
          </cell>
          <cell r="G4968" t="str">
            <v>ERSA Spare parts</v>
          </cell>
          <cell r="H4968" t="str">
            <v>EN017     InstrumentSpares</v>
          </cell>
          <cell r="I4968" t="str">
            <v>L003 Ankleshwar</v>
          </cell>
          <cell r="J4968" t="str">
            <v>99 Input/Byprodt/Scrap</v>
          </cell>
          <cell r="K4968" t="str">
            <v>10.2012</v>
          </cell>
          <cell r="L4968">
            <v>1</v>
          </cell>
          <cell r="M4968" t="str">
            <v>EA</v>
          </cell>
          <cell r="N4968">
            <v>15453.54</v>
          </cell>
          <cell r="O4968" t="str">
            <v>INR</v>
          </cell>
        </row>
        <row r="4969">
          <cell r="A4969" t="str">
            <v>L003 Ankleshwar</v>
          </cell>
          <cell r="B4969">
            <v>669295</v>
          </cell>
          <cell r="C4969" t="str">
            <v>TDS METER</v>
          </cell>
          <cell r="D4969" t="str">
            <v>L0030151                       EnggStore</v>
          </cell>
          <cell r="E4969">
            <v>0</v>
          </cell>
          <cell r="F4969" t="str">
            <v>ND No planning</v>
          </cell>
          <cell r="G4969" t="str">
            <v>ERSA Spare parts</v>
          </cell>
          <cell r="H4969" t="str">
            <v>EN017     InstrumentSpares</v>
          </cell>
          <cell r="I4969" t="str">
            <v>L003 Ankleshwar</v>
          </cell>
          <cell r="J4969" t="str">
            <v>99 Input/Byprodt/Scrap</v>
          </cell>
          <cell r="K4969" t="str">
            <v>10.2012</v>
          </cell>
          <cell r="L4969">
            <v>1</v>
          </cell>
          <cell r="M4969" t="str">
            <v>EA</v>
          </cell>
          <cell r="N4969">
            <v>1600</v>
          </cell>
          <cell r="O4969" t="str">
            <v>INR</v>
          </cell>
        </row>
        <row r="4970">
          <cell r="A4970" t="str">
            <v>L003 Ankleshwar</v>
          </cell>
          <cell r="B4970">
            <v>669307</v>
          </cell>
          <cell r="C4970" t="str">
            <v>LANTEN  RING  MDL UP 100/38 KIRLOSKAR</v>
          </cell>
          <cell r="D4970" t="str">
            <v>L0030151                       EnggStore</v>
          </cell>
          <cell r="E4970">
            <v>0</v>
          </cell>
          <cell r="F4970" t="str">
            <v>ND No planning</v>
          </cell>
          <cell r="G4970" t="str">
            <v>ERSA Spare parts</v>
          </cell>
          <cell r="H4970" t="str">
            <v>EN032     Pumpspares</v>
          </cell>
          <cell r="I4970" t="str">
            <v>L003 Ankleshwar</v>
          </cell>
          <cell r="J4970" t="str">
            <v>99 Input/Byprodt/Scrap</v>
          </cell>
          <cell r="K4970" t="str">
            <v>10.2012</v>
          </cell>
          <cell r="L4970">
            <v>2</v>
          </cell>
          <cell r="M4970" t="str">
            <v>EA</v>
          </cell>
          <cell r="N4970">
            <v>407</v>
          </cell>
          <cell r="O4970" t="str">
            <v>INR</v>
          </cell>
        </row>
        <row r="4971">
          <cell r="A4971" t="str">
            <v>L003 Ankleshwar</v>
          </cell>
          <cell r="B4971">
            <v>669361</v>
          </cell>
          <cell r="C4971" t="str">
            <v>O RING SET NUT MDL UP 100/38 KIRLOSKAR</v>
          </cell>
          <cell r="D4971" t="str">
            <v>L0030151                       EnggStore</v>
          </cell>
          <cell r="E4971">
            <v>0</v>
          </cell>
          <cell r="F4971" t="str">
            <v>ND No planning</v>
          </cell>
          <cell r="G4971" t="str">
            <v>ERSA Spare parts</v>
          </cell>
          <cell r="H4971" t="str">
            <v>EN032     Pumpspares</v>
          </cell>
          <cell r="I4971" t="str">
            <v>L003 Ankleshwar</v>
          </cell>
          <cell r="J4971" t="str">
            <v>99 Input/Byprodt/Scrap</v>
          </cell>
          <cell r="K4971" t="str">
            <v>10.2012</v>
          </cell>
          <cell r="L4971">
            <v>1</v>
          </cell>
          <cell r="M4971" t="str">
            <v>EA</v>
          </cell>
          <cell r="N4971">
            <v>379.25</v>
          </cell>
          <cell r="O4971" t="str">
            <v>INR</v>
          </cell>
        </row>
        <row r="4972">
          <cell r="A4972" t="str">
            <v>L003 Ankleshwar</v>
          </cell>
          <cell r="B4972">
            <v>669362</v>
          </cell>
          <cell r="C4972" t="str">
            <v>SET OF KEY MDL UP 100/38 KIRLOSKAR</v>
          </cell>
          <cell r="D4972" t="str">
            <v>L0030151                       EnggStore</v>
          </cell>
          <cell r="E4972">
            <v>0</v>
          </cell>
          <cell r="F4972" t="str">
            <v>ND No planning</v>
          </cell>
          <cell r="G4972" t="str">
            <v>ERSA Spare parts</v>
          </cell>
          <cell r="H4972" t="str">
            <v>EN032     Pumpspares</v>
          </cell>
          <cell r="I4972" t="str">
            <v>L003 Ankleshwar</v>
          </cell>
          <cell r="J4972" t="str">
            <v>99 Input/Byprodt/Scrap</v>
          </cell>
          <cell r="K4972" t="str">
            <v>10.2012</v>
          </cell>
          <cell r="L4972">
            <v>1</v>
          </cell>
          <cell r="M4972" t="str">
            <v>EA</v>
          </cell>
          <cell r="N4972">
            <v>323.75</v>
          </cell>
          <cell r="O4972" t="str">
            <v>INR</v>
          </cell>
        </row>
        <row r="4973">
          <cell r="A4973" t="str">
            <v>L003 Ankleshwar</v>
          </cell>
          <cell r="B4973">
            <v>669381</v>
          </cell>
          <cell r="C4973" t="str">
            <v>CI PULLEY C-SECTION 4 GROOVE: 10"</v>
          </cell>
          <cell r="D4973" t="str">
            <v>L0030151                       EnggStore</v>
          </cell>
          <cell r="E4973">
            <v>0</v>
          </cell>
          <cell r="F4973" t="str">
            <v>ND No planning</v>
          </cell>
          <cell r="G4973" t="str">
            <v>ERSA Spare parts</v>
          </cell>
          <cell r="H4973" t="str">
            <v>EN021     VbeltCoupling&amp;Pulley</v>
          </cell>
          <cell r="I4973" t="str">
            <v>L003 Ankleshwar</v>
          </cell>
          <cell r="J4973" t="str">
            <v>99 Input/Byprodt/Scrap</v>
          </cell>
          <cell r="K4973" t="str">
            <v>10.2012</v>
          </cell>
          <cell r="L4973">
            <v>1</v>
          </cell>
          <cell r="M4973" t="str">
            <v>EA</v>
          </cell>
          <cell r="N4973">
            <v>2150</v>
          </cell>
          <cell r="O4973" t="str">
            <v>INR</v>
          </cell>
        </row>
        <row r="4974">
          <cell r="A4974" t="str">
            <v>L003 Ankleshwar</v>
          </cell>
          <cell r="B4974">
            <v>669388</v>
          </cell>
          <cell r="C4974" t="str">
            <v>CFV20 CONVERTER DRIVER UNIT</v>
          </cell>
          <cell r="D4974" t="str">
            <v>L0030151                       EnggStore</v>
          </cell>
          <cell r="E4974">
            <v>0</v>
          </cell>
          <cell r="F4974" t="str">
            <v>ND No planning</v>
          </cell>
          <cell r="G4974" t="str">
            <v>ERSA Spare parts</v>
          </cell>
          <cell r="H4974" t="str">
            <v>EN017     InstrumentSpares</v>
          </cell>
          <cell r="I4974" t="str">
            <v>L003 Ankleshwar</v>
          </cell>
          <cell r="J4974" t="str">
            <v>99 Input/Byprodt/Scrap</v>
          </cell>
          <cell r="K4974" t="str">
            <v>10.2012</v>
          </cell>
          <cell r="L4974">
            <v>1</v>
          </cell>
          <cell r="M4974" t="str">
            <v>EA</v>
          </cell>
          <cell r="N4974">
            <v>183061.84</v>
          </cell>
          <cell r="O4974" t="str">
            <v>INR</v>
          </cell>
        </row>
        <row r="4975">
          <cell r="A4975" t="str">
            <v>L003 Ankleshwar</v>
          </cell>
          <cell r="B4975">
            <v>669389</v>
          </cell>
          <cell r="C4975" t="str">
            <v>CFV20 PLC CPU 226 6ES7216-2AD22-OXBO</v>
          </cell>
          <cell r="D4975" t="str">
            <v>L0030151                       EnggStore</v>
          </cell>
          <cell r="E4975">
            <v>0</v>
          </cell>
          <cell r="F4975" t="str">
            <v>ND No planning</v>
          </cell>
          <cell r="G4975" t="str">
            <v>ERSA Spare parts</v>
          </cell>
          <cell r="H4975" t="str">
            <v>EN017     InstrumentSpares</v>
          </cell>
          <cell r="I4975" t="str">
            <v>L003 Ankleshwar</v>
          </cell>
          <cell r="J4975" t="str">
            <v>99 Input/Byprodt/Scrap</v>
          </cell>
          <cell r="K4975" t="str">
            <v>10.2012</v>
          </cell>
          <cell r="L4975">
            <v>1</v>
          </cell>
          <cell r="M4975" t="str">
            <v>EA</v>
          </cell>
          <cell r="N4975">
            <v>32698.139999999901</v>
          </cell>
          <cell r="O4975" t="str">
            <v>INR</v>
          </cell>
        </row>
        <row r="4976">
          <cell r="A4976" t="str">
            <v>L003 Ankleshwar</v>
          </cell>
          <cell r="B4976">
            <v>669390</v>
          </cell>
          <cell r="C4976" t="str">
            <v>CFV20 PLC I/O MODULE S7-200 EM 235</v>
          </cell>
          <cell r="D4976" t="str">
            <v>L0030151                       EnggStore</v>
          </cell>
          <cell r="E4976">
            <v>0</v>
          </cell>
          <cell r="F4976" t="str">
            <v>ND No planning</v>
          </cell>
          <cell r="G4976" t="str">
            <v>ERSA Spare parts</v>
          </cell>
          <cell r="H4976" t="str">
            <v>EN017     InstrumentSpares</v>
          </cell>
          <cell r="I4976" t="str">
            <v>L003 Ankleshwar</v>
          </cell>
          <cell r="J4976" t="str">
            <v>99 Input/Byprodt/Scrap</v>
          </cell>
          <cell r="K4976" t="str">
            <v>10.2012</v>
          </cell>
          <cell r="L4976">
            <v>1</v>
          </cell>
          <cell r="M4976" t="str">
            <v>EA</v>
          </cell>
          <cell r="N4976">
            <v>11767.02</v>
          </cell>
          <cell r="O4976" t="str">
            <v>INR</v>
          </cell>
        </row>
        <row r="4977">
          <cell r="A4977" t="str">
            <v>L003 Ankleshwar</v>
          </cell>
          <cell r="B4977">
            <v>669397</v>
          </cell>
          <cell r="C4977" t="str">
            <v>0150-028 DRIVE SHAFT SS</v>
          </cell>
          <cell r="D4977" t="str">
            <v>L0030151                       EnggStore</v>
          </cell>
          <cell r="E4977" t="str">
            <v>E34 E34</v>
          </cell>
          <cell r="F4977" t="str">
            <v>VB Manual reorder point planning</v>
          </cell>
          <cell r="G4977" t="str">
            <v>ERSA Spare parts</v>
          </cell>
          <cell r="H4977" t="str">
            <v>EN032     Pumpspares</v>
          </cell>
          <cell r="I4977" t="str">
            <v>L003 Ankleshwar</v>
          </cell>
          <cell r="J4977" t="str">
            <v>99 Input/Byprodt/Scrap</v>
          </cell>
          <cell r="K4977" t="str">
            <v>10.2012</v>
          </cell>
          <cell r="L4977">
            <v>2</v>
          </cell>
          <cell r="M4977" t="str">
            <v>EA</v>
          </cell>
          <cell r="N4977">
            <v>8438.6499999999905</v>
          </cell>
          <cell r="O4977" t="str">
            <v>INR</v>
          </cell>
        </row>
        <row r="4978">
          <cell r="A4978" t="str">
            <v>L003 Ankleshwar</v>
          </cell>
          <cell r="B4978">
            <v>669398</v>
          </cell>
          <cell r="C4978" t="str">
            <v>BEARING UNIT+SHAFT SEAL PTFE PN:0110-290</v>
          </cell>
          <cell r="D4978" t="str">
            <v>L0030151                       EnggStore</v>
          </cell>
          <cell r="E4978" t="str">
            <v>E34 E34</v>
          </cell>
          <cell r="F4978" t="str">
            <v>VB Manual reorder point planning</v>
          </cell>
          <cell r="G4978" t="str">
            <v>ERSA Spare parts</v>
          </cell>
          <cell r="H4978" t="str">
            <v>EN032     Pumpspares</v>
          </cell>
          <cell r="I4978" t="str">
            <v>L003 Ankleshwar</v>
          </cell>
          <cell r="J4978" t="str">
            <v>99 Input/Byprodt/Scrap</v>
          </cell>
          <cell r="K4978" t="str">
            <v>10.2012</v>
          </cell>
          <cell r="L4978">
            <v>2</v>
          </cell>
          <cell r="M4978" t="str">
            <v>EA</v>
          </cell>
          <cell r="N4978">
            <v>16365.35</v>
          </cell>
          <cell r="O4978" t="str">
            <v>INR</v>
          </cell>
        </row>
        <row r="4979">
          <cell r="A4979" t="str">
            <v>L003 Ankleshwar</v>
          </cell>
          <cell r="B4979">
            <v>669399</v>
          </cell>
          <cell r="C4979" t="str">
            <v>LUTZ GUIDE FOR SHAFT TUBE P.NO. 0343 028</v>
          </cell>
          <cell r="D4979" t="str">
            <v>L0030151                       EnggStore</v>
          </cell>
          <cell r="E4979">
            <v>0</v>
          </cell>
          <cell r="F4979" t="str">
            <v>ND No planning</v>
          </cell>
          <cell r="G4979" t="str">
            <v>ERSA Spare parts</v>
          </cell>
          <cell r="H4979" t="str">
            <v>EN032     Pumpspares</v>
          </cell>
          <cell r="I4979" t="str">
            <v>L003 Ankleshwar</v>
          </cell>
          <cell r="J4979" t="str">
            <v>99 Input/Byprodt/Scrap</v>
          </cell>
          <cell r="K4979" t="str">
            <v>10.2012</v>
          </cell>
          <cell r="L4979">
            <v>1</v>
          </cell>
          <cell r="M4979" t="str">
            <v>EA</v>
          </cell>
          <cell r="N4979">
            <v>316.13999999999902</v>
          </cell>
          <cell r="O4979" t="str">
            <v>INR</v>
          </cell>
        </row>
        <row r="4980">
          <cell r="A4980" t="str">
            <v>L003 Ankleshwar</v>
          </cell>
          <cell r="B4980">
            <v>669415</v>
          </cell>
          <cell r="C4980" t="str">
            <v>HIFAB 1.1/8"SRRUT SEAL RING CAR P.NO.0W</v>
          </cell>
          <cell r="D4980" t="str">
            <v>L0030151                       EnggStore</v>
          </cell>
          <cell r="E4980" t="str">
            <v>E34 E34</v>
          </cell>
          <cell r="F4980" t="str">
            <v>VB Manual reorder point planning</v>
          </cell>
          <cell r="G4980" t="str">
            <v>ERSA Spare parts</v>
          </cell>
          <cell r="H4980" t="str">
            <v>EN038     MechanicalSeals&amp;Spar</v>
          </cell>
          <cell r="I4980" t="str">
            <v>L003 Ankleshwar</v>
          </cell>
          <cell r="J4980" t="str">
            <v>99 Input/Byprodt/Scrap</v>
          </cell>
          <cell r="K4980" t="str">
            <v>10.2012</v>
          </cell>
          <cell r="L4980">
            <v>1</v>
          </cell>
          <cell r="M4980" t="str">
            <v>EA</v>
          </cell>
          <cell r="N4980">
            <v>1938.28</v>
          </cell>
          <cell r="O4980" t="str">
            <v>INR</v>
          </cell>
        </row>
        <row r="4981">
          <cell r="A4981" t="str">
            <v>L003 Ankleshwar</v>
          </cell>
          <cell r="B4981">
            <v>669416</v>
          </cell>
          <cell r="C4981" t="str">
            <v>HIFAB 1.1/8"SRRUT FOLLOWER RING P.NO.0Y</v>
          </cell>
          <cell r="D4981" t="str">
            <v>L0030151                       EnggStore</v>
          </cell>
          <cell r="E4981">
            <v>0</v>
          </cell>
          <cell r="F4981" t="str">
            <v>ND No planning</v>
          </cell>
          <cell r="G4981" t="str">
            <v>ERSA Spare parts</v>
          </cell>
          <cell r="H4981" t="str">
            <v>EN038     MechanicalSeals&amp;Spar</v>
          </cell>
          <cell r="I4981" t="str">
            <v>L003 Ankleshwar</v>
          </cell>
          <cell r="J4981" t="str">
            <v>99 Input/Byprodt/Scrap</v>
          </cell>
          <cell r="K4981" t="str">
            <v>10.2012</v>
          </cell>
          <cell r="L4981">
            <v>2</v>
          </cell>
          <cell r="M4981" t="str">
            <v>EA</v>
          </cell>
          <cell r="N4981">
            <v>1188.5699999999899</v>
          </cell>
          <cell r="O4981" t="str">
            <v>INR</v>
          </cell>
        </row>
        <row r="4982">
          <cell r="A4982" t="str">
            <v>L003 Ankleshwar</v>
          </cell>
          <cell r="B4982">
            <v>669418</v>
          </cell>
          <cell r="C4982" t="str">
            <v>HIFAB 1.1/8"SRRUT SPRING SLEEVE P.NO.1A</v>
          </cell>
          <cell r="D4982" t="str">
            <v>L0030151                       EnggStore</v>
          </cell>
          <cell r="E4982" t="str">
            <v>E34 E34</v>
          </cell>
          <cell r="F4982" t="str">
            <v>VB Manual reorder point planning</v>
          </cell>
          <cell r="G4982" t="str">
            <v>ERSA Spare parts</v>
          </cell>
          <cell r="H4982" t="str">
            <v>EN038     MechanicalSeals&amp;Spar</v>
          </cell>
          <cell r="I4982" t="str">
            <v>L003 Ankleshwar</v>
          </cell>
          <cell r="J4982" t="str">
            <v>99 Input/Byprodt/Scrap</v>
          </cell>
          <cell r="K4982" t="str">
            <v>10.2012</v>
          </cell>
          <cell r="L4982">
            <v>2</v>
          </cell>
          <cell r="M4982" t="str">
            <v>EA</v>
          </cell>
          <cell r="N4982">
            <v>1173.3299999999899</v>
          </cell>
          <cell r="O4982" t="str">
            <v>INR</v>
          </cell>
        </row>
        <row r="4983">
          <cell r="A4983" t="str">
            <v>L003 Ankleshwar</v>
          </cell>
          <cell r="B4983">
            <v>669420</v>
          </cell>
          <cell r="C4983" t="str">
            <v>HIFAB 1.1/8"SRRUT GRUB SCREW P.NO.6Q</v>
          </cell>
          <cell r="D4983" t="str">
            <v>L0030151                       EnggStore</v>
          </cell>
          <cell r="E4983" t="str">
            <v>E34 E34</v>
          </cell>
          <cell r="F4983" t="str">
            <v>VB Manual reorder point planning</v>
          </cell>
          <cell r="G4983" t="str">
            <v>ERSA Spare parts</v>
          </cell>
          <cell r="H4983" t="str">
            <v>EN038     MechanicalSeals&amp;Spar</v>
          </cell>
          <cell r="I4983" t="str">
            <v>L003 Ankleshwar</v>
          </cell>
          <cell r="J4983" t="str">
            <v>99 Input/Byprodt/Scrap</v>
          </cell>
          <cell r="K4983" t="str">
            <v>10.2012</v>
          </cell>
          <cell r="L4983">
            <v>1</v>
          </cell>
          <cell r="M4983" t="str">
            <v>SET</v>
          </cell>
          <cell r="N4983">
            <v>125.76</v>
          </cell>
          <cell r="O4983" t="str">
            <v>INR</v>
          </cell>
        </row>
        <row r="4984">
          <cell r="A4984" t="str">
            <v>L003 Ankleshwar</v>
          </cell>
          <cell r="B4984">
            <v>669427</v>
          </cell>
          <cell r="C4984" t="str">
            <v>BALL VALVE-2PC-SS316-F/T-ASA150-FB-150MM</v>
          </cell>
          <cell r="D4984" t="str">
            <v>L0030151                       EnggStore</v>
          </cell>
          <cell r="E4984">
            <v>0</v>
          </cell>
          <cell r="F4984" t="str">
            <v>ND No planning</v>
          </cell>
          <cell r="G4984" t="str">
            <v>ERSA Spare parts</v>
          </cell>
          <cell r="H4984" t="str">
            <v>EN023     Valves&amp;spares</v>
          </cell>
          <cell r="I4984" t="str">
            <v>L003 Ankleshwar</v>
          </cell>
          <cell r="J4984" t="str">
            <v>99 Input/Byprodt/Scrap</v>
          </cell>
          <cell r="K4984" t="str">
            <v>10.2012</v>
          </cell>
          <cell r="L4984">
            <v>1</v>
          </cell>
          <cell r="M4984" t="str">
            <v>EA</v>
          </cell>
          <cell r="N4984">
            <v>79117.199999999895</v>
          </cell>
          <cell r="O4984" t="str">
            <v>INR</v>
          </cell>
        </row>
        <row r="4985">
          <cell r="A4985" t="str">
            <v>L003 Ankleshwar</v>
          </cell>
          <cell r="B4985">
            <v>669428</v>
          </cell>
          <cell r="C4985" t="str">
            <v>RESISTOR - 250OHMS, TOL;±0.1%</v>
          </cell>
          <cell r="D4985" t="str">
            <v>L0030151                       EnggStore</v>
          </cell>
          <cell r="E4985">
            <v>0</v>
          </cell>
          <cell r="F4985" t="str">
            <v>ND No planning</v>
          </cell>
          <cell r="G4985" t="str">
            <v>ERSA Spare parts</v>
          </cell>
          <cell r="H4985" t="str">
            <v>EN017     InstrumentSpares</v>
          </cell>
          <cell r="I4985" t="str">
            <v>L003 Ankleshwar</v>
          </cell>
          <cell r="J4985" t="str">
            <v>99 Input/Byprodt/Scrap</v>
          </cell>
          <cell r="K4985" t="str">
            <v>10.2012</v>
          </cell>
          <cell r="L4985">
            <v>4</v>
          </cell>
          <cell r="M4985" t="str">
            <v>EA</v>
          </cell>
          <cell r="N4985">
            <v>4203.34</v>
          </cell>
          <cell r="O4985" t="str">
            <v>INR</v>
          </cell>
        </row>
        <row r="4986">
          <cell r="A4986" t="str">
            <v>L003 Ankleshwar</v>
          </cell>
          <cell r="B4986">
            <v>669451</v>
          </cell>
          <cell r="C4986" t="str">
            <v>HIFAB 1.3/8"SRRUT 'U' PACK PTFE P.NO.1B</v>
          </cell>
          <cell r="D4986" t="str">
            <v>L0030151                       EnggStore</v>
          </cell>
          <cell r="E4986" t="str">
            <v>E34 E34</v>
          </cell>
          <cell r="F4986" t="str">
            <v>VB Manual reorder point planning</v>
          </cell>
          <cell r="G4986" t="str">
            <v>ERSA Spare parts</v>
          </cell>
          <cell r="H4986" t="str">
            <v>EN038     MechanicalSeals&amp;Spar</v>
          </cell>
          <cell r="I4986" t="str">
            <v>L003 Ankleshwar</v>
          </cell>
          <cell r="J4986" t="str">
            <v>99 Input/Byprodt/Scrap</v>
          </cell>
          <cell r="K4986" t="str">
            <v>10.2012</v>
          </cell>
          <cell r="L4986">
            <v>15</v>
          </cell>
          <cell r="M4986" t="str">
            <v>EA</v>
          </cell>
          <cell r="N4986">
            <v>1822.8399999999899</v>
          </cell>
          <cell r="O4986" t="str">
            <v>INR</v>
          </cell>
        </row>
        <row r="4987">
          <cell r="A4987" t="str">
            <v>L003 Ankleshwar</v>
          </cell>
          <cell r="B4987">
            <v>669453</v>
          </cell>
          <cell r="C4987" t="str">
            <v>HIFAB 1.3/8"SRRUT SLEEVE P.NO.5F</v>
          </cell>
          <cell r="D4987" t="str">
            <v>L0030151                       EnggStore</v>
          </cell>
          <cell r="E4987" t="str">
            <v>E34 E34</v>
          </cell>
          <cell r="F4987" t="str">
            <v>VB Manual reorder point planning</v>
          </cell>
          <cell r="G4987" t="str">
            <v>ERSA Spare parts</v>
          </cell>
          <cell r="H4987" t="str">
            <v>EN038     MechanicalSeals&amp;Spar</v>
          </cell>
          <cell r="I4987" t="str">
            <v>L003 Ankleshwar</v>
          </cell>
          <cell r="J4987" t="str">
            <v>99 Input/Byprodt/Scrap</v>
          </cell>
          <cell r="K4987" t="str">
            <v>10.2012</v>
          </cell>
          <cell r="L4987">
            <v>10</v>
          </cell>
          <cell r="M4987" t="str">
            <v>EA</v>
          </cell>
          <cell r="N4987">
            <v>15091.69</v>
          </cell>
          <cell r="O4987" t="str">
            <v>INR</v>
          </cell>
        </row>
        <row r="4988">
          <cell r="A4988" t="str">
            <v>L003 Ankleshwar</v>
          </cell>
          <cell r="B4988">
            <v>669455</v>
          </cell>
          <cell r="C4988" t="str">
            <v>HIFAB 1.1/8"SRNUT FOLLOWER RING P.NO.BC</v>
          </cell>
          <cell r="D4988" t="str">
            <v>L0030151                       EnggStore</v>
          </cell>
          <cell r="E4988" t="str">
            <v>E34 E34</v>
          </cell>
          <cell r="F4988" t="str">
            <v>VB Manual reorder point planning</v>
          </cell>
          <cell r="G4988" t="str">
            <v>ERSA Spare parts</v>
          </cell>
          <cell r="H4988" t="str">
            <v>EN038     MechanicalSeals&amp;Spar</v>
          </cell>
          <cell r="I4988" t="str">
            <v>L003 Ankleshwar</v>
          </cell>
          <cell r="J4988" t="str">
            <v>99 Input/Byprodt/Scrap</v>
          </cell>
          <cell r="K4988" t="str">
            <v>10.2012</v>
          </cell>
          <cell r="L4988">
            <v>2</v>
          </cell>
          <cell r="M4988" t="str">
            <v>EA</v>
          </cell>
          <cell r="N4988">
            <v>1206.8499999999899</v>
          </cell>
          <cell r="O4988" t="str">
            <v>INR</v>
          </cell>
        </row>
        <row r="4989">
          <cell r="A4989" t="str">
            <v>L003 Ankleshwar</v>
          </cell>
          <cell r="B4989">
            <v>669456</v>
          </cell>
          <cell r="C4989" t="str">
            <v>HIFAB 1.1/8"SRNUT SPRING P.NO.BE</v>
          </cell>
          <cell r="D4989" t="str">
            <v>L0030151                       EnggStore</v>
          </cell>
          <cell r="E4989">
            <v>0</v>
          </cell>
          <cell r="F4989" t="str">
            <v>ND No planning</v>
          </cell>
          <cell r="G4989" t="str">
            <v>ERSA Spare parts</v>
          </cell>
          <cell r="H4989" t="str">
            <v>EN038     MechanicalSeals&amp;Spar</v>
          </cell>
          <cell r="I4989" t="str">
            <v>L003 Ankleshwar</v>
          </cell>
          <cell r="J4989" t="str">
            <v>99 Input/Byprodt/Scrap</v>
          </cell>
          <cell r="K4989" t="str">
            <v>10.2012</v>
          </cell>
          <cell r="L4989">
            <v>1</v>
          </cell>
          <cell r="M4989" t="str">
            <v>EA</v>
          </cell>
          <cell r="N4989">
            <v>151.52000000000001</v>
          </cell>
          <cell r="O4989" t="str">
            <v>INR</v>
          </cell>
        </row>
        <row r="4990">
          <cell r="A4990" t="str">
            <v>L003 Ankleshwar</v>
          </cell>
          <cell r="B4990">
            <v>669457</v>
          </cell>
          <cell r="C4990" t="str">
            <v>HIFAB 1.1/8"SRNUT SPRING SLEEVE P.NO.BD</v>
          </cell>
          <cell r="D4990" t="str">
            <v>L0030151                       EnggStore</v>
          </cell>
          <cell r="E4990" t="str">
            <v>E34 E34</v>
          </cell>
          <cell r="F4990" t="str">
            <v>VB Manual reorder point planning</v>
          </cell>
          <cell r="G4990" t="str">
            <v>ERSA Spare parts</v>
          </cell>
          <cell r="H4990" t="str">
            <v>EN038     MechanicalSeals&amp;Spar</v>
          </cell>
          <cell r="I4990" t="str">
            <v>L003 Ankleshwar</v>
          </cell>
          <cell r="J4990" t="str">
            <v>99 Input/Byprodt/Scrap</v>
          </cell>
          <cell r="K4990" t="str">
            <v>10.2012</v>
          </cell>
          <cell r="L4990">
            <v>2</v>
          </cell>
          <cell r="M4990" t="str">
            <v>EA</v>
          </cell>
          <cell r="N4990">
            <v>1303.6600000000001</v>
          </cell>
          <cell r="O4990" t="str">
            <v>INR</v>
          </cell>
        </row>
        <row r="4991">
          <cell r="A4991" t="str">
            <v>L003 Ankleshwar</v>
          </cell>
          <cell r="B4991">
            <v>669460</v>
          </cell>
          <cell r="C4991" t="str">
            <v>HIFAB 1.1/8"SRNUT GRUB SCREW P.NO.6Q</v>
          </cell>
          <cell r="D4991" t="str">
            <v>L0030151                       EnggStore</v>
          </cell>
          <cell r="E4991" t="str">
            <v>E34 E34</v>
          </cell>
          <cell r="F4991" t="str">
            <v>VB Manual reorder point planning</v>
          </cell>
          <cell r="G4991" t="str">
            <v>ERSA Spare parts</v>
          </cell>
          <cell r="H4991" t="str">
            <v>EN038     MechanicalSeals&amp;Spar</v>
          </cell>
          <cell r="I4991" t="str">
            <v>L003 Ankleshwar</v>
          </cell>
          <cell r="J4991" t="str">
            <v>99 Input/Byprodt/Scrap</v>
          </cell>
          <cell r="K4991" t="str">
            <v>10.2012</v>
          </cell>
          <cell r="L4991">
            <v>1</v>
          </cell>
          <cell r="M4991" t="str">
            <v>SET</v>
          </cell>
          <cell r="N4991">
            <v>338.94999999999902</v>
          </cell>
          <cell r="O4991" t="str">
            <v>INR</v>
          </cell>
        </row>
        <row r="4992">
          <cell r="A4992" t="str">
            <v>L003 Ankleshwar</v>
          </cell>
          <cell r="B4992">
            <v>669464</v>
          </cell>
          <cell r="C4992" t="str">
            <v>HIFAB 1.1/8"SRNUT SLEEVE P.NO.5F</v>
          </cell>
          <cell r="D4992" t="str">
            <v>L0030151                       EnggStore</v>
          </cell>
          <cell r="E4992" t="str">
            <v>E34 E34</v>
          </cell>
          <cell r="F4992" t="str">
            <v>VB Manual reorder point planning</v>
          </cell>
          <cell r="G4992" t="str">
            <v>ERSA Spare parts</v>
          </cell>
          <cell r="H4992" t="str">
            <v>EN038     MechanicalSeals&amp;Spar</v>
          </cell>
          <cell r="I4992" t="str">
            <v>L003 Ankleshwar</v>
          </cell>
          <cell r="J4992" t="str">
            <v>99 Input/Byprodt/Scrap</v>
          </cell>
          <cell r="K4992" t="str">
            <v>10.2012</v>
          </cell>
          <cell r="L4992">
            <v>1</v>
          </cell>
          <cell r="M4992" t="str">
            <v>EA</v>
          </cell>
          <cell r="N4992">
            <v>1257.6400000000001</v>
          </cell>
          <cell r="O4992" t="str">
            <v>INR</v>
          </cell>
        </row>
        <row r="4993">
          <cell r="A4993" t="str">
            <v>L003 Ankleshwar</v>
          </cell>
          <cell r="B4993">
            <v>669508</v>
          </cell>
          <cell r="C4993" t="str">
            <v>BALL BEARING: 6211 C3</v>
          </cell>
          <cell r="D4993" t="str">
            <v>L0030151                       EnggStore</v>
          </cell>
          <cell r="E4993" t="str">
            <v>E34 E34</v>
          </cell>
          <cell r="F4993" t="str">
            <v>VB Manual reorder point planning</v>
          </cell>
          <cell r="G4993" t="str">
            <v>ERSA Spare parts</v>
          </cell>
          <cell r="H4993" t="str">
            <v>EN009     Bearings</v>
          </cell>
          <cell r="I4993" t="str">
            <v>L003 Ankleshwar</v>
          </cell>
          <cell r="J4993" t="str">
            <v>99 Input/Byprodt/Scrap</v>
          </cell>
          <cell r="K4993" t="str">
            <v>10.2012</v>
          </cell>
          <cell r="L4993">
            <v>2</v>
          </cell>
          <cell r="M4993" t="str">
            <v>EA</v>
          </cell>
          <cell r="N4993">
            <v>666.01999999999896</v>
          </cell>
          <cell r="O4993" t="str">
            <v>INR</v>
          </cell>
        </row>
        <row r="4994">
          <cell r="A4994" t="str">
            <v>L003 Ankleshwar</v>
          </cell>
          <cell r="B4994">
            <v>669524</v>
          </cell>
          <cell r="C4994" t="str">
            <v>BALL BEARING: 6311 C3</v>
          </cell>
          <cell r="D4994" t="str">
            <v>L0030151                       EnggStore</v>
          </cell>
          <cell r="E4994" t="str">
            <v>E34 E34</v>
          </cell>
          <cell r="F4994" t="str">
            <v>VB Manual reorder point planning</v>
          </cell>
          <cell r="G4994" t="str">
            <v>ERSA Spare parts</v>
          </cell>
          <cell r="H4994" t="str">
            <v>EN009     Bearings</v>
          </cell>
          <cell r="I4994" t="str">
            <v>L003 Ankleshwar</v>
          </cell>
          <cell r="J4994" t="str">
            <v>99 Input/Byprodt/Scrap</v>
          </cell>
          <cell r="K4994" t="str">
            <v>10.2012</v>
          </cell>
          <cell r="L4994">
            <v>2</v>
          </cell>
          <cell r="M4994" t="str">
            <v>EA</v>
          </cell>
          <cell r="N4994">
            <v>1410.8599999999899</v>
          </cell>
          <cell r="O4994" t="str">
            <v>INR</v>
          </cell>
        </row>
        <row r="4995">
          <cell r="A4995" t="str">
            <v>L003 Ankleshwar</v>
          </cell>
          <cell r="B4995">
            <v>669543</v>
          </cell>
          <cell r="C4995" t="str">
            <v>SERVOMOTOR SQM45.291A9 3NM</v>
          </cell>
          <cell r="D4995" t="str">
            <v>L0030151                       EnggStore</v>
          </cell>
          <cell r="E4995">
            <v>0</v>
          </cell>
          <cell r="F4995" t="str">
            <v>ND No planning</v>
          </cell>
          <cell r="G4995" t="str">
            <v>ERSA Spare parts</v>
          </cell>
          <cell r="H4995" t="str">
            <v>EN017     InstrumentSpares</v>
          </cell>
          <cell r="I4995" t="str">
            <v>L003 Ankleshwar</v>
          </cell>
          <cell r="J4995" t="str">
            <v>99 Input/Byprodt/Scrap</v>
          </cell>
          <cell r="K4995" t="str">
            <v>10.2012</v>
          </cell>
          <cell r="L4995">
            <v>1</v>
          </cell>
          <cell r="M4995" t="str">
            <v>EA</v>
          </cell>
          <cell r="N4995">
            <v>23496.93</v>
          </cell>
          <cell r="O4995" t="str">
            <v>INR</v>
          </cell>
        </row>
        <row r="4996">
          <cell r="A4996" t="str">
            <v>L003 Ankleshwar</v>
          </cell>
          <cell r="B4996">
            <v>669547</v>
          </cell>
          <cell r="C4996" t="str">
            <v>IGN. CABLE 1250 MM LONG SILICONE BLACK</v>
          </cell>
          <cell r="D4996" t="str">
            <v>L0030151                       EnggStore</v>
          </cell>
          <cell r="E4996">
            <v>0</v>
          </cell>
          <cell r="F4996" t="str">
            <v>ND No planning</v>
          </cell>
          <cell r="G4996" t="str">
            <v>ERSA Spare parts</v>
          </cell>
          <cell r="H4996" t="str">
            <v>EN018     UtilityEquipmentSpar</v>
          </cell>
          <cell r="I4996" t="str">
            <v>L003 Ankleshwar</v>
          </cell>
          <cell r="J4996" t="str">
            <v>99 Input/Byprodt/Scrap</v>
          </cell>
          <cell r="K4996" t="str">
            <v>10.2012</v>
          </cell>
          <cell r="L4996">
            <v>2</v>
          </cell>
          <cell r="M4996" t="str">
            <v>EA</v>
          </cell>
          <cell r="N4996">
            <v>1688.88</v>
          </cell>
          <cell r="O4996" t="str">
            <v>INR</v>
          </cell>
        </row>
        <row r="4997">
          <cell r="A4997" t="str">
            <v>L003 Ankleshwar</v>
          </cell>
          <cell r="B4997">
            <v>669573</v>
          </cell>
          <cell r="C4997" t="str">
            <v>IMPELLER -P.No.230 : PUMP MEGA G-50/160</v>
          </cell>
          <cell r="D4997" t="str">
            <v>L0030151                       EnggStore</v>
          </cell>
          <cell r="E4997">
            <v>0</v>
          </cell>
          <cell r="F4997" t="str">
            <v>ND No planning</v>
          </cell>
          <cell r="G4997" t="str">
            <v>ERSA Spare parts</v>
          </cell>
          <cell r="H4997" t="str">
            <v>EN032     Pumpspares</v>
          </cell>
          <cell r="I4997" t="str">
            <v>L003 Ankleshwar</v>
          </cell>
          <cell r="J4997" t="str">
            <v>99 Input/Byprodt/Scrap</v>
          </cell>
          <cell r="K4997" t="str">
            <v>10.2012</v>
          </cell>
          <cell r="L4997">
            <v>1</v>
          </cell>
          <cell r="M4997" t="str">
            <v>EA</v>
          </cell>
          <cell r="N4997">
            <v>2103.75</v>
          </cell>
          <cell r="O4997" t="str">
            <v>INR</v>
          </cell>
        </row>
        <row r="4998">
          <cell r="A4998" t="str">
            <v>L003 Ankleshwar</v>
          </cell>
          <cell r="B4998">
            <v>669574</v>
          </cell>
          <cell r="C4998" t="str">
            <v>CI IMPELLER : KSB MEGA-G40/160</v>
          </cell>
          <cell r="D4998" t="str">
            <v>L0030151                       EnggStore</v>
          </cell>
          <cell r="E4998">
            <v>0</v>
          </cell>
          <cell r="F4998" t="str">
            <v>ND No planning</v>
          </cell>
          <cell r="G4998" t="str">
            <v>ERSA Spare parts</v>
          </cell>
          <cell r="H4998" t="str">
            <v>EN032     Pumpspares</v>
          </cell>
          <cell r="I4998" t="str">
            <v>L003 Ankleshwar</v>
          </cell>
          <cell r="J4998" t="str">
            <v>99 Input/Byprodt/Scrap</v>
          </cell>
          <cell r="K4998" t="str">
            <v>10.2012</v>
          </cell>
          <cell r="L4998">
            <v>1</v>
          </cell>
          <cell r="M4998" t="str">
            <v>EA</v>
          </cell>
          <cell r="N4998">
            <v>2062.5</v>
          </cell>
          <cell r="O4998" t="str">
            <v>INR</v>
          </cell>
        </row>
        <row r="4999">
          <cell r="A4999" t="str">
            <v>L003 Ankleshwar</v>
          </cell>
          <cell r="B4999">
            <v>669656</v>
          </cell>
          <cell r="C4999" t="str">
            <v>O-RING-PTFE,PN-6V:SEAL SRNUT-0285</v>
          </cell>
          <cell r="D4999" t="str">
            <v>L0030151                       EnggStore</v>
          </cell>
          <cell r="E4999">
            <v>0</v>
          </cell>
          <cell r="F4999" t="str">
            <v>ND No planning</v>
          </cell>
          <cell r="G4999" t="str">
            <v>ERSA Spare parts</v>
          </cell>
          <cell r="H4999" t="str">
            <v>EN038     MechanicalSeals&amp;Spar</v>
          </cell>
          <cell r="I4999" t="str">
            <v>L003 Ankleshwar</v>
          </cell>
          <cell r="J4999" t="str">
            <v>99 Input/Byprodt/Scrap</v>
          </cell>
          <cell r="K4999" t="str">
            <v>10.2012</v>
          </cell>
          <cell r="L4999">
            <v>1</v>
          </cell>
          <cell r="M4999" t="str">
            <v>EA</v>
          </cell>
          <cell r="N4999">
            <v>109.77</v>
          </cell>
          <cell r="O4999" t="str">
            <v>INR</v>
          </cell>
        </row>
        <row r="5000">
          <cell r="A5000" t="str">
            <v>L003 Ankleshwar</v>
          </cell>
          <cell r="B5000">
            <v>669657</v>
          </cell>
          <cell r="C5000" t="str">
            <v>GASKET-PTFE,PN-5K:SEAL SRNUT-0285</v>
          </cell>
          <cell r="D5000" t="str">
            <v>L0030151                       EnggStore</v>
          </cell>
          <cell r="E5000">
            <v>0</v>
          </cell>
          <cell r="F5000" t="str">
            <v>ND No planning</v>
          </cell>
          <cell r="G5000" t="str">
            <v>ERSA Spare parts</v>
          </cell>
          <cell r="H5000" t="str">
            <v>EN038     MechanicalSeals&amp;Spar</v>
          </cell>
          <cell r="I5000" t="str">
            <v>L003 Ankleshwar</v>
          </cell>
          <cell r="J5000" t="str">
            <v>99 Input/Byprodt/Scrap</v>
          </cell>
          <cell r="K5000" t="str">
            <v>10.2012</v>
          </cell>
          <cell r="L5000">
            <v>1</v>
          </cell>
          <cell r="M5000" t="str">
            <v>EA</v>
          </cell>
          <cell r="N5000">
            <v>185.789999999999</v>
          </cell>
          <cell r="O5000" t="str">
            <v>INR</v>
          </cell>
        </row>
        <row r="5001">
          <cell r="A5001" t="str">
            <v>L003 Ankleshwar</v>
          </cell>
          <cell r="B5001">
            <v>669658</v>
          </cell>
          <cell r="C5001" t="str">
            <v>SLEEVE-SS316,PN-5F:SEAL SRNUT-0285</v>
          </cell>
          <cell r="D5001" t="str">
            <v>L0030151                       EnggStore</v>
          </cell>
          <cell r="E5001" t="str">
            <v>E34 E34</v>
          </cell>
          <cell r="F5001" t="str">
            <v>VB Manual reorder point planning</v>
          </cell>
          <cell r="G5001" t="str">
            <v>ERSA Spare parts</v>
          </cell>
          <cell r="H5001" t="str">
            <v>EN038     MechanicalSeals&amp;Spar</v>
          </cell>
          <cell r="I5001" t="str">
            <v>L003 Ankleshwar</v>
          </cell>
          <cell r="J5001" t="str">
            <v>99 Input/Byprodt/Scrap</v>
          </cell>
          <cell r="K5001" t="str">
            <v>10.2012</v>
          </cell>
          <cell r="L5001">
            <v>1</v>
          </cell>
          <cell r="M5001" t="str">
            <v>EA</v>
          </cell>
          <cell r="N5001">
            <v>1257.6400000000001</v>
          </cell>
          <cell r="O5001" t="str">
            <v>INR</v>
          </cell>
        </row>
        <row r="5002">
          <cell r="A5002" t="str">
            <v>L003 Ankleshwar</v>
          </cell>
          <cell r="B5002">
            <v>669714</v>
          </cell>
          <cell r="C5002" t="str">
            <v>SCREW DRIVER (936) 12" MAKE: TAPARIA</v>
          </cell>
          <cell r="D5002" t="str">
            <v>L0030151                       EnggStore</v>
          </cell>
          <cell r="E5002">
            <v>0</v>
          </cell>
          <cell r="F5002" t="str">
            <v>ND No planning</v>
          </cell>
          <cell r="G5002" t="str">
            <v>ERSA Spare parts</v>
          </cell>
          <cell r="H5002" t="str">
            <v>EN036     Tools&amp;tackles</v>
          </cell>
          <cell r="I5002" t="str">
            <v>L003 Ankleshwar</v>
          </cell>
          <cell r="J5002" t="str">
            <v>99 Input/Byprodt/Scrap</v>
          </cell>
          <cell r="K5002" t="str">
            <v>10.2012</v>
          </cell>
          <cell r="L5002">
            <v>4</v>
          </cell>
          <cell r="M5002" t="str">
            <v>EA</v>
          </cell>
          <cell r="N5002">
            <v>135.849999999999</v>
          </cell>
          <cell r="O5002" t="str">
            <v>INR</v>
          </cell>
        </row>
        <row r="5003">
          <cell r="A5003" t="str">
            <v>L003 Ankleshwar</v>
          </cell>
          <cell r="B5003">
            <v>669719</v>
          </cell>
          <cell r="C5003" t="str">
            <v>MECH SEAL-TYPE SLUD-0349,FACE: CAR/CER</v>
          </cell>
          <cell r="D5003" t="str">
            <v>L0030151                       EnggStore</v>
          </cell>
          <cell r="E5003">
            <v>0</v>
          </cell>
          <cell r="F5003" t="str">
            <v>ND No planning</v>
          </cell>
          <cell r="G5003" t="str">
            <v>ERSA Spare parts</v>
          </cell>
          <cell r="H5003" t="str">
            <v>EN038     MechanicalSeals&amp;Spar</v>
          </cell>
          <cell r="I5003" t="str">
            <v>L003 Ankleshwar</v>
          </cell>
          <cell r="J5003" t="str">
            <v>99 Input/Byprodt/Scrap</v>
          </cell>
          <cell r="K5003" t="str">
            <v>10.2012</v>
          </cell>
          <cell r="L5003">
            <v>1</v>
          </cell>
          <cell r="M5003" t="str">
            <v>EA</v>
          </cell>
          <cell r="N5003">
            <v>8313.3799999999901</v>
          </cell>
          <cell r="O5003" t="str">
            <v>INR</v>
          </cell>
        </row>
        <row r="5004">
          <cell r="A5004" t="str">
            <v>L003 Ankleshwar</v>
          </cell>
          <cell r="B5004">
            <v>669728</v>
          </cell>
          <cell r="C5004" t="str">
            <v>HASTELLOY C NUT : 1/2"</v>
          </cell>
          <cell r="D5004" t="str">
            <v>L0030151                       EnggStore</v>
          </cell>
          <cell r="E5004">
            <v>0</v>
          </cell>
          <cell r="F5004" t="str">
            <v>ND No planning</v>
          </cell>
          <cell r="G5004" t="str">
            <v>ERSA Spare parts</v>
          </cell>
          <cell r="H5004" t="str">
            <v>EN022     Hardwareitems</v>
          </cell>
          <cell r="I5004" t="str">
            <v>L003 Ankleshwar</v>
          </cell>
          <cell r="J5004" t="str">
            <v>99 Input/Byprodt/Scrap</v>
          </cell>
          <cell r="K5004" t="str">
            <v>10.2012</v>
          </cell>
          <cell r="L5004">
            <v>26</v>
          </cell>
          <cell r="M5004" t="str">
            <v>EA</v>
          </cell>
          <cell r="N5004">
            <v>2227.6799999999898</v>
          </cell>
          <cell r="O5004" t="str">
            <v>INR</v>
          </cell>
        </row>
        <row r="5005">
          <cell r="A5005" t="str">
            <v>L003 Ankleshwar</v>
          </cell>
          <cell r="B5005">
            <v>669745</v>
          </cell>
          <cell r="C5005" t="str">
            <v>COOLING FAN: 24VD.C., 90MM*90MM</v>
          </cell>
          <cell r="D5005" t="str">
            <v>L0030151                       EnggStore</v>
          </cell>
          <cell r="E5005" t="str">
            <v>E37 E37</v>
          </cell>
          <cell r="F5005" t="str">
            <v>VB Manual reorder point planning</v>
          </cell>
          <cell r="G5005" t="str">
            <v>ERSA Spare parts</v>
          </cell>
          <cell r="H5005" t="str">
            <v>EN017     InstrumentSpares</v>
          </cell>
          <cell r="I5005" t="str">
            <v>L003 Ankleshwar</v>
          </cell>
          <cell r="J5005" t="str">
            <v>99 Input/Byprodt/Scrap</v>
          </cell>
          <cell r="K5005" t="str">
            <v>10.2012</v>
          </cell>
          <cell r="L5005">
            <v>4</v>
          </cell>
          <cell r="M5005" t="str">
            <v>EA</v>
          </cell>
          <cell r="N5005">
            <v>1273</v>
          </cell>
          <cell r="O5005" t="str">
            <v>INR</v>
          </cell>
        </row>
        <row r="5006">
          <cell r="A5006" t="str">
            <v>L003 Ankleshwar</v>
          </cell>
          <cell r="B5006">
            <v>669746</v>
          </cell>
          <cell r="C5006" t="str">
            <v>PRESSURE TRANSMITTER, R: 0 TO 4 BAR</v>
          </cell>
          <cell r="D5006" t="str">
            <v>L0030151                       EnggStore</v>
          </cell>
          <cell r="E5006">
            <v>0</v>
          </cell>
          <cell r="F5006" t="str">
            <v>ND No planning</v>
          </cell>
          <cell r="G5006" t="str">
            <v>ERSA Spare parts</v>
          </cell>
          <cell r="H5006" t="str">
            <v>EN017     InstrumentSpares</v>
          </cell>
          <cell r="I5006" t="str">
            <v>L003 Ankleshwar</v>
          </cell>
          <cell r="J5006" t="str">
            <v>99 Input/Byprodt/Scrap</v>
          </cell>
          <cell r="K5006" t="str">
            <v>10.2012</v>
          </cell>
          <cell r="L5006">
            <v>1</v>
          </cell>
          <cell r="M5006" t="str">
            <v>EA</v>
          </cell>
          <cell r="N5006">
            <v>2800</v>
          </cell>
          <cell r="O5006" t="str">
            <v>INR</v>
          </cell>
        </row>
        <row r="5007">
          <cell r="A5007" t="str">
            <v>L003 Ankleshwar</v>
          </cell>
          <cell r="B5007">
            <v>669761</v>
          </cell>
          <cell r="C5007" t="str">
            <v>ELECT JOINT COMPOUND ANTI CORROSION</v>
          </cell>
          <cell r="D5007" t="str">
            <v>L0030151                       EnggStore</v>
          </cell>
          <cell r="E5007">
            <v>0</v>
          </cell>
          <cell r="F5007" t="str">
            <v>ND No planning</v>
          </cell>
          <cell r="G5007" t="str">
            <v>ERSA Spare parts</v>
          </cell>
          <cell r="H5007" t="str">
            <v>EN024     EnggConsumables</v>
          </cell>
          <cell r="I5007" t="str">
            <v>L003 Ankleshwar</v>
          </cell>
          <cell r="J5007" t="str">
            <v>99 Input/Byprodt/Scrap</v>
          </cell>
          <cell r="K5007" t="str">
            <v>10.2012</v>
          </cell>
          <cell r="L5007">
            <v>5</v>
          </cell>
          <cell r="M5007" t="str">
            <v>EA</v>
          </cell>
          <cell r="N5007">
            <v>337.5</v>
          </cell>
          <cell r="O5007" t="str">
            <v>INR</v>
          </cell>
        </row>
        <row r="5008">
          <cell r="A5008" t="str">
            <v>L003 Ankleshwar</v>
          </cell>
          <cell r="B5008">
            <v>669793</v>
          </cell>
          <cell r="C5008" t="str">
            <v>BALL BEARING,6200ZZ,SKF</v>
          </cell>
          <cell r="D5008" t="str">
            <v>L0030151                       EnggStore</v>
          </cell>
          <cell r="E5008">
            <v>0</v>
          </cell>
          <cell r="F5008" t="str">
            <v>ND No planning</v>
          </cell>
          <cell r="G5008" t="str">
            <v>ERSA Spare parts</v>
          </cell>
          <cell r="H5008" t="str">
            <v>EN009     Bearings</v>
          </cell>
          <cell r="I5008" t="str">
            <v>L003 Ankleshwar</v>
          </cell>
          <cell r="J5008" t="str">
            <v>99 Input/Byprodt/Scrap</v>
          </cell>
          <cell r="K5008" t="str">
            <v>10.2012</v>
          </cell>
          <cell r="L5008">
            <v>1</v>
          </cell>
          <cell r="M5008" t="str">
            <v>EA</v>
          </cell>
          <cell r="N5008">
            <v>59.32</v>
          </cell>
          <cell r="O5008" t="str">
            <v>INR</v>
          </cell>
        </row>
        <row r="5009">
          <cell r="A5009" t="str">
            <v>L003 Ankleshwar</v>
          </cell>
          <cell r="B5009">
            <v>669815</v>
          </cell>
          <cell r="C5009" t="str">
            <v>SUCTION VALVE CP COMPRESSOR 1HX 1T - 21</v>
          </cell>
          <cell r="D5009" t="str">
            <v>L0030151                       EnggStore</v>
          </cell>
          <cell r="E5009">
            <v>0</v>
          </cell>
          <cell r="F5009" t="str">
            <v>ND No planning</v>
          </cell>
          <cell r="G5009" t="str">
            <v>ERSA Spare parts</v>
          </cell>
          <cell r="H5009" t="str">
            <v>EN018     UtilityEquipmentSpar</v>
          </cell>
          <cell r="I5009" t="str">
            <v>L003 Ankleshwar</v>
          </cell>
          <cell r="J5009" t="str">
            <v>99 Input/Byprodt/Scrap</v>
          </cell>
          <cell r="K5009" t="str">
            <v>10.2012</v>
          </cell>
          <cell r="L5009">
            <v>1</v>
          </cell>
          <cell r="M5009" t="str">
            <v>EA</v>
          </cell>
          <cell r="N5009">
            <v>2928.86</v>
          </cell>
          <cell r="O5009" t="str">
            <v>INR</v>
          </cell>
        </row>
        <row r="5010">
          <cell r="A5010" t="str">
            <v>L003 Ankleshwar</v>
          </cell>
          <cell r="B5010">
            <v>669825</v>
          </cell>
          <cell r="C5010" t="str">
            <v>PROXIMITY SWITCH - NO CONTACT</v>
          </cell>
          <cell r="D5010" t="str">
            <v>L0030151                       EnggStore</v>
          </cell>
          <cell r="E5010">
            <v>0</v>
          </cell>
          <cell r="F5010" t="str">
            <v>ND No planning</v>
          </cell>
          <cell r="G5010" t="str">
            <v>ERSA Spare parts</v>
          </cell>
          <cell r="H5010" t="str">
            <v>EN017     InstrumentSpares</v>
          </cell>
          <cell r="I5010" t="str">
            <v>L003 Ankleshwar</v>
          </cell>
          <cell r="J5010" t="str">
            <v>99 Input/Byprodt/Scrap</v>
          </cell>
          <cell r="K5010" t="str">
            <v>10.2012</v>
          </cell>
          <cell r="L5010">
            <v>1</v>
          </cell>
          <cell r="M5010" t="str">
            <v>EA</v>
          </cell>
          <cell r="N5010">
            <v>1950</v>
          </cell>
          <cell r="O5010" t="str">
            <v>INR</v>
          </cell>
        </row>
        <row r="5011">
          <cell r="A5011" t="str">
            <v>L003 Ankleshwar</v>
          </cell>
          <cell r="B5011">
            <v>669827</v>
          </cell>
          <cell r="C5011" t="str">
            <v>RTD TEST KIT</v>
          </cell>
          <cell r="D5011" t="str">
            <v>L0030151                       EnggStore</v>
          </cell>
          <cell r="E5011" t="str">
            <v>E37 E37</v>
          </cell>
          <cell r="F5011" t="str">
            <v>VB Manual reorder point planning</v>
          </cell>
          <cell r="G5011" t="str">
            <v>ERSA Spare parts</v>
          </cell>
          <cell r="H5011" t="str">
            <v>EN017     InstrumentSpares</v>
          </cell>
          <cell r="I5011" t="str">
            <v>L003 Ankleshwar</v>
          </cell>
          <cell r="J5011" t="str">
            <v>99 Input/Byprodt/Scrap</v>
          </cell>
          <cell r="K5011" t="str">
            <v>10.2012</v>
          </cell>
          <cell r="L5011">
            <v>1</v>
          </cell>
          <cell r="M5011" t="str">
            <v>EA</v>
          </cell>
          <cell r="N5011">
            <v>2800</v>
          </cell>
          <cell r="O5011" t="str">
            <v>INR</v>
          </cell>
        </row>
        <row r="5012">
          <cell r="A5012" t="str">
            <v>L003 Ankleshwar</v>
          </cell>
          <cell r="B5012">
            <v>669851</v>
          </cell>
          <cell r="C5012" t="str">
            <v>PID CONTROLLER , TYPE FLAMEPROOF</v>
          </cell>
          <cell r="D5012" t="str">
            <v>L0030151                       EnggStore</v>
          </cell>
          <cell r="E5012">
            <v>0</v>
          </cell>
          <cell r="F5012" t="str">
            <v>ND No planning</v>
          </cell>
          <cell r="G5012" t="str">
            <v>ERSA Spare parts</v>
          </cell>
          <cell r="H5012" t="str">
            <v>EN017     InstrumentSpares</v>
          </cell>
          <cell r="I5012" t="str">
            <v>L003 Ankleshwar</v>
          </cell>
          <cell r="J5012" t="str">
            <v>99 Input/Byprodt/Scrap</v>
          </cell>
          <cell r="K5012" t="str">
            <v>10.2012</v>
          </cell>
          <cell r="L5012">
            <v>1</v>
          </cell>
          <cell r="M5012" t="str">
            <v>EA</v>
          </cell>
          <cell r="N5012">
            <v>5760</v>
          </cell>
          <cell r="O5012" t="str">
            <v>INR</v>
          </cell>
        </row>
        <row r="5013">
          <cell r="A5013" t="str">
            <v>L003 Ankleshwar</v>
          </cell>
          <cell r="B5013">
            <v>670015</v>
          </cell>
          <cell r="C5013" t="str">
            <v>NEOPRENE'O'RING 64*70*3 MM</v>
          </cell>
          <cell r="D5013" t="str">
            <v>L0030151                       EnggStore</v>
          </cell>
          <cell r="E5013" t="str">
            <v>E34 E34</v>
          </cell>
          <cell r="F5013" t="str">
            <v>VB Manual reorder point planning</v>
          </cell>
          <cell r="G5013" t="str">
            <v>ERSA Spare parts</v>
          </cell>
          <cell r="H5013" t="str">
            <v>EN020     RubberItems&amp;Oil Seal</v>
          </cell>
          <cell r="I5013" t="str">
            <v>L003 Ankleshwar</v>
          </cell>
          <cell r="J5013" t="str">
            <v>99 Input/Byprodt/Scrap</v>
          </cell>
          <cell r="K5013" t="str">
            <v>10.2012</v>
          </cell>
          <cell r="L5013">
            <v>20</v>
          </cell>
          <cell r="M5013" t="str">
            <v>NO</v>
          </cell>
          <cell r="N5013">
            <v>160</v>
          </cell>
          <cell r="O5013" t="str">
            <v>INR</v>
          </cell>
        </row>
        <row r="5014">
          <cell r="A5014" t="str">
            <v>L003 Ankleshwar</v>
          </cell>
          <cell r="B5014">
            <v>670061</v>
          </cell>
          <cell r="C5014" t="str">
            <v>IMPELLER CI PUMP MODEL 10UPH2 KIRLOSKAR</v>
          </cell>
          <cell r="D5014" t="str">
            <v>L0030151                       EnggStore</v>
          </cell>
          <cell r="E5014" t="str">
            <v>E32 E32</v>
          </cell>
          <cell r="F5014" t="str">
            <v>VB Manual reorder point planning</v>
          </cell>
          <cell r="G5014" t="str">
            <v>ERSA Spare parts</v>
          </cell>
          <cell r="H5014" t="str">
            <v>EN032     Pumpspares</v>
          </cell>
          <cell r="I5014" t="str">
            <v>L003 Ankleshwar</v>
          </cell>
          <cell r="J5014" t="str">
            <v>99 Input/Byprodt/Scrap</v>
          </cell>
          <cell r="K5014" t="str">
            <v>10.2012</v>
          </cell>
          <cell r="L5014">
            <v>1</v>
          </cell>
          <cell r="M5014" t="str">
            <v>EA</v>
          </cell>
          <cell r="N5014">
            <v>23595.15</v>
          </cell>
          <cell r="O5014" t="str">
            <v>INR</v>
          </cell>
        </row>
        <row r="5015">
          <cell r="A5015" t="str">
            <v>L003 Ankleshwar</v>
          </cell>
          <cell r="B5015">
            <v>670064</v>
          </cell>
          <cell r="C5015" t="str">
            <v>RTD,PT100,FLP,DUPLEX,2200MM,OD6MM,CL-A</v>
          </cell>
          <cell r="D5015" t="str">
            <v>L0030151                       EnggStore</v>
          </cell>
          <cell r="E5015" t="str">
            <v>E37 E37</v>
          </cell>
          <cell r="F5015" t="str">
            <v>VB Manual reorder point planning</v>
          </cell>
          <cell r="G5015" t="str">
            <v>ERSA Spare parts</v>
          </cell>
          <cell r="H5015" t="str">
            <v>EN017     InstrumentSpares</v>
          </cell>
          <cell r="I5015" t="str">
            <v>L003 Ankleshwar</v>
          </cell>
          <cell r="J5015" t="str">
            <v>99 Input/Byprodt/Scrap</v>
          </cell>
          <cell r="K5015" t="str">
            <v>10.2012</v>
          </cell>
          <cell r="L5015">
            <v>2</v>
          </cell>
          <cell r="M5015" t="str">
            <v>EA</v>
          </cell>
          <cell r="N5015">
            <v>4018.8</v>
          </cell>
          <cell r="O5015" t="str">
            <v>INR</v>
          </cell>
        </row>
        <row r="5016">
          <cell r="A5016" t="str">
            <v>L003 Ankleshwar</v>
          </cell>
          <cell r="B5016">
            <v>670067</v>
          </cell>
          <cell r="C5016" t="str">
            <v>RTD PT-100,FLP,DUPLEX,3W,6MMX2000MM C-B</v>
          </cell>
          <cell r="D5016" t="str">
            <v>L0030151                       EnggStore</v>
          </cell>
          <cell r="E5016" t="str">
            <v>E37 E37</v>
          </cell>
          <cell r="F5016" t="str">
            <v>VB Manual reorder point planning</v>
          </cell>
          <cell r="G5016" t="str">
            <v>ERSA Spare parts</v>
          </cell>
          <cell r="H5016" t="str">
            <v>EN017     InstrumentSpares</v>
          </cell>
          <cell r="I5016" t="str">
            <v>L003 Ankleshwar</v>
          </cell>
          <cell r="J5016" t="str">
            <v>99 Input/Byprodt/Scrap</v>
          </cell>
          <cell r="K5016" t="str">
            <v>10.2012</v>
          </cell>
          <cell r="L5016">
            <v>2</v>
          </cell>
          <cell r="M5016" t="str">
            <v>EA</v>
          </cell>
          <cell r="N5016">
            <v>3723</v>
          </cell>
          <cell r="O5016" t="str">
            <v>INR</v>
          </cell>
        </row>
        <row r="5017">
          <cell r="A5017" t="str">
            <v>L003 Ankleshwar</v>
          </cell>
          <cell r="B5017">
            <v>670726</v>
          </cell>
          <cell r="C5017" t="str">
            <v>THERMOCOUPLE K TYPE</v>
          </cell>
          <cell r="D5017" t="str">
            <v>L0030151                       EnggStore</v>
          </cell>
          <cell r="E5017">
            <v>0</v>
          </cell>
          <cell r="F5017" t="str">
            <v>ND No planning</v>
          </cell>
          <cell r="G5017" t="str">
            <v>ERSA Spare parts</v>
          </cell>
          <cell r="H5017" t="str">
            <v>EN017     InstrumentSpares</v>
          </cell>
          <cell r="I5017" t="str">
            <v>L003 Ankleshwar</v>
          </cell>
          <cell r="J5017" t="str">
            <v>99 Input/Byprodt/Scrap</v>
          </cell>
          <cell r="K5017" t="str">
            <v>10.2012</v>
          </cell>
          <cell r="L5017">
            <v>1</v>
          </cell>
          <cell r="M5017" t="str">
            <v>EA</v>
          </cell>
          <cell r="N5017">
            <v>2692.8</v>
          </cell>
          <cell r="O5017" t="str">
            <v>INR</v>
          </cell>
        </row>
        <row r="5018">
          <cell r="A5018" t="str">
            <v>L003 Ankleshwar</v>
          </cell>
          <cell r="B5018">
            <v>670847</v>
          </cell>
          <cell r="C5018" t="str">
            <v>ELECTRONIC BALLAST: 4X18W- T8 TUBE LIGHT</v>
          </cell>
          <cell r="D5018" t="str">
            <v>L0030151                       EnggStore</v>
          </cell>
          <cell r="E5018" t="str">
            <v>E36 E36</v>
          </cell>
          <cell r="F5018" t="str">
            <v>VB Manual reorder point planning</v>
          </cell>
          <cell r="G5018" t="str">
            <v>ERSA Spare parts</v>
          </cell>
          <cell r="H5018" t="str">
            <v>EN005     Elec Lighting</v>
          </cell>
          <cell r="I5018" t="str">
            <v>L003 Ankleshwar</v>
          </cell>
          <cell r="J5018" t="str">
            <v>99 Input/Byprodt/Scrap</v>
          </cell>
          <cell r="K5018" t="str">
            <v>10.2012</v>
          </cell>
          <cell r="L5018">
            <v>2</v>
          </cell>
          <cell r="M5018" t="str">
            <v>EA</v>
          </cell>
          <cell r="N5018">
            <v>1208</v>
          </cell>
          <cell r="O5018" t="str">
            <v>INR</v>
          </cell>
        </row>
        <row r="5019">
          <cell r="A5019" t="str">
            <v>L003 Ankleshwar</v>
          </cell>
          <cell r="B5019">
            <v>670848</v>
          </cell>
          <cell r="C5019" t="str">
            <v>ELECTRONIC BALLAST: 2X36W- T8 TUBE LIGHT</v>
          </cell>
          <cell r="D5019" t="str">
            <v>L0030151                       EnggStore</v>
          </cell>
          <cell r="E5019" t="str">
            <v>E36 E36</v>
          </cell>
          <cell r="F5019" t="str">
            <v>VB Manual reorder point planning</v>
          </cell>
          <cell r="G5019" t="str">
            <v>ERSA Spare parts</v>
          </cell>
          <cell r="H5019" t="str">
            <v>EN005     Elec Lighting</v>
          </cell>
          <cell r="I5019" t="str">
            <v>L003 Ankleshwar</v>
          </cell>
          <cell r="J5019" t="str">
            <v>99 Input/Byprodt/Scrap</v>
          </cell>
          <cell r="K5019" t="str">
            <v>10.2012</v>
          </cell>
          <cell r="L5019">
            <v>4</v>
          </cell>
          <cell r="M5019" t="str">
            <v>EA</v>
          </cell>
          <cell r="N5019">
            <v>1840</v>
          </cell>
          <cell r="O5019" t="str">
            <v>INR</v>
          </cell>
        </row>
        <row r="5020">
          <cell r="A5020" t="str">
            <v>L003 Ankleshwar</v>
          </cell>
          <cell r="B5020">
            <v>670850</v>
          </cell>
          <cell r="C5020" t="str">
            <v>ELECTRONIC BALLAST: 1X18W- CF LAMP</v>
          </cell>
          <cell r="D5020" t="str">
            <v>L0030151                       EnggStore</v>
          </cell>
          <cell r="E5020" t="str">
            <v>E36 E36</v>
          </cell>
          <cell r="F5020" t="str">
            <v>VB Manual reorder point planning</v>
          </cell>
          <cell r="G5020" t="str">
            <v>ERSA Spare parts</v>
          </cell>
          <cell r="H5020" t="str">
            <v>EN005     Elec Lighting</v>
          </cell>
          <cell r="I5020" t="str">
            <v>L003 Ankleshwar</v>
          </cell>
          <cell r="J5020" t="str">
            <v>99 Input/Byprodt/Scrap</v>
          </cell>
          <cell r="K5020" t="str">
            <v>10.2012</v>
          </cell>
          <cell r="L5020">
            <v>7</v>
          </cell>
          <cell r="M5020" t="str">
            <v>EA</v>
          </cell>
          <cell r="N5020">
            <v>864.5</v>
          </cell>
          <cell r="O5020" t="str">
            <v>INR</v>
          </cell>
        </row>
        <row r="5021">
          <cell r="A5021" t="str">
            <v>L003 Ankleshwar</v>
          </cell>
          <cell r="B5021">
            <v>670894</v>
          </cell>
          <cell r="C5021" t="str">
            <v>RESISTANCE TO CURRENT CONVERTER</v>
          </cell>
          <cell r="D5021" t="str">
            <v>L0030151                       EnggStore</v>
          </cell>
          <cell r="E5021" t="str">
            <v>E36 E36</v>
          </cell>
          <cell r="F5021" t="str">
            <v>VB Manual reorder point planning</v>
          </cell>
          <cell r="G5021" t="str">
            <v>ERSA Spare parts</v>
          </cell>
          <cell r="H5021" t="str">
            <v>EN017     InstrumentSpares</v>
          </cell>
          <cell r="I5021" t="str">
            <v>L003 Ankleshwar</v>
          </cell>
          <cell r="J5021" t="str">
            <v>99 Input/Byprodt/Scrap</v>
          </cell>
          <cell r="K5021" t="str">
            <v>10.2012</v>
          </cell>
          <cell r="L5021">
            <v>1</v>
          </cell>
          <cell r="M5021" t="str">
            <v>EA</v>
          </cell>
          <cell r="N5021">
            <v>1346.4</v>
          </cell>
          <cell r="O5021" t="str">
            <v>INR</v>
          </cell>
        </row>
        <row r="5022">
          <cell r="A5022" t="str">
            <v>L003 Ankleshwar</v>
          </cell>
          <cell r="B5022">
            <v>671024</v>
          </cell>
          <cell r="C5022" t="str">
            <v>CR OIL SEAL: 75 X 105 X 10</v>
          </cell>
          <cell r="D5022" t="str">
            <v>L0030151                       EnggStore</v>
          </cell>
          <cell r="E5022">
            <v>0</v>
          </cell>
          <cell r="F5022" t="str">
            <v>ND No planning</v>
          </cell>
          <cell r="G5022" t="str">
            <v>ERSA Spare parts</v>
          </cell>
          <cell r="H5022" t="str">
            <v>EN020     RubberItems&amp;Oil Seal</v>
          </cell>
          <cell r="I5022" t="str">
            <v>L003 Ankleshwar</v>
          </cell>
          <cell r="J5022" t="str">
            <v>99 Input/Byprodt/Scrap</v>
          </cell>
          <cell r="K5022" t="str">
            <v>10.2012</v>
          </cell>
          <cell r="L5022">
            <v>2</v>
          </cell>
          <cell r="M5022" t="str">
            <v>EA</v>
          </cell>
          <cell r="N5022">
            <v>1211.4000000000001</v>
          </cell>
          <cell r="O5022" t="str">
            <v>INR</v>
          </cell>
        </row>
        <row r="5023">
          <cell r="A5023" t="str">
            <v>L003 Ankleshwar</v>
          </cell>
          <cell r="B5023">
            <v>671436</v>
          </cell>
          <cell r="C5023" t="str">
            <v>PIPE - COPPER PIPE-1 1/8"</v>
          </cell>
          <cell r="D5023" t="str">
            <v>L0030151                       EnggStore</v>
          </cell>
          <cell r="E5023" t="str">
            <v>E01 E01</v>
          </cell>
          <cell r="F5023" t="str">
            <v>ND No planning</v>
          </cell>
          <cell r="G5023" t="str">
            <v>ERSA Spare parts</v>
          </cell>
          <cell r="H5023" t="str">
            <v>EN028     Pipes&amp;pipefittings</v>
          </cell>
          <cell r="I5023" t="str">
            <v>L003 Ankleshwar</v>
          </cell>
          <cell r="J5023" t="str">
            <v>99 Input/Byprodt/Scrap</v>
          </cell>
          <cell r="K5023" t="str">
            <v>10.2012</v>
          </cell>
          <cell r="L5023">
            <v>1.5</v>
          </cell>
          <cell r="M5023" t="str">
            <v>M</v>
          </cell>
          <cell r="N5023">
            <v>789.75</v>
          </cell>
          <cell r="O5023" t="str">
            <v>INR</v>
          </cell>
        </row>
        <row r="5024">
          <cell r="A5024" t="str">
            <v>L003 Ankleshwar</v>
          </cell>
          <cell r="B5024">
            <v>671542</v>
          </cell>
          <cell r="C5024" t="str">
            <v>CONTACTOR COIL:3TY7543-415V,FOR 3TF54/55</v>
          </cell>
          <cell r="D5024" t="str">
            <v>L0030151                       EnggStore</v>
          </cell>
          <cell r="E5024">
            <v>0</v>
          </cell>
          <cell r="F5024" t="str">
            <v>ND No planning</v>
          </cell>
          <cell r="G5024" t="str">
            <v>ERSA Spare parts</v>
          </cell>
          <cell r="H5024" t="str">
            <v>EN006     Elec Switchgear</v>
          </cell>
          <cell r="I5024" t="str">
            <v>L003 Ankleshwar</v>
          </cell>
          <cell r="J5024" t="str">
            <v>99 Input/Byprodt/Scrap</v>
          </cell>
          <cell r="K5024" t="str">
            <v>10.2012</v>
          </cell>
          <cell r="L5024">
            <v>1</v>
          </cell>
          <cell r="M5024" t="str">
            <v>EA</v>
          </cell>
          <cell r="N5024">
            <v>1448.91</v>
          </cell>
          <cell r="O5024" t="str">
            <v>INR</v>
          </cell>
        </row>
        <row r="5025">
          <cell r="A5025" t="str">
            <v>L003 Ankleshwar</v>
          </cell>
          <cell r="B5025">
            <v>671568</v>
          </cell>
          <cell r="C5025" t="str">
            <v>TUBE IBR CS 38.1 MMOD,3.66 MM THK</v>
          </cell>
          <cell r="D5025" t="str">
            <v>L0030151                       EnggStore</v>
          </cell>
          <cell r="E5025">
            <v>0</v>
          </cell>
          <cell r="F5025" t="str">
            <v>ND No planning</v>
          </cell>
          <cell r="G5025" t="str">
            <v>ERSA Spare parts</v>
          </cell>
          <cell r="H5025" t="str">
            <v>EN018     UtilityEquipmentSpar</v>
          </cell>
          <cell r="I5025" t="str">
            <v>L003 Ankleshwar</v>
          </cell>
          <cell r="J5025" t="str">
            <v>99 Input/Byprodt/Scrap</v>
          </cell>
          <cell r="K5025" t="str">
            <v>10.2012</v>
          </cell>
          <cell r="L5025">
            <v>494.75999999999902</v>
          </cell>
          <cell r="M5025" t="str">
            <v>M</v>
          </cell>
          <cell r="N5025">
            <v>169845.53</v>
          </cell>
          <cell r="O5025" t="str">
            <v>INR</v>
          </cell>
        </row>
        <row r="5026">
          <cell r="A5026" t="str">
            <v>L003 Ankleshwar</v>
          </cell>
          <cell r="B5026">
            <v>671569</v>
          </cell>
          <cell r="C5026" t="str">
            <v>BEND U IBR CS SEAMLESS 38.1OD,3.66MM THK</v>
          </cell>
          <cell r="D5026" t="str">
            <v>L0030151                       EnggStore</v>
          </cell>
          <cell r="E5026">
            <v>0</v>
          </cell>
          <cell r="F5026" t="str">
            <v>ND No planning</v>
          </cell>
          <cell r="G5026" t="str">
            <v>ERSA Spare parts</v>
          </cell>
          <cell r="H5026" t="str">
            <v>EN018     UtilityEquipmentSpar</v>
          </cell>
          <cell r="I5026" t="str">
            <v>L003 Ankleshwar</v>
          </cell>
          <cell r="J5026" t="str">
            <v>99 Input/Byprodt/Scrap</v>
          </cell>
          <cell r="K5026" t="str">
            <v>10.2012</v>
          </cell>
          <cell r="L5026">
            <v>320</v>
          </cell>
          <cell r="M5026" t="str">
            <v>EA</v>
          </cell>
          <cell r="N5026">
            <v>104500.289999999</v>
          </cell>
          <cell r="O5026" t="str">
            <v>INR</v>
          </cell>
        </row>
        <row r="5027">
          <cell r="A5027" t="str">
            <v>L003 Ankleshwar</v>
          </cell>
          <cell r="B5027">
            <v>671601</v>
          </cell>
          <cell r="C5027" t="str">
            <v>SS316 PIPE NIPPLE 3/4 X 6"</v>
          </cell>
          <cell r="D5027" t="str">
            <v>L0030151                       EnggStore</v>
          </cell>
          <cell r="E5027" t="str">
            <v>E35 E35</v>
          </cell>
          <cell r="F5027" t="str">
            <v>VB Manual reorder point planning</v>
          </cell>
          <cell r="G5027" t="str">
            <v>ERSA Spare parts</v>
          </cell>
          <cell r="H5027" t="str">
            <v>EN022     Hardwareitems</v>
          </cell>
          <cell r="I5027" t="str">
            <v>L003 Ankleshwar</v>
          </cell>
          <cell r="J5027" t="str">
            <v>99 Input/Byprodt/Scrap</v>
          </cell>
          <cell r="K5027" t="str">
            <v>10.2012</v>
          </cell>
          <cell r="L5027">
            <v>10</v>
          </cell>
          <cell r="M5027" t="str">
            <v>EA</v>
          </cell>
          <cell r="N5027">
            <v>1650</v>
          </cell>
          <cell r="O5027" t="str">
            <v>INR</v>
          </cell>
        </row>
        <row r="5028">
          <cell r="A5028" t="str">
            <v>L003 Ankleshwar</v>
          </cell>
          <cell r="B5028">
            <v>671731</v>
          </cell>
          <cell r="C5028" t="str">
            <v>32 X 20 MM PPR RED 'T'</v>
          </cell>
          <cell r="D5028" t="str">
            <v>L0030151                       EnggStore</v>
          </cell>
          <cell r="E5028">
            <v>0</v>
          </cell>
          <cell r="F5028" t="str">
            <v>ND No planning</v>
          </cell>
          <cell r="G5028" t="str">
            <v>ERSA Spare parts</v>
          </cell>
          <cell r="H5028" t="str">
            <v>EN028     Pipes&amp;pipefittings</v>
          </cell>
          <cell r="I5028" t="str">
            <v>L003 Ankleshwar</v>
          </cell>
          <cell r="J5028" t="str">
            <v>99 Input/Byprodt/Scrap</v>
          </cell>
          <cell r="K5028" t="str">
            <v>10.2012</v>
          </cell>
          <cell r="L5028">
            <v>19</v>
          </cell>
          <cell r="M5028" t="str">
            <v>EA</v>
          </cell>
          <cell r="N5028">
            <v>752.39999999999895</v>
          </cell>
          <cell r="O5028" t="str">
            <v>INR</v>
          </cell>
        </row>
        <row r="5029">
          <cell r="A5029" t="str">
            <v>L003 Ankleshwar</v>
          </cell>
          <cell r="B5029">
            <v>671732</v>
          </cell>
          <cell r="C5029" t="str">
            <v>32 MM PPR UNION</v>
          </cell>
          <cell r="D5029" t="str">
            <v>L0030151                       EnggStore</v>
          </cell>
          <cell r="E5029">
            <v>0</v>
          </cell>
          <cell r="F5029" t="str">
            <v>ND No planning</v>
          </cell>
          <cell r="G5029" t="str">
            <v>ERSA Spare parts</v>
          </cell>
          <cell r="H5029" t="str">
            <v>EN028     Pipes&amp;pipefittings</v>
          </cell>
          <cell r="I5029" t="str">
            <v>L003 Ankleshwar</v>
          </cell>
          <cell r="J5029" t="str">
            <v>99 Input/Byprodt/Scrap</v>
          </cell>
          <cell r="K5029" t="str">
            <v>10.2012</v>
          </cell>
          <cell r="L5029">
            <v>1</v>
          </cell>
          <cell r="M5029" t="str">
            <v>EA</v>
          </cell>
          <cell r="N5029">
            <v>132</v>
          </cell>
          <cell r="O5029" t="str">
            <v>INR</v>
          </cell>
        </row>
        <row r="5030">
          <cell r="A5030" t="str">
            <v>L003 Ankleshwar</v>
          </cell>
          <cell r="B5030">
            <v>671733</v>
          </cell>
          <cell r="C5030" t="str">
            <v>32 MM PPR COUPLER</v>
          </cell>
          <cell r="D5030" t="str">
            <v>L0030151                       EnggStore</v>
          </cell>
          <cell r="E5030">
            <v>0</v>
          </cell>
          <cell r="F5030" t="str">
            <v>ND No planning</v>
          </cell>
          <cell r="G5030" t="str">
            <v>ERSA Spare parts</v>
          </cell>
          <cell r="H5030" t="str">
            <v>EN028     Pipes&amp;pipefittings</v>
          </cell>
          <cell r="I5030" t="str">
            <v>L003 Ankleshwar</v>
          </cell>
          <cell r="J5030" t="str">
            <v>99 Input/Byprodt/Scrap</v>
          </cell>
          <cell r="K5030" t="str">
            <v>10.2012</v>
          </cell>
          <cell r="L5030">
            <v>12</v>
          </cell>
          <cell r="M5030" t="str">
            <v>EA</v>
          </cell>
          <cell r="N5030">
            <v>173.52</v>
          </cell>
          <cell r="O5030" t="str">
            <v>INR</v>
          </cell>
        </row>
        <row r="5031">
          <cell r="A5031" t="str">
            <v>L003 Ankleshwar</v>
          </cell>
          <cell r="B5031">
            <v>671734</v>
          </cell>
          <cell r="C5031" t="str">
            <v>32 MM PPR ELBOW</v>
          </cell>
          <cell r="D5031" t="str">
            <v>L0030151                       EnggStore</v>
          </cell>
          <cell r="E5031">
            <v>0</v>
          </cell>
          <cell r="F5031" t="str">
            <v>ND No planning</v>
          </cell>
          <cell r="G5031" t="str">
            <v>ERSA Spare parts</v>
          </cell>
          <cell r="H5031" t="str">
            <v>EN028     Pipes&amp;pipefittings</v>
          </cell>
          <cell r="I5031" t="str">
            <v>L003 Ankleshwar</v>
          </cell>
          <cell r="J5031" t="str">
            <v>99 Input/Byprodt/Scrap</v>
          </cell>
          <cell r="K5031" t="str">
            <v>10.2012</v>
          </cell>
          <cell r="L5031">
            <v>4</v>
          </cell>
          <cell r="M5031" t="str">
            <v>EA</v>
          </cell>
          <cell r="N5031">
            <v>84.599999999999895</v>
          </cell>
          <cell r="O5031" t="str">
            <v>INR</v>
          </cell>
        </row>
        <row r="5032">
          <cell r="A5032" t="str">
            <v>L003 Ankleshwar</v>
          </cell>
          <cell r="B5032">
            <v>671735</v>
          </cell>
          <cell r="C5032" t="str">
            <v>32 MM PPR 'T'</v>
          </cell>
          <cell r="D5032" t="str">
            <v>L0030151                       EnggStore</v>
          </cell>
          <cell r="E5032">
            <v>0</v>
          </cell>
          <cell r="F5032" t="str">
            <v>ND No planning</v>
          </cell>
          <cell r="G5032" t="str">
            <v>ERSA Spare parts</v>
          </cell>
          <cell r="H5032" t="str">
            <v>EN028     Pipes&amp;pipefittings</v>
          </cell>
          <cell r="I5032" t="str">
            <v>L003 Ankleshwar</v>
          </cell>
          <cell r="J5032" t="str">
            <v>99 Input/Byprodt/Scrap</v>
          </cell>
          <cell r="K5032" t="str">
            <v>10.2012</v>
          </cell>
          <cell r="L5032">
            <v>1</v>
          </cell>
          <cell r="M5032" t="str">
            <v>EA</v>
          </cell>
          <cell r="N5032">
            <v>32.399999999999899</v>
          </cell>
          <cell r="O5032" t="str">
            <v>INR</v>
          </cell>
        </row>
        <row r="5033">
          <cell r="A5033" t="str">
            <v>L003 Ankleshwar</v>
          </cell>
          <cell r="B5033">
            <v>671737</v>
          </cell>
          <cell r="C5033" t="str">
            <v>20 MM PPR BRASS FTA</v>
          </cell>
          <cell r="D5033" t="str">
            <v>L0030151                       EnggStore</v>
          </cell>
          <cell r="E5033">
            <v>0</v>
          </cell>
          <cell r="F5033" t="str">
            <v>ND No planning</v>
          </cell>
          <cell r="G5033" t="str">
            <v>ERSA Spare parts</v>
          </cell>
          <cell r="H5033" t="str">
            <v>EN028     Pipes&amp;pipefittings</v>
          </cell>
          <cell r="I5033" t="str">
            <v>L003 Ankleshwar</v>
          </cell>
          <cell r="J5033" t="str">
            <v>99 Input/Byprodt/Scrap</v>
          </cell>
          <cell r="K5033" t="str">
            <v>10.2012</v>
          </cell>
          <cell r="L5033">
            <v>5</v>
          </cell>
          <cell r="M5033" t="str">
            <v>EA</v>
          </cell>
          <cell r="N5033">
            <v>180</v>
          </cell>
          <cell r="O5033" t="str">
            <v>INR</v>
          </cell>
        </row>
        <row r="5034">
          <cell r="A5034" t="str">
            <v>L003 Ankleshwar</v>
          </cell>
          <cell r="B5034">
            <v>671738</v>
          </cell>
          <cell r="C5034" t="str">
            <v>32 MM PPR END - CAP</v>
          </cell>
          <cell r="D5034" t="str">
            <v>L0030151                       EnggStore</v>
          </cell>
          <cell r="E5034">
            <v>0</v>
          </cell>
          <cell r="F5034" t="str">
            <v>ND No planning</v>
          </cell>
          <cell r="G5034" t="str">
            <v>ERSA Spare parts</v>
          </cell>
          <cell r="H5034" t="str">
            <v>EN028     Pipes&amp;pipefittings</v>
          </cell>
          <cell r="I5034" t="str">
            <v>L003 Ankleshwar</v>
          </cell>
          <cell r="J5034" t="str">
            <v>99 Input/Byprodt/Scrap</v>
          </cell>
          <cell r="K5034" t="str">
            <v>10.2012</v>
          </cell>
          <cell r="L5034">
            <v>2</v>
          </cell>
          <cell r="M5034" t="str">
            <v>EA</v>
          </cell>
          <cell r="N5034">
            <v>29.399999999999899</v>
          </cell>
          <cell r="O5034" t="str">
            <v>INR</v>
          </cell>
        </row>
        <row r="5035">
          <cell r="A5035" t="str">
            <v>L003 Ankleshwar</v>
          </cell>
          <cell r="B5035">
            <v>671739</v>
          </cell>
          <cell r="C5035" t="str">
            <v>32 MM PPR BRASS MTA</v>
          </cell>
          <cell r="D5035" t="str">
            <v>L0030151                       EnggStore</v>
          </cell>
          <cell r="E5035">
            <v>0</v>
          </cell>
          <cell r="F5035" t="str">
            <v>ND No planning</v>
          </cell>
          <cell r="G5035" t="str">
            <v>ERSA Spare parts</v>
          </cell>
          <cell r="H5035" t="str">
            <v>EN028     Pipes&amp;pipefittings</v>
          </cell>
          <cell r="I5035" t="str">
            <v>L003 Ankleshwar</v>
          </cell>
          <cell r="J5035" t="str">
            <v>99 Input/Byprodt/Scrap</v>
          </cell>
          <cell r="K5035" t="str">
            <v>10.2012</v>
          </cell>
          <cell r="L5035">
            <v>1</v>
          </cell>
          <cell r="M5035" t="str">
            <v>EA</v>
          </cell>
          <cell r="N5035">
            <v>154.80000000000001</v>
          </cell>
          <cell r="O5035" t="str">
            <v>INR</v>
          </cell>
        </row>
        <row r="5036">
          <cell r="A5036" t="str">
            <v>L003 Ankleshwar</v>
          </cell>
          <cell r="B5036">
            <v>671847</v>
          </cell>
          <cell r="C5036" t="str">
            <v>PENDULAM BOLT,NUT,KEY&amp;WASHER: OMPL-48"CF</v>
          </cell>
          <cell r="D5036" t="str">
            <v>L0030151                       EnggStore</v>
          </cell>
          <cell r="E5036" t="str">
            <v>E34 E34</v>
          </cell>
          <cell r="F5036" t="str">
            <v>VB Manual reorder point planning</v>
          </cell>
          <cell r="G5036" t="str">
            <v>ERSA Spare parts</v>
          </cell>
          <cell r="H5036" t="str">
            <v>EN039     PlantEquipmentSpares</v>
          </cell>
          <cell r="I5036" t="str">
            <v>L003 Ankleshwar</v>
          </cell>
          <cell r="J5036" t="str">
            <v>99 Input/Byprodt/Scrap</v>
          </cell>
          <cell r="K5036" t="str">
            <v>10.2012</v>
          </cell>
          <cell r="L5036">
            <v>4</v>
          </cell>
          <cell r="M5036" t="str">
            <v>SET</v>
          </cell>
          <cell r="N5036">
            <v>8800</v>
          </cell>
          <cell r="O5036" t="str">
            <v>INR</v>
          </cell>
        </row>
        <row r="5037">
          <cell r="A5037" t="str">
            <v>L003 Ankleshwar</v>
          </cell>
          <cell r="B5037">
            <v>671973</v>
          </cell>
          <cell r="C5037" t="str">
            <v>MECHANICAL SEAL : SP-0M PUMP</v>
          </cell>
          <cell r="D5037" t="str">
            <v>L0030151                       EnggStore</v>
          </cell>
          <cell r="E5037">
            <v>0</v>
          </cell>
          <cell r="F5037" t="str">
            <v>ND No planning</v>
          </cell>
          <cell r="G5037" t="str">
            <v>ERSA Spare parts</v>
          </cell>
          <cell r="H5037" t="str">
            <v>EN038     MechanicalSeals&amp;Spar</v>
          </cell>
          <cell r="I5037" t="str">
            <v>L003 Ankleshwar</v>
          </cell>
          <cell r="J5037" t="str">
            <v>99 Input/Byprodt/Scrap</v>
          </cell>
          <cell r="K5037" t="str">
            <v>10.2012</v>
          </cell>
          <cell r="L5037">
            <v>2</v>
          </cell>
          <cell r="M5037" t="str">
            <v>SET</v>
          </cell>
          <cell r="N5037">
            <v>480</v>
          </cell>
          <cell r="O5037" t="str">
            <v>INR</v>
          </cell>
        </row>
        <row r="5038">
          <cell r="A5038" t="str">
            <v>L003 Ankleshwar</v>
          </cell>
          <cell r="B5038">
            <v>671975</v>
          </cell>
          <cell r="C5038" t="str">
            <v>WORM WHEEL - CPEC: SIZE-22, RATIO-30:1</v>
          </cell>
          <cell r="D5038" t="str">
            <v>L0030151                       EnggStore</v>
          </cell>
          <cell r="E5038">
            <v>0</v>
          </cell>
          <cell r="F5038" t="str">
            <v>ND No planning</v>
          </cell>
          <cell r="G5038" t="str">
            <v>ERSA Spare parts</v>
          </cell>
          <cell r="H5038" t="str">
            <v>EN039     PlantEquipmentSpares</v>
          </cell>
          <cell r="I5038" t="str">
            <v>L003 Ankleshwar</v>
          </cell>
          <cell r="J5038" t="str">
            <v>99 Input/Byprodt/Scrap</v>
          </cell>
          <cell r="K5038" t="str">
            <v>10.2012</v>
          </cell>
          <cell r="L5038">
            <v>1</v>
          </cell>
          <cell r="M5038" t="str">
            <v>EA</v>
          </cell>
          <cell r="N5038">
            <v>4632.4399999999896</v>
          </cell>
          <cell r="O5038" t="str">
            <v>INR</v>
          </cell>
        </row>
        <row r="5039">
          <cell r="A5039" t="str">
            <v>L003 Ankleshwar</v>
          </cell>
          <cell r="B5039">
            <v>672036</v>
          </cell>
          <cell r="C5039" t="str">
            <v>PP Y TYPE STRAINER ASA  - A50  F/ T 3"</v>
          </cell>
          <cell r="D5039" t="str">
            <v>L0030151                       EnggStore</v>
          </cell>
          <cell r="E5039" t="str">
            <v>E34 E34</v>
          </cell>
          <cell r="F5039" t="str">
            <v>VB Manual reorder point planning</v>
          </cell>
          <cell r="G5039" t="str">
            <v>ERSA Spare parts</v>
          </cell>
          <cell r="H5039" t="str">
            <v>EN023     Valves&amp;spares</v>
          </cell>
          <cell r="I5039" t="str">
            <v>L003 Ankleshwar</v>
          </cell>
          <cell r="J5039" t="str">
            <v>99 Input/Byprodt/Scrap</v>
          </cell>
          <cell r="K5039" t="str">
            <v>10.2012</v>
          </cell>
          <cell r="L5039">
            <v>1</v>
          </cell>
          <cell r="M5039" t="str">
            <v>EA</v>
          </cell>
          <cell r="N5039">
            <v>990</v>
          </cell>
          <cell r="O5039" t="str">
            <v>INR</v>
          </cell>
        </row>
        <row r="5040">
          <cell r="A5040" t="str">
            <v>L003 Ankleshwar</v>
          </cell>
          <cell r="B5040">
            <v>672047</v>
          </cell>
          <cell r="C5040" t="str">
            <v>RUBBER BELLOW -CW :PNO. 12037138</v>
          </cell>
          <cell r="D5040" t="str">
            <v>L0030151                       EnggStore</v>
          </cell>
          <cell r="E5040">
            <v>0</v>
          </cell>
          <cell r="F5040" t="str">
            <v>ND No planning</v>
          </cell>
          <cell r="G5040" t="str">
            <v>ERSA Spare parts</v>
          </cell>
          <cell r="H5040" t="str">
            <v>EN029     Powerplantitems</v>
          </cell>
          <cell r="I5040" t="str">
            <v>L003 Ankleshwar</v>
          </cell>
          <cell r="J5040" t="str">
            <v>99 Input/Byprodt/Scrap</v>
          </cell>
          <cell r="K5040" t="str">
            <v>10.2012</v>
          </cell>
          <cell r="L5040">
            <v>1</v>
          </cell>
          <cell r="M5040" t="str">
            <v>EA</v>
          </cell>
          <cell r="N5040">
            <v>0</v>
          </cell>
          <cell r="O5040" t="str">
            <v>INR</v>
          </cell>
        </row>
        <row r="5041">
          <cell r="A5041" t="str">
            <v>L003 Ankleshwar</v>
          </cell>
          <cell r="B5041">
            <v>672071</v>
          </cell>
          <cell r="C5041" t="str">
            <v>SOLENOID VALVE AGUAGAURD AGBC501</v>
          </cell>
          <cell r="D5041" t="str">
            <v>L0030151                       EnggStore</v>
          </cell>
          <cell r="E5041" t="str">
            <v>E32 E32</v>
          </cell>
          <cell r="F5041" t="str">
            <v>VB Manual reorder point planning</v>
          </cell>
          <cell r="G5041" t="str">
            <v>ERSA Spare parts</v>
          </cell>
          <cell r="H5041" t="str">
            <v>EN037     Refrigeration&amp;A/Cspa</v>
          </cell>
          <cell r="I5041" t="str">
            <v>L003 Ankleshwar</v>
          </cell>
          <cell r="J5041" t="str">
            <v>99 Input/Byprodt/Scrap</v>
          </cell>
          <cell r="K5041" t="str">
            <v>10.2012</v>
          </cell>
          <cell r="L5041">
            <v>2</v>
          </cell>
          <cell r="M5041" t="str">
            <v>EA</v>
          </cell>
          <cell r="N5041">
            <v>529.99</v>
          </cell>
          <cell r="O5041" t="str">
            <v>INR</v>
          </cell>
        </row>
        <row r="5042">
          <cell r="A5042" t="str">
            <v>L003 Ankleshwar</v>
          </cell>
          <cell r="B5042">
            <v>672072</v>
          </cell>
          <cell r="C5042" t="str">
            <v>SOLENOID VALVE COIL AGUAGAURD AGBC502</v>
          </cell>
          <cell r="D5042" t="str">
            <v>L0030151                       EnggStore</v>
          </cell>
          <cell r="E5042" t="str">
            <v>E32 E32</v>
          </cell>
          <cell r="F5042" t="str">
            <v>VB Manual reorder point planning</v>
          </cell>
          <cell r="G5042" t="str">
            <v>ERSA Spare parts</v>
          </cell>
          <cell r="H5042" t="str">
            <v>EN037     Refrigeration&amp;A/Cspa</v>
          </cell>
          <cell r="I5042" t="str">
            <v>L003 Ankleshwar</v>
          </cell>
          <cell r="J5042" t="str">
            <v>99 Input/Byprodt/Scrap</v>
          </cell>
          <cell r="K5042" t="str">
            <v>10.2012</v>
          </cell>
          <cell r="L5042">
            <v>1</v>
          </cell>
          <cell r="M5042" t="str">
            <v>EA</v>
          </cell>
          <cell r="N5042">
            <v>415</v>
          </cell>
          <cell r="O5042" t="str">
            <v>INR</v>
          </cell>
        </row>
        <row r="5043">
          <cell r="A5043" t="str">
            <v>L003 Ankleshwar</v>
          </cell>
          <cell r="B5043">
            <v>672073</v>
          </cell>
          <cell r="C5043" t="str">
            <v>PCB CIRCUIT AGUAGAURD  HIGH FLOW</v>
          </cell>
          <cell r="D5043" t="str">
            <v>L0030151                       EnggStore</v>
          </cell>
          <cell r="E5043">
            <v>0</v>
          </cell>
          <cell r="F5043" t="str">
            <v>ND No planning</v>
          </cell>
          <cell r="G5043" t="str">
            <v>ERSA Spare parts</v>
          </cell>
          <cell r="H5043" t="str">
            <v>EN018     UtilityEquipmentSpar</v>
          </cell>
          <cell r="I5043" t="str">
            <v>L003 Ankleshwar</v>
          </cell>
          <cell r="J5043" t="str">
            <v>99 Input/Byprodt/Scrap</v>
          </cell>
          <cell r="K5043" t="str">
            <v>10.2012</v>
          </cell>
          <cell r="L5043">
            <v>2</v>
          </cell>
          <cell r="M5043" t="str">
            <v>EA</v>
          </cell>
          <cell r="N5043">
            <v>4622.2299999999896</v>
          </cell>
          <cell r="O5043" t="str">
            <v>INR</v>
          </cell>
        </row>
        <row r="5044">
          <cell r="A5044" t="str">
            <v>L003 Ankleshwar</v>
          </cell>
          <cell r="B5044">
            <v>672114</v>
          </cell>
          <cell r="C5044" t="str">
            <v>FAN MOTOR 1/8HP 910RPM 1PH CLOSEDTYPE GE</v>
          </cell>
          <cell r="D5044" t="str">
            <v>L0030151                       EnggStore</v>
          </cell>
          <cell r="E5044">
            <v>0</v>
          </cell>
          <cell r="F5044" t="str">
            <v>ND No planning</v>
          </cell>
          <cell r="G5044" t="str">
            <v>ERSA Spare parts</v>
          </cell>
          <cell r="H5044" t="str">
            <v>EN007     Elec Motors &amp; Spares</v>
          </cell>
          <cell r="I5044" t="str">
            <v>L003 Ankleshwar</v>
          </cell>
          <cell r="J5044" t="str">
            <v>99 Input/Byprodt/Scrap</v>
          </cell>
          <cell r="K5044" t="str">
            <v>10.2012</v>
          </cell>
          <cell r="L5044">
            <v>1</v>
          </cell>
          <cell r="M5044" t="str">
            <v>EA</v>
          </cell>
          <cell r="N5044">
            <v>1450</v>
          </cell>
          <cell r="O5044" t="str">
            <v>INR</v>
          </cell>
        </row>
        <row r="5045">
          <cell r="A5045" t="str">
            <v>L003 Ankleshwar</v>
          </cell>
          <cell r="B5045">
            <v>672115</v>
          </cell>
          <cell r="C5045" t="str">
            <v>FAN MOTOR 9W 1360RPM 1PH CLOSEDTYPE GE</v>
          </cell>
          <cell r="D5045" t="str">
            <v>L0030151                       EnggStore</v>
          </cell>
          <cell r="E5045">
            <v>0</v>
          </cell>
          <cell r="F5045" t="str">
            <v>ND No planning</v>
          </cell>
          <cell r="G5045" t="str">
            <v>ERSA Spare parts</v>
          </cell>
          <cell r="H5045" t="str">
            <v>EN007     Elec Motors &amp; Spares</v>
          </cell>
          <cell r="I5045" t="str">
            <v>L003 Ankleshwar</v>
          </cell>
          <cell r="J5045" t="str">
            <v>99 Input/Byprodt/Scrap</v>
          </cell>
          <cell r="K5045" t="str">
            <v>10.2012</v>
          </cell>
          <cell r="L5045">
            <v>1</v>
          </cell>
          <cell r="M5045" t="str">
            <v>EA</v>
          </cell>
          <cell r="N5045">
            <v>1900</v>
          </cell>
          <cell r="O5045" t="str">
            <v>INR</v>
          </cell>
        </row>
        <row r="5046">
          <cell r="A5046" t="str">
            <v>L003 Ankleshwar</v>
          </cell>
          <cell r="B5046">
            <v>672152</v>
          </cell>
          <cell r="C5046" t="str">
            <v>NYLON REINFORCE NEOPRINE RUBBER SHEET 3"</v>
          </cell>
          <cell r="D5046" t="str">
            <v>L0030151                       EnggStore</v>
          </cell>
          <cell r="E5046" t="str">
            <v>E31 E31</v>
          </cell>
          <cell r="F5046" t="str">
            <v>VB Manual reorder point planning</v>
          </cell>
          <cell r="G5046" t="str">
            <v>ERSA Spare parts</v>
          </cell>
          <cell r="H5046" t="str">
            <v>EN023     Valves&amp;spares</v>
          </cell>
          <cell r="I5046" t="str">
            <v>L003 Ankleshwar</v>
          </cell>
          <cell r="J5046" t="str">
            <v>99 Input/Byprodt/Scrap</v>
          </cell>
          <cell r="K5046" t="str">
            <v>10.2012</v>
          </cell>
          <cell r="L5046">
            <v>2</v>
          </cell>
          <cell r="M5046" t="str">
            <v>EA</v>
          </cell>
          <cell r="N5046">
            <v>3040</v>
          </cell>
          <cell r="O5046" t="str">
            <v>INR</v>
          </cell>
        </row>
        <row r="5047">
          <cell r="A5047" t="str">
            <v>L003 Ankleshwar</v>
          </cell>
          <cell r="B5047">
            <v>672269</v>
          </cell>
          <cell r="C5047" t="str">
            <v>O RING FOR CARBON 65MM FOR VACUUM PUMP</v>
          </cell>
          <cell r="D5047" t="str">
            <v>L0030151                       EnggStore</v>
          </cell>
          <cell r="E5047" t="str">
            <v>E34 E34</v>
          </cell>
          <cell r="F5047" t="str">
            <v>VB Manual reorder point planning</v>
          </cell>
          <cell r="G5047" t="str">
            <v>ERSA Spare parts</v>
          </cell>
          <cell r="H5047" t="str">
            <v>EN032     Pumpspares</v>
          </cell>
          <cell r="I5047" t="str">
            <v>L003 Ankleshwar</v>
          </cell>
          <cell r="J5047" t="str">
            <v>99 Input/Byprodt/Scrap</v>
          </cell>
          <cell r="K5047" t="str">
            <v>10.2012</v>
          </cell>
          <cell r="L5047">
            <v>1</v>
          </cell>
          <cell r="M5047" t="str">
            <v>EA</v>
          </cell>
          <cell r="N5047">
            <v>200</v>
          </cell>
          <cell r="O5047" t="str">
            <v>INR</v>
          </cell>
        </row>
        <row r="5048">
          <cell r="A5048" t="str">
            <v>L003 Ankleshwar</v>
          </cell>
          <cell r="B5048">
            <v>672270</v>
          </cell>
          <cell r="C5048" t="str">
            <v>O RING FOR TC  65MM FOR VACUUM PUMP</v>
          </cell>
          <cell r="D5048" t="str">
            <v>L0030151                       EnggStore</v>
          </cell>
          <cell r="E5048" t="str">
            <v>E34 E34</v>
          </cell>
          <cell r="F5048" t="str">
            <v>VB Manual reorder point planning</v>
          </cell>
          <cell r="G5048" t="str">
            <v>ERSA Spare parts</v>
          </cell>
          <cell r="H5048" t="str">
            <v>EN032     Pumpspares</v>
          </cell>
          <cell r="I5048" t="str">
            <v>L003 Ankleshwar</v>
          </cell>
          <cell r="J5048" t="str">
            <v>99 Input/Byprodt/Scrap</v>
          </cell>
          <cell r="K5048" t="str">
            <v>10.2012</v>
          </cell>
          <cell r="L5048">
            <v>2</v>
          </cell>
          <cell r="M5048" t="str">
            <v>EA</v>
          </cell>
          <cell r="N5048">
            <v>320</v>
          </cell>
          <cell r="O5048" t="str">
            <v>INR</v>
          </cell>
        </row>
        <row r="5049">
          <cell r="A5049" t="str">
            <v>L003 Ankleshwar</v>
          </cell>
          <cell r="B5049">
            <v>672288</v>
          </cell>
          <cell r="C5049" t="str">
            <v>EPDM FIELD GASKET-P2-FLI:ALFA LEVEL PHE</v>
          </cell>
          <cell r="D5049" t="str">
            <v>L0030151                       EnggStore</v>
          </cell>
          <cell r="E5049">
            <v>0</v>
          </cell>
          <cell r="F5049" t="str">
            <v>ND No planning</v>
          </cell>
          <cell r="G5049" t="str">
            <v>ERSA Spare parts</v>
          </cell>
          <cell r="H5049" t="str">
            <v>EN039     PlantEquipmentSpares</v>
          </cell>
          <cell r="I5049" t="str">
            <v>L003 Ankleshwar</v>
          </cell>
          <cell r="J5049" t="str">
            <v>99 Input/Byprodt/Scrap</v>
          </cell>
          <cell r="K5049" t="str">
            <v>10.2012</v>
          </cell>
          <cell r="L5049">
            <v>20</v>
          </cell>
          <cell r="M5049" t="str">
            <v>EA</v>
          </cell>
          <cell r="N5049">
            <v>6426</v>
          </cell>
          <cell r="O5049" t="str">
            <v>INR</v>
          </cell>
        </row>
        <row r="5050">
          <cell r="A5050" t="str">
            <v>L003 Ankleshwar</v>
          </cell>
          <cell r="B5050">
            <v>672405</v>
          </cell>
          <cell r="C5050" t="str">
            <v>RING 10.2 X 17 X 6 WEISHAUPT 21115302137</v>
          </cell>
          <cell r="D5050" t="str">
            <v>L0030151                       EnggStore</v>
          </cell>
          <cell r="E5050">
            <v>0</v>
          </cell>
          <cell r="F5050" t="str">
            <v>ND No planning</v>
          </cell>
          <cell r="G5050" t="str">
            <v>ERSA Spare parts</v>
          </cell>
          <cell r="H5050" t="str">
            <v>EN018     UtilityEquipmentSpar</v>
          </cell>
          <cell r="I5050" t="str">
            <v>L003 Ankleshwar</v>
          </cell>
          <cell r="J5050" t="str">
            <v>99 Input/Byprodt/Scrap</v>
          </cell>
          <cell r="K5050" t="str">
            <v>10.2012</v>
          </cell>
          <cell r="L5050">
            <v>2</v>
          </cell>
          <cell r="M5050" t="str">
            <v>EA</v>
          </cell>
          <cell r="N5050">
            <v>706.08</v>
          </cell>
          <cell r="O5050" t="str">
            <v>INR</v>
          </cell>
        </row>
        <row r="5051">
          <cell r="A5051" t="str">
            <v>L003 Ankleshwar</v>
          </cell>
          <cell r="B5051">
            <v>672408</v>
          </cell>
          <cell r="C5051" t="str">
            <v>EPDM RUBBER STRIP - T TYPE: 40 X 10 MM</v>
          </cell>
          <cell r="D5051" t="str">
            <v>L0030151                       EnggStore</v>
          </cell>
          <cell r="E5051">
            <v>0</v>
          </cell>
          <cell r="F5051" t="str">
            <v>ND No planning</v>
          </cell>
          <cell r="G5051" t="str">
            <v>ERSA Spare parts</v>
          </cell>
          <cell r="H5051" t="str">
            <v>EN020     RubberItems&amp;Oil Seal</v>
          </cell>
          <cell r="I5051" t="str">
            <v>L003 Ankleshwar</v>
          </cell>
          <cell r="J5051" t="str">
            <v>99 Input/Byprodt/Scrap</v>
          </cell>
          <cell r="K5051" t="str">
            <v>10.2012</v>
          </cell>
          <cell r="L5051">
            <v>1</v>
          </cell>
          <cell r="M5051" t="str">
            <v>MTR</v>
          </cell>
          <cell r="N5051">
            <v>286.75</v>
          </cell>
          <cell r="O5051" t="str">
            <v>INR</v>
          </cell>
        </row>
        <row r="5052">
          <cell r="A5052" t="str">
            <v>L003 Ankleshwar</v>
          </cell>
          <cell r="B5052">
            <v>672411</v>
          </cell>
          <cell r="C5052" t="str">
            <v>CARBON SEAL RING 65 MM FOR VACUUM PUMP</v>
          </cell>
          <cell r="D5052" t="str">
            <v>L0030151                       EnggStore</v>
          </cell>
          <cell r="E5052" t="str">
            <v>E34 E34</v>
          </cell>
          <cell r="F5052" t="str">
            <v>VB Manual reorder point planning</v>
          </cell>
          <cell r="G5052" t="str">
            <v>ERSA Spare parts</v>
          </cell>
          <cell r="H5052" t="str">
            <v>EN032     Pumpspares</v>
          </cell>
          <cell r="I5052" t="str">
            <v>L003 Ankleshwar</v>
          </cell>
          <cell r="J5052" t="str">
            <v>99 Input/Byprodt/Scrap</v>
          </cell>
          <cell r="K5052" t="str">
            <v>10.2012</v>
          </cell>
          <cell r="L5052">
            <v>6</v>
          </cell>
          <cell r="M5052" t="str">
            <v>EA</v>
          </cell>
          <cell r="N5052">
            <v>6240</v>
          </cell>
          <cell r="O5052" t="str">
            <v>INR</v>
          </cell>
        </row>
        <row r="5053">
          <cell r="A5053" t="str">
            <v>L003 Ankleshwar</v>
          </cell>
          <cell r="B5053">
            <v>672412</v>
          </cell>
          <cell r="C5053" t="str">
            <v>TC SEAL RING 65 MM FOR VACUUM PUMP</v>
          </cell>
          <cell r="D5053" t="str">
            <v>L0030151                       EnggStore</v>
          </cell>
          <cell r="E5053" t="str">
            <v>E34 E34</v>
          </cell>
          <cell r="F5053" t="str">
            <v>VB Manual reorder point planning</v>
          </cell>
          <cell r="G5053" t="str">
            <v>ERSA Spare parts</v>
          </cell>
          <cell r="H5053" t="str">
            <v>EN032     Pumpspares</v>
          </cell>
          <cell r="I5053" t="str">
            <v>L003 Ankleshwar</v>
          </cell>
          <cell r="J5053" t="str">
            <v>99 Input/Byprodt/Scrap</v>
          </cell>
          <cell r="K5053" t="str">
            <v>10.2012</v>
          </cell>
          <cell r="L5053">
            <v>6</v>
          </cell>
          <cell r="M5053" t="str">
            <v>EA</v>
          </cell>
          <cell r="N5053">
            <v>17760</v>
          </cell>
          <cell r="O5053" t="str">
            <v>INR</v>
          </cell>
        </row>
        <row r="5054">
          <cell r="A5054" t="str">
            <v>L003 Ankleshwar</v>
          </cell>
          <cell r="B5054">
            <v>672751</v>
          </cell>
          <cell r="C5054" t="str">
            <v>BRASS NRV VALVE 1/4'' X 1/4'' FLARE</v>
          </cell>
          <cell r="D5054" t="str">
            <v>L0030151                       EnggStore</v>
          </cell>
          <cell r="E5054" t="str">
            <v>E32 E32</v>
          </cell>
          <cell r="F5054" t="str">
            <v>VB Manual reorder point planning</v>
          </cell>
          <cell r="G5054" t="str">
            <v>ERSA Spare parts</v>
          </cell>
          <cell r="H5054" t="str">
            <v>EN037     Refrigeration&amp;A/Cspa</v>
          </cell>
          <cell r="I5054" t="str">
            <v>L003 Ankleshwar</v>
          </cell>
          <cell r="J5054" t="str">
            <v>99 Input/Byprodt/Scrap</v>
          </cell>
          <cell r="K5054" t="str">
            <v>10.2012</v>
          </cell>
          <cell r="L5054">
            <v>1</v>
          </cell>
          <cell r="M5054" t="str">
            <v>EA</v>
          </cell>
          <cell r="N5054">
            <v>85.5</v>
          </cell>
          <cell r="O5054" t="str">
            <v>INR</v>
          </cell>
        </row>
        <row r="5055">
          <cell r="A5055" t="str">
            <v>L003 Ankleshwar</v>
          </cell>
          <cell r="B5055">
            <v>672752</v>
          </cell>
          <cell r="C5055" t="str">
            <v>OVER LOAD RELAY AE 4440 KIRLOSKAR COMP</v>
          </cell>
          <cell r="D5055" t="str">
            <v>L0030151                       EnggStore</v>
          </cell>
          <cell r="E5055" t="str">
            <v>E32 E32</v>
          </cell>
          <cell r="F5055" t="str">
            <v>VB Manual reorder point planning</v>
          </cell>
          <cell r="G5055" t="str">
            <v>ERSA Spare parts</v>
          </cell>
          <cell r="H5055" t="str">
            <v>EN037     Refrigeration&amp;A/Cspa</v>
          </cell>
          <cell r="I5055" t="str">
            <v>L003 Ankleshwar</v>
          </cell>
          <cell r="J5055" t="str">
            <v>99 Input/Byprodt/Scrap</v>
          </cell>
          <cell r="K5055" t="str">
            <v>10.2012</v>
          </cell>
          <cell r="L5055">
            <v>1</v>
          </cell>
          <cell r="M5055" t="str">
            <v>EA</v>
          </cell>
          <cell r="N5055">
            <v>209</v>
          </cell>
          <cell r="O5055" t="str">
            <v>INR</v>
          </cell>
        </row>
        <row r="5056">
          <cell r="A5056" t="str">
            <v>L003 Ankleshwar</v>
          </cell>
          <cell r="B5056">
            <v>672753</v>
          </cell>
          <cell r="C5056" t="str">
            <v>OVER LOAD PROTECTER AE 4440 KIRLOSKAR</v>
          </cell>
          <cell r="D5056" t="str">
            <v>L0030151                       EnggStore</v>
          </cell>
          <cell r="E5056">
            <v>0</v>
          </cell>
          <cell r="F5056" t="str">
            <v>ND No planning</v>
          </cell>
          <cell r="G5056" t="str">
            <v>ERSA Spare parts</v>
          </cell>
          <cell r="H5056" t="str">
            <v>EN037     Refrigeration&amp;A/Cspa</v>
          </cell>
          <cell r="I5056" t="str">
            <v>L003 Ankleshwar</v>
          </cell>
          <cell r="J5056" t="str">
            <v>99 Input/Byprodt/Scrap</v>
          </cell>
          <cell r="K5056" t="str">
            <v>10.2012</v>
          </cell>
          <cell r="L5056">
            <v>4</v>
          </cell>
          <cell r="M5056" t="str">
            <v>EA</v>
          </cell>
          <cell r="N5056">
            <v>480</v>
          </cell>
          <cell r="O5056" t="str">
            <v>INR</v>
          </cell>
        </row>
        <row r="5057">
          <cell r="A5057" t="str">
            <v>L003 Ankleshwar</v>
          </cell>
          <cell r="B5057">
            <v>672789</v>
          </cell>
          <cell r="C5057" t="str">
            <v>KETTLE CONNECTOR  15A/250V MAKE:HAZARI</v>
          </cell>
          <cell r="D5057" t="str">
            <v>L0030151                       EnggStore</v>
          </cell>
          <cell r="E5057">
            <v>0</v>
          </cell>
          <cell r="F5057" t="str">
            <v>ND No planning</v>
          </cell>
          <cell r="G5057" t="str">
            <v>ERSA Spare parts</v>
          </cell>
          <cell r="H5057" t="str">
            <v>EN003     ElectricalSpares</v>
          </cell>
          <cell r="I5057" t="str">
            <v>L003 Ankleshwar</v>
          </cell>
          <cell r="J5057" t="str">
            <v>99 Input/Byprodt/Scrap</v>
          </cell>
          <cell r="K5057" t="str">
            <v>10.2012</v>
          </cell>
          <cell r="L5057">
            <v>10</v>
          </cell>
          <cell r="M5057" t="str">
            <v>EA</v>
          </cell>
          <cell r="N5057">
            <v>500</v>
          </cell>
          <cell r="O5057" t="str">
            <v>INR</v>
          </cell>
        </row>
        <row r="5058">
          <cell r="A5058" t="str">
            <v>L003 Ankleshwar</v>
          </cell>
          <cell r="B5058">
            <v>672832</v>
          </cell>
          <cell r="C5058" t="str">
            <v>FLOAT FOR STEAM TRAP: FT-14 : 25 NB</v>
          </cell>
          <cell r="D5058" t="str">
            <v>L0030151                       EnggStore</v>
          </cell>
          <cell r="E5058">
            <v>0</v>
          </cell>
          <cell r="F5058" t="str">
            <v>ND No planning</v>
          </cell>
          <cell r="G5058" t="str">
            <v>ERSA Spare parts</v>
          </cell>
          <cell r="H5058" t="str">
            <v>EN023     Valves&amp;spares</v>
          </cell>
          <cell r="I5058" t="str">
            <v>L003 Ankleshwar</v>
          </cell>
          <cell r="J5058" t="str">
            <v>99 Input/Byprodt/Scrap</v>
          </cell>
          <cell r="K5058" t="str">
            <v>10.2012</v>
          </cell>
          <cell r="L5058">
            <v>1</v>
          </cell>
          <cell r="M5058" t="str">
            <v>EA</v>
          </cell>
          <cell r="N5058">
            <v>1143.53</v>
          </cell>
          <cell r="O5058" t="str">
            <v>INR</v>
          </cell>
        </row>
        <row r="5059">
          <cell r="A5059" t="str">
            <v>L003 Ankleshwar</v>
          </cell>
          <cell r="B5059">
            <v>672833</v>
          </cell>
          <cell r="C5059" t="str">
            <v>FLOAT FOR STEAM TRAP: FT-14 : 40 NB</v>
          </cell>
          <cell r="D5059" t="str">
            <v>L0030151                       EnggStore</v>
          </cell>
          <cell r="E5059">
            <v>0</v>
          </cell>
          <cell r="F5059" t="str">
            <v>ND No planning</v>
          </cell>
          <cell r="G5059" t="str">
            <v>ERSA Spare parts</v>
          </cell>
          <cell r="H5059" t="str">
            <v>EN023     Valves&amp;spares</v>
          </cell>
          <cell r="I5059" t="str">
            <v>L003 Ankleshwar</v>
          </cell>
          <cell r="J5059" t="str">
            <v>99 Input/Byprodt/Scrap</v>
          </cell>
          <cell r="K5059" t="str">
            <v>10.2012</v>
          </cell>
          <cell r="L5059">
            <v>1</v>
          </cell>
          <cell r="M5059" t="str">
            <v>EA</v>
          </cell>
          <cell r="N5059">
            <v>1633.92</v>
          </cell>
          <cell r="O5059" t="str">
            <v>INR</v>
          </cell>
        </row>
        <row r="5060">
          <cell r="A5060" t="str">
            <v>L003 Ankleshwar</v>
          </cell>
          <cell r="B5060">
            <v>672834</v>
          </cell>
          <cell r="C5060" t="str">
            <v>MAIN VALVE ASLY.WITHOUT FLOAT-FT14: 25NB</v>
          </cell>
          <cell r="D5060" t="str">
            <v>L0030151                       EnggStore</v>
          </cell>
          <cell r="E5060">
            <v>0</v>
          </cell>
          <cell r="F5060" t="str">
            <v>ND No planning</v>
          </cell>
          <cell r="G5060" t="str">
            <v>ERSA Spare parts</v>
          </cell>
          <cell r="H5060" t="str">
            <v>EN023     Valves&amp;spares</v>
          </cell>
          <cell r="I5060" t="str">
            <v>L003 Ankleshwar</v>
          </cell>
          <cell r="J5060" t="str">
            <v>99 Input/Byprodt/Scrap</v>
          </cell>
          <cell r="K5060" t="str">
            <v>10.2012</v>
          </cell>
          <cell r="L5060">
            <v>4</v>
          </cell>
          <cell r="M5060" t="str">
            <v>EA</v>
          </cell>
          <cell r="N5060">
            <v>11716.15</v>
          </cell>
          <cell r="O5060" t="str">
            <v>INR</v>
          </cell>
        </row>
        <row r="5061">
          <cell r="A5061" t="str">
            <v>L003 Ankleshwar</v>
          </cell>
          <cell r="B5061">
            <v>672913</v>
          </cell>
          <cell r="C5061" t="str">
            <v>BATTERY 12V ,17AHP</v>
          </cell>
          <cell r="D5061" t="str">
            <v>L0030151                       EnggStore</v>
          </cell>
          <cell r="E5061">
            <v>0</v>
          </cell>
          <cell r="F5061" t="str">
            <v>ND No planning</v>
          </cell>
          <cell r="G5061" t="str">
            <v>ERSA Spare parts</v>
          </cell>
          <cell r="H5061" t="str">
            <v>EN017     InstrumentSpares</v>
          </cell>
          <cell r="I5061" t="str">
            <v>L003 Ankleshwar</v>
          </cell>
          <cell r="J5061" t="str">
            <v>99 Input/Byprodt/Scrap</v>
          </cell>
          <cell r="K5061" t="str">
            <v>10.2012</v>
          </cell>
          <cell r="L5061">
            <v>5</v>
          </cell>
          <cell r="M5061" t="str">
            <v>EA</v>
          </cell>
          <cell r="N5061">
            <v>7700</v>
          </cell>
          <cell r="O5061" t="str">
            <v>INR</v>
          </cell>
        </row>
        <row r="5062">
          <cell r="A5062" t="str">
            <v>L003 Ankleshwar</v>
          </cell>
          <cell r="B5062">
            <v>672922</v>
          </cell>
          <cell r="C5062" t="str">
            <v>RECORDER PLOTTER  PEN</v>
          </cell>
          <cell r="D5062" t="str">
            <v>L0030151                       EnggStore</v>
          </cell>
          <cell r="E5062">
            <v>0</v>
          </cell>
          <cell r="F5062" t="str">
            <v>ND No planning</v>
          </cell>
          <cell r="G5062" t="str">
            <v>ERSA Spare parts</v>
          </cell>
          <cell r="H5062" t="str">
            <v>EN017     InstrumentSpares</v>
          </cell>
          <cell r="I5062" t="str">
            <v>L003 Ankleshwar</v>
          </cell>
          <cell r="J5062" t="str">
            <v>99 Input/Byprodt/Scrap</v>
          </cell>
          <cell r="K5062" t="str">
            <v>10.2012</v>
          </cell>
          <cell r="L5062">
            <v>4</v>
          </cell>
          <cell r="M5062" t="str">
            <v>EA</v>
          </cell>
          <cell r="N5062">
            <v>958.79999999999905</v>
          </cell>
          <cell r="O5062" t="str">
            <v>INR</v>
          </cell>
        </row>
        <row r="5063">
          <cell r="A5063" t="str">
            <v>L003 Ankleshwar</v>
          </cell>
          <cell r="B5063">
            <v>672928</v>
          </cell>
          <cell r="C5063" t="str">
            <v>1/2" X 1/4" BRASS MALE CONNECTOR</v>
          </cell>
          <cell r="D5063" t="str">
            <v>L0030151                       EnggStore</v>
          </cell>
          <cell r="E5063" t="str">
            <v>E37 E37</v>
          </cell>
          <cell r="F5063" t="str">
            <v>VB Manual reorder point planning</v>
          </cell>
          <cell r="G5063" t="str">
            <v>ERSA Spare parts</v>
          </cell>
          <cell r="H5063" t="str">
            <v>EN017     InstrumentSpares</v>
          </cell>
          <cell r="I5063" t="str">
            <v>L003 Ankleshwar</v>
          </cell>
          <cell r="J5063" t="str">
            <v>99 Input/Byprodt/Scrap</v>
          </cell>
          <cell r="K5063" t="str">
            <v>10.2012</v>
          </cell>
          <cell r="L5063">
            <v>22</v>
          </cell>
          <cell r="M5063" t="str">
            <v>EA</v>
          </cell>
          <cell r="N5063">
            <v>1212.2</v>
          </cell>
          <cell r="O5063" t="str">
            <v>INR</v>
          </cell>
        </row>
        <row r="5064">
          <cell r="A5064" t="str">
            <v>L003 Ankleshwar</v>
          </cell>
          <cell r="B5064">
            <v>673151</v>
          </cell>
          <cell r="C5064" t="str">
            <v>EXHAUST WINDOW FLAPHERS - 635 X 100 MM</v>
          </cell>
          <cell r="D5064" t="str">
            <v>L0030151                       EnggStore</v>
          </cell>
          <cell r="E5064">
            <v>0</v>
          </cell>
          <cell r="F5064" t="str">
            <v>ND No planning</v>
          </cell>
          <cell r="G5064" t="str">
            <v>ERSA Spare parts</v>
          </cell>
          <cell r="H5064" t="str">
            <v>EN039     PlantEquipmentSpares</v>
          </cell>
          <cell r="I5064" t="str">
            <v>L003 Ankleshwar</v>
          </cell>
          <cell r="J5064" t="str">
            <v>99 Input/Byprodt/Scrap</v>
          </cell>
          <cell r="K5064" t="str">
            <v>10.2012</v>
          </cell>
          <cell r="L5064">
            <v>5</v>
          </cell>
          <cell r="M5064" t="str">
            <v>EA</v>
          </cell>
          <cell r="N5064">
            <v>0</v>
          </cell>
          <cell r="O5064" t="str">
            <v>INR</v>
          </cell>
        </row>
        <row r="5065">
          <cell r="A5065" t="str">
            <v>L003 Ankleshwar</v>
          </cell>
          <cell r="B5065">
            <v>673152</v>
          </cell>
          <cell r="C5065" t="str">
            <v>EXHAUST WINDOW FLAPHERS - 610 X 130 MM</v>
          </cell>
          <cell r="D5065" t="str">
            <v>L0030151                       EnggStore</v>
          </cell>
          <cell r="E5065">
            <v>0</v>
          </cell>
          <cell r="F5065" t="str">
            <v>ND No planning</v>
          </cell>
          <cell r="G5065" t="str">
            <v>ERSA Spare parts</v>
          </cell>
          <cell r="H5065" t="str">
            <v>EN039     PlantEquipmentSpares</v>
          </cell>
          <cell r="I5065" t="str">
            <v>L003 Ankleshwar</v>
          </cell>
          <cell r="J5065" t="str">
            <v>99 Input/Byprodt/Scrap</v>
          </cell>
          <cell r="K5065" t="str">
            <v>10.2012</v>
          </cell>
          <cell r="L5065">
            <v>4</v>
          </cell>
          <cell r="M5065" t="str">
            <v>EA</v>
          </cell>
          <cell r="N5065">
            <v>0</v>
          </cell>
          <cell r="O5065" t="str">
            <v>INR</v>
          </cell>
        </row>
        <row r="5066">
          <cell r="A5066" t="str">
            <v>L003 Ankleshwar</v>
          </cell>
          <cell r="B5066">
            <v>673153</v>
          </cell>
          <cell r="C5066" t="str">
            <v>EXHAUST WINDOW FLAPHERS - 860 X 125 MM</v>
          </cell>
          <cell r="D5066" t="str">
            <v>L0030151                       EnggStore</v>
          </cell>
          <cell r="E5066">
            <v>0</v>
          </cell>
          <cell r="F5066" t="str">
            <v>ND No planning</v>
          </cell>
          <cell r="G5066" t="str">
            <v>ERSA Spare parts</v>
          </cell>
          <cell r="H5066" t="str">
            <v>EN039     PlantEquipmentSpares</v>
          </cell>
          <cell r="I5066" t="str">
            <v>L003 Ankleshwar</v>
          </cell>
          <cell r="J5066" t="str">
            <v>99 Input/Byprodt/Scrap</v>
          </cell>
          <cell r="K5066" t="str">
            <v>10.2012</v>
          </cell>
          <cell r="L5066">
            <v>2</v>
          </cell>
          <cell r="M5066" t="str">
            <v>EA</v>
          </cell>
          <cell r="N5066">
            <v>0</v>
          </cell>
          <cell r="O5066" t="str">
            <v>INR</v>
          </cell>
        </row>
        <row r="5067">
          <cell r="A5067" t="str">
            <v>L003 Ankleshwar</v>
          </cell>
          <cell r="B5067">
            <v>673154</v>
          </cell>
          <cell r="C5067" t="str">
            <v>EXHAUST WINDOW FLAPHERS - 900 X 100 MM</v>
          </cell>
          <cell r="D5067" t="str">
            <v>L0030151                       EnggStore</v>
          </cell>
          <cell r="E5067">
            <v>0</v>
          </cell>
          <cell r="F5067" t="str">
            <v>ND No planning</v>
          </cell>
          <cell r="G5067" t="str">
            <v>ERSA Spare parts</v>
          </cell>
          <cell r="H5067" t="str">
            <v>EN039     PlantEquipmentSpares</v>
          </cell>
          <cell r="I5067" t="str">
            <v>L003 Ankleshwar</v>
          </cell>
          <cell r="J5067" t="str">
            <v>99 Input/Byprodt/Scrap</v>
          </cell>
          <cell r="K5067" t="str">
            <v>10.2012</v>
          </cell>
          <cell r="L5067">
            <v>4</v>
          </cell>
          <cell r="M5067" t="str">
            <v>EA</v>
          </cell>
          <cell r="N5067">
            <v>0</v>
          </cell>
          <cell r="O5067" t="str">
            <v>INR</v>
          </cell>
        </row>
        <row r="5068">
          <cell r="A5068" t="str">
            <v>L003 Ankleshwar</v>
          </cell>
          <cell r="B5068">
            <v>673155</v>
          </cell>
          <cell r="C5068" t="str">
            <v>SS 316 GLAND PUSHER</v>
          </cell>
          <cell r="D5068" t="str">
            <v>L0030151                       EnggStore</v>
          </cell>
          <cell r="E5068">
            <v>0</v>
          </cell>
          <cell r="F5068" t="str">
            <v>ND No planning</v>
          </cell>
          <cell r="G5068" t="str">
            <v>ERSA Spare parts</v>
          </cell>
          <cell r="H5068" t="str">
            <v>EN032     Pumpspares</v>
          </cell>
          <cell r="I5068" t="str">
            <v>L003 Ankleshwar</v>
          </cell>
          <cell r="J5068" t="str">
            <v>99 Input/Byprodt/Scrap</v>
          </cell>
          <cell r="K5068" t="str">
            <v>10.2012</v>
          </cell>
          <cell r="L5068">
            <v>2</v>
          </cell>
          <cell r="M5068" t="str">
            <v>SET</v>
          </cell>
          <cell r="N5068">
            <v>4658.8500000000004</v>
          </cell>
          <cell r="O5068" t="str">
            <v>INR</v>
          </cell>
        </row>
        <row r="5069">
          <cell r="A5069" t="str">
            <v>L003 Ankleshwar</v>
          </cell>
          <cell r="B5069">
            <v>673211</v>
          </cell>
          <cell r="C5069" t="str">
            <v>V-BELT C-97</v>
          </cell>
          <cell r="D5069" t="str">
            <v>L0030151                       EnggStore</v>
          </cell>
          <cell r="E5069" t="str">
            <v>E35 E35</v>
          </cell>
          <cell r="F5069" t="str">
            <v>VB Manual reorder point planning</v>
          </cell>
          <cell r="G5069" t="str">
            <v>ERSA Spare parts</v>
          </cell>
          <cell r="H5069" t="str">
            <v>EN021     VbeltCoupling&amp;Pulley</v>
          </cell>
          <cell r="I5069" t="str">
            <v>L003 Ankleshwar</v>
          </cell>
          <cell r="J5069" t="str">
            <v>99 Input/Byprodt/Scrap</v>
          </cell>
          <cell r="K5069" t="str">
            <v>10.2012</v>
          </cell>
          <cell r="L5069">
            <v>4</v>
          </cell>
          <cell r="M5069" t="str">
            <v>EA</v>
          </cell>
          <cell r="N5069">
            <v>1613.14</v>
          </cell>
          <cell r="O5069" t="str">
            <v>INR</v>
          </cell>
        </row>
        <row r="5070">
          <cell r="A5070" t="str">
            <v>L003 Ankleshwar</v>
          </cell>
          <cell r="B5070">
            <v>673357</v>
          </cell>
          <cell r="C5070" t="str">
            <v>MS SHAFT FOR CPP 60 CT ANTICO PUMP</v>
          </cell>
          <cell r="D5070" t="str">
            <v>L0030151                       EnggStore</v>
          </cell>
          <cell r="E5070" t="str">
            <v>E34 E34</v>
          </cell>
          <cell r="F5070" t="str">
            <v>VB Manual reorder point planning</v>
          </cell>
          <cell r="G5070" t="str">
            <v>ERSA Spare parts</v>
          </cell>
          <cell r="H5070" t="str">
            <v>EN032     Pumpspares</v>
          </cell>
          <cell r="I5070" t="str">
            <v>L003 Ankleshwar</v>
          </cell>
          <cell r="J5070" t="str">
            <v>99 Input/Byprodt/Scrap</v>
          </cell>
          <cell r="K5070" t="str">
            <v>10.2012</v>
          </cell>
          <cell r="L5070">
            <v>1</v>
          </cell>
          <cell r="M5070" t="str">
            <v>EA</v>
          </cell>
          <cell r="N5070">
            <v>1200</v>
          </cell>
          <cell r="O5070" t="str">
            <v>INR</v>
          </cell>
        </row>
        <row r="5071">
          <cell r="A5071" t="str">
            <v>L003 Ankleshwar</v>
          </cell>
          <cell r="B5071">
            <v>673369</v>
          </cell>
          <cell r="C5071" t="str">
            <v>OIL SEAL 40*62*10</v>
          </cell>
          <cell r="D5071" t="str">
            <v>L0030151                       EnggStore</v>
          </cell>
          <cell r="E5071">
            <v>0</v>
          </cell>
          <cell r="F5071" t="str">
            <v>ND No planning</v>
          </cell>
          <cell r="G5071" t="str">
            <v>ERSA Spare parts</v>
          </cell>
          <cell r="H5071" t="str">
            <v>EN020     RubberItems&amp;Oil Seal</v>
          </cell>
          <cell r="I5071" t="str">
            <v>L003 Ankleshwar</v>
          </cell>
          <cell r="J5071" t="str">
            <v>99 Input/Byprodt/Scrap</v>
          </cell>
          <cell r="K5071" t="str">
            <v>10.2012</v>
          </cell>
          <cell r="L5071">
            <v>3</v>
          </cell>
          <cell r="M5071" t="str">
            <v>EA</v>
          </cell>
          <cell r="N5071">
            <v>67.2</v>
          </cell>
          <cell r="O5071" t="str">
            <v>INR</v>
          </cell>
        </row>
        <row r="5072">
          <cell r="A5072" t="str">
            <v>L003 Ankleshwar</v>
          </cell>
          <cell r="B5072">
            <v>673370</v>
          </cell>
          <cell r="C5072" t="str">
            <v>OIL SEAL 28*45*8</v>
          </cell>
          <cell r="D5072" t="str">
            <v>L0030151                       EnggStore</v>
          </cell>
          <cell r="E5072">
            <v>0</v>
          </cell>
          <cell r="F5072" t="str">
            <v>ND No planning</v>
          </cell>
          <cell r="G5072" t="str">
            <v>ERSA Spare parts</v>
          </cell>
          <cell r="H5072" t="str">
            <v>EN020     RubberItems&amp;Oil Seal</v>
          </cell>
          <cell r="I5072" t="str">
            <v>L003 Ankleshwar</v>
          </cell>
          <cell r="J5072" t="str">
            <v>99 Input/Byprodt/Scrap</v>
          </cell>
          <cell r="K5072" t="str">
            <v>10.2012</v>
          </cell>
          <cell r="L5072">
            <v>4</v>
          </cell>
          <cell r="M5072" t="str">
            <v>EA</v>
          </cell>
          <cell r="N5072">
            <v>64.400000000000006</v>
          </cell>
          <cell r="O5072" t="str">
            <v>INR</v>
          </cell>
        </row>
        <row r="5073">
          <cell r="A5073" t="str">
            <v>L003 Ankleshwar</v>
          </cell>
          <cell r="B5073">
            <v>673379</v>
          </cell>
          <cell r="C5073" t="str">
            <v>RUBBER MAT INSULATED,3MM THICK</v>
          </cell>
          <cell r="D5073" t="str">
            <v>L0030151                       EnggStore</v>
          </cell>
          <cell r="E5073" t="str">
            <v>E35 E35</v>
          </cell>
          <cell r="F5073" t="str">
            <v>VB Manual reorder point planning</v>
          </cell>
          <cell r="G5073" t="str">
            <v>ERSA Spare parts</v>
          </cell>
          <cell r="H5073" t="str">
            <v>EN003     ElectricalSpares</v>
          </cell>
          <cell r="I5073" t="str">
            <v>L003 Ankleshwar</v>
          </cell>
          <cell r="J5073" t="str">
            <v>99 Input/Byprodt/Scrap</v>
          </cell>
          <cell r="K5073" t="str">
            <v>10.2012</v>
          </cell>
          <cell r="L5073">
            <v>3</v>
          </cell>
          <cell r="M5073" t="str">
            <v>EA</v>
          </cell>
          <cell r="N5073">
            <v>10500</v>
          </cell>
          <cell r="O5073" t="str">
            <v>INR</v>
          </cell>
        </row>
        <row r="5074">
          <cell r="A5074" t="str">
            <v>L003 Ankleshwar</v>
          </cell>
          <cell r="B5074">
            <v>673427</v>
          </cell>
          <cell r="C5074" t="str">
            <v>CURRENT TRANSFORMER:CTR 600/5 A</v>
          </cell>
          <cell r="D5074" t="str">
            <v>L0030151                       EnggStore</v>
          </cell>
          <cell r="E5074">
            <v>0</v>
          </cell>
          <cell r="F5074" t="str">
            <v>ND No planning</v>
          </cell>
          <cell r="G5074" t="str">
            <v>ERSA Spare parts</v>
          </cell>
          <cell r="H5074" t="str">
            <v>EN003     ElectricalSpares</v>
          </cell>
          <cell r="I5074" t="str">
            <v>L003 Ankleshwar</v>
          </cell>
          <cell r="J5074" t="str">
            <v>99 Input/Byprodt/Scrap</v>
          </cell>
          <cell r="K5074" t="str">
            <v>10.2012</v>
          </cell>
          <cell r="L5074">
            <v>3</v>
          </cell>
          <cell r="M5074" t="str">
            <v>EA</v>
          </cell>
          <cell r="N5074">
            <v>1874.8499999999899</v>
          </cell>
          <cell r="O5074" t="str">
            <v>INR</v>
          </cell>
        </row>
        <row r="5075">
          <cell r="A5075" t="str">
            <v>L003 Ankleshwar</v>
          </cell>
          <cell r="B5075">
            <v>673486</v>
          </cell>
          <cell r="C5075" t="str">
            <v>IMPELLER C.I.,UP 100/38 KIRLOSKAR PUMP</v>
          </cell>
          <cell r="D5075" t="str">
            <v>L0030151                       EnggStore</v>
          </cell>
          <cell r="E5075">
            <v>0</v>
          </cell>
          <cell r="F5075" t="str">
            <v>ND No planning</v>
          </cell>
          <cell r="G5075" t="str">
            <v>ERSA Spare parts</v>
          </cell>
          <cell r="H5075" t="str">
            <v>EN032     Pumpspares</v>
          </cell>
          <cell r="I5075" t="str">
            <v>L003 Ankleshwar</v>
          </cell>
          <cell r="J5075" t="str">
            <v>99 Input/Byprodt/Scrap</v>
          </cell>
          <cell r="K5075" t="str">
            <v>10.2012</v>
          </cell>
          <cell r="L5075">
            <v>1</v>
          </cell>
          <cell r="M5075" t="str">
            <v>EA</v>
          </cell>
          <cell r="N5075">
            <v>12284</v>
          </cell>
          <cell r="O5075" t="str">
            <v>INR</v>
          </cell>
        </row>
        <row r="5076">
          <cell r="A5076" t="str">
            <v>L003 Ankleshwar</v>
          </cell>
          <cell r="B5076">
            <v>673527</v>
          </cell>
          <cell r="C5076" t="str">
            <v>NYLON REINFORCE NEOPRINE RUBBER SHEET 4"</v>
          </cell>
          <cell r="D5076" t="str">
            <v>L0030151                       EnggStore</v>
          </cell>
          <cell r="E5076">
            <v>0</v>
          </cell>
          <cell r="F5076" t="str">
            <v>ND No planning</v>
          </cell>
          <cell r="G5076" t="str">
            <v>ERSA Spare parts</v>
          </cell>
          <cell r="H5076" t="str">
            <v>EN023     Valves&amp;spares</v>
          </cell>
          <cell r="I5076" t="str">
            <v>L003 Ankleshwar</v>
          </cell>
          <cell r="J5076" t="str">
            <v>99 Input/Byprodt/Scrap</v>
          </cell>
          <cell r="K5076" t="str">
            <v>10.2012</v>
          </cell>
          <cell r="L5076">
            <v>1</v>
          </cell>
          <cell r="M5076" t="str">
            <v>EA</v>
          </cell>
          <cell r="N5076">
            <v>3200</v>
          </cell>
          <cell r="O5076" t="str">
            <v>INR</v>
          </cell>
        </row>
        <row r="5077">
          <cell r="A5077" t="str">
            <v>L003 Ankleshwar</v>
          </cell>
          <cell r="B5077">
            <v>673558</v>
          </cell>
          <cell r="C5077" t="str">
            <v>'O' RING: MODEL: RAS-250X250</v>
          </cell>
          <cell r="D5077" t="str">
            <v>L0030151                       EnggStore</v>
          </cell>
          <cell r="E5077">
            <v>0</v>
          </cell>
          <cell r="F5077" t="str">
            <v>ND No planning</v>
          </cell>
          <cell r="G5077" t="str">
            <v>ERSA Spare parts</v>
          </cell>
          <cell r="H5077" t="str">
            <v>EN032     Pumpspares</v>
          </cell>
          <cell r="I5077" t="str">
            <v>L003 Ankleshwar</v>
          </cell>
          <cell r="J5077" t="str">
            <v>99 Input/Byprodt/Scrap</v>
          </cell>
          <cell r="K5077" t="str">
            <v>10.2012</v>
          </cell>
          <cell r="L5077">
            <v>8</v>
          </cell>
          <cell r="M5077" t="str">
            <v>EA</v>
          </cell>
          <cell r="N5077">
            <v>2513.2800000000002</v>
          </cell>
          <cell r="O5077" t="str">
            <v>INR</v>
          </cell>
        </row>
        <row r="5078">
          <cell r="A5078" t="str">
            <v>L003 Ankleshwar</v>
          </cell>
          <cell r="B5078">
            <v>673586</v>
          </cell>
          <cell r="C5078" t="str">
            <v>BEARING HOUSING: MODEL: RAS-250X250</v>
          </cell>
          <cell r="D5078" t="str">
            <v>L0030151                       EnggStore</v>
          </cell>
          <cell r="E5078">
            <v>0</v>
          </cell>
          <cell r="F5078" t="str">
            <v>ND No planning</v>
          </cell>
          <cell r="G5078" t="str">
            <v>ERSA Spare parts</v>
          </cell>
          <cell r="H5078" t="str">
            <v>EN032     Pumpspares</v>
          </cell>
          <cell r="I5078" t="str">
            <v>L003 Ankleshwar</v>
          </cell>
          <cell r="J5078" t="str">
            <v>99 Input/Byprodt/Scrap</v>
          </cell>
          <cell r="K5078" t="str">
            <v>10.2012</v>
          </cell>
          <cell r="L5078">
            <v>1</v>
          </cell>
          <cell r="M5078" t="str">
            <v>EA</v>
          </cell>
          <cell r="N5078">
            <v>3141.5999999999899</v>
          </cell>
          <cell r="O5078" t="str">
            <v>INR</v>
          </cell>
        </row>
        <row r="5079">
          <cell r="A5079" t="str">
            <v>L003 Ankleshwar</v>
          </cell>
          <cell r="B5079">
            <v>673587</v>
          </cell>
          <cell r="C5079" t="str">
            <v>SS316 SHAFT-RAS250X250M:44MM SEAL DIA</v>
          </cell>
          <cell r="D5079" t="str">
            <v>L0030151                       EnggStore</v>
          </cell>
          <cell r="E5079">
            <v>0</v>
          </cell>
          <cell r="F5079" t="str">
            <v>ND No planning</v>
          </cell>
          <cell r="G5079" t="str">
            <v>ERSA Spare parts</v>
          </cell>
          <cell r="H5079" t="str">
            <v>EN032     Pumpspares</v>
          </cell>
          <cell r="I5079" t="str">
            <v>L003 Ankleshwar</v>
          </cell>
          <cell r="J5079" t="str">
            <v>99 Input/Byprodt/Scrap</v>
          </cell>
          <cell r="K5079" t="str">
            <v>10.2012</v>
          </cell>
          <cell r="L5079">
            <v>2</v>
          </cell>
          <cell r="M5079" t="str">
            <v>EA</v>
          </cell>
          <cell r="N5079">
            <v>24391.75</v>
          </cell>
          <cell r="O5079" t="str">
            <v>INR</v>
          </cell>
        </row>
        <row r="5080">
          <cell r="A5080" t="str">
            <v>L003 Ankleshwar</v>
          </cell>
          <cell r="B5080">
            <v>673592</v>
          </cell>
          <cell r="C5080" t="str">
            <v>OIL SEAL 50X72X8 NEOPRENE</v>
          </cell>
          <cell r="D5080" t="str">
            <v>L0030151                       EnggStore</v>
          </cell>
          <cell r="E5080" t="str">
            <v>E31 E31</v>
          </cell>
          <cell r="F5080" t="str">
            <v>VB Manual reorder point planning</v>
          </cell>
          <cell r="G5080" t="str">
            <v>ERSA Spare parts</v>
          </cell>
          <cell r="H5080" t="str">
            <v>EN020     RubberItems&amp;Oil Seal</v>
          </cell>
          <cell r="I5080" t="str">
            <v>L003 Ankleshwar</v>
          </cell>
          <cell r="J5080" t="str">
            <v>99 Input/Byprodt/Scrap</v>
          </cell>
          <cell r="K5080" t="str">
            <v>10.2012</v>
          </cell>
          <cell r="L5080">
            <v>7</v>
          </cell>
          <cell r="M5080" t="str">
            <v>EA</v>
          </cell>
          <cell r="N5080">
            <v>318.5</v>
          </cell>
          <cell r="O5080" t="str">
            <v>INR</v>
          </cell>
        </row>
        <row r="5081">
          <cell r="A5081" t="str">
            <v>L003 Ankleshwar</v>
          </cell>
          <cell r="B5081">
            <v>673593</v>
          </cell>
          <cell r="C5081" t="str">
            <v>OIL SEAL 45X65X7 NEOPRENE</v>
          </cell>
          <cell r="D5081" t="str">
            <v>L0030151                       EnggStore</v>
          </cell>
          <cell r="E5081" t="str">
            <v>E35 E35</v>
          </cell>
          <cell r="F5081" t="str">
            <v>VB Manual reorder point planning</v>
          </cell>
          <cell r="G5081" t="str">
            <v>ERSA Spare parts</v>
          </cell>
          <cell r="H5081" t="str">
            <v>EN020     RubberItems&amp;Oil Seal</v>
          </cell>
          <cell r="I5081" t="str">
            <v>L003 Ankleshwar</v>
          </cell>
          <cell r="J5081" t="str">
            <v>99 Input/Byprodt/Scrap</v>
          </cell>
          <cell r="K5081" t="str">
            <v>10.2012</v>
          </cell>
          <cell r="L5081">
            <v>9</v>
          </cell>
          <cell r="M5081" t="str">
            <v>EA</v>
          </cell>
          <cell r="N5081">
            <v>403.19999999999902</v>
          </cell>
          <cell r="O5081" t="str">
            <v>INR</v>
          </cell>
        </row>
        <row r="5082">
          <cell r="A5082" t="str">
            <v>L003 Ankleshwar</v>
          </cell>
          <cell r="B5082">
            <v>673595</v>
          </cell>
          <cell r="C5082" t="str">
            <v>'O' RING: MODEL: RAS-200X200</v>
          </cell>
          <cell r="D5082" t="str">
            <v>L0030151                       EnggStore</v>
          </cell>
          <cell r="E5082" t="str">
            <v>E34 E34</v>
          </cell>
          <cell r="F5082" t="str">
            <v>VB Manual reorder point planning</v>
          </cell>
          <cell r="G5082" t="str">
            <v>ERSA Spare parts</v>
          </cell>
          <cell r="H5082" t="str">
            <v>EN032     Pumpspares</v>
          </cell>
          <cell r="I5082" t="str">
            <v>L003 Ankleshwar</v>
          </cell>
          <cell r="J5082" t="str">
            <v>99 Input/Byprodt/Scrap</v>
          </cell>
          <cell r="K5082" t="str">
            <v>10.2012</v>
          </cell>
          <cell r="L5082">
            <v>5</v>
          </cell>
          <cell r="M5082" t="str">
            <v>EA</v>
          </cell>
          <cell r="N5082">
            <v>1346.4</v>
          </cell>
          <cell r="O5082" t="str">
            <v>INR</v>
          </cell>
        </row>
        <row r="5083">
          <cell r="A5083" t="str">
            <v>L003 Ankleshwar</v>
          </cell>
          <cell r="B5083">
            <v>673604</v>
          </cell>
          <cell r="C5083" t="str">
            <v>SS316 SHAFT-RAS200X200:44MM SEAL DIA</v>
          </cell>
          <cell r="D5083" t="str">
            <v>L0030151                       EnggStore</v>
          </cell>
          <cell r="E5083">
            <v>0</v>
          </cell>
          <cell r="F5083" t="str">
            <v>ND No planning</v>
          </cell>
          <cell r="G5083" t="str">
            <v>ERSA Spare parts</v>
          </cell>
          <cell r="H5083" t="str">
            <v>EN032     Pumpspares</v>
          </cell>
          <cell r="I5083" t="str">
            <v>L003 Ankleshwar</v>
          </cell>
          <cell r="J5083" t="str">
            <v>99 Input/Byprodt/Scrap</v>
          </cell>
          <cell r="K5083" t="str">
            <v>10.2012</v>
          </cell>
          <cell r="L5083">
            <v>2</v>
          </cell>
          <cell r="M5083" t="str">
            <v>EA</v>
          </cell>
          <cell r="N5083">
            <v>29899.5999999999</v>
          </cell>
          <cell r="O5083" t="str">
            <v>INR</v>
          </cell>
        </row>
        <row r="5084">
          <cell r="A5084" t="str">
            <v>L003 Ankleshwar</v>
          </cell>
          <cell r="B5084">
            <v>673625</v>
          </cell>
          <cell r="C5084" t="str">
            <v>24V DC POWER SUPPLY, 10AMP</v>
          </cell>
          <cell r="D5084" t="str">
            <v>L0030151                       EnggStore</v>
          </cell>
          <cell r="E5084">
            <v>0</v>
          </cell>
          <cell r="F5084" t="str">
            <v>ND No planning</v>
          </cell>
          <cell r="G5084" t="str">
            <v>ERSA Spare parts</v>
          </cell>
          <cell r="H5084" t="str">
            <v>EN017     InstrumentSpares</v>
          </cell>
          <cell r="I5084" t="str">
            <v>L003 Ankleshwar</v>
          </cell>
          <cell r="J5084" t="str">
            <v>99 Input/Byprodt/Scrap</v>
          </cell>
          <cell r="K5084" t="str">
            <v>10.2012</v>
          </cell>
          <cell r="L5084">
            <v>1</v>
          </cell>
          <cell r="M5084" t="str">
            <v>EA</v>
          </cell>
          <cell r="N5084">
            <v>4905</v>
          </cell>
          <cell r="O5084" t="str">
            <v>INR</v>
          </cell>
        </row>
        <row r="5085">
          <cell r="A5085" t="str">
            <v>L003 Ankleshwar</v>
          </cell>
          <cell r="B5085">
            <v>673681</v>
          </cell>
          <cell r="C5085" t="str">
            <v>SUSPENSION ROD: 48" DIA CF</v>
          </cell>
          <cell r="D5085" t="str">
            <v>L0030151                       EnggStore</v>
          </cell>
          <cell r="E5085">
            <v>0</v>
          </cell>
          <cell r="F5085" t="str">
            <v>ND No planning</v>
          </cell>
          <cell r="G5085" t="str">
            <v>ERSA Spare parts</v>
          </cell>
          <cell r="H5085" t="str">
            <v>EN039     PlantEquipmentSpares</v>
          </cell>
          <cell r="I5085" t="str">
            <v>L003 Ankleshwar</v>
          </cell>
          <cell r="J5085" t="str">
            <v>99 Input/Byprodt/Scrap</v>
          </cell>
          <cell r="K5085" t="str">
            <v>10.2012</v>
          </cell>
          <cell r="L5085">
            <v>3</v>
          </cell>
          <cell r="M5085" t="str">
            <v>EA</v>
          </cell>
          <cell r="N5085">
            <v>12150</v>
          </cell>
          <cell r="O5085" t="str">
            <v>INR</v>
          </cell>
        </row>
        <row r="5086">
          <cell r="A5086" t="str">
            <v>L003 Ankleshwar</v>
          </cell>
          <cell r="B5086">
            <v>673682</v>
          </cell>
          <cell r="C5086" t="str">
            <v>SUSPENSION SEAT MATCHINED: 48" DIA CF</v>
          </cell>
          <cell r="D5086" t="str">
            <v>L0030151                       EnggStore</v>
          </cell>
          <cell r="E5086">
            <v>0</v>
          </cell>
          <cell r="F5086" t="str">
            <v>ND No planning</v>
          </cell>
          <cell r="G5086" t="str">
            <v>ERSA Spare parts</v>
          </cell>
          <cell r="H5086" t="str">
            <v>EN039     PlantEquipmentSpares</v>
          </cell>
          <cell r="I5086" t="str">
            <v>L003 Ankleshwar</v>
          </cell>
          <cell r="J5086" t="str">
            <v>99 Input/Byprodt/Scrap</v>
          </cell>
          <cell r="K5086" t="str">
            <v>10.2012</v>
          </cell>
          <cell r="L5086">
            <v>3</v>
          </cell>
          <cell r="M5086" t="str">
            <v>EA</v>
          </cell>
          <cell r="N5086">
            <v>16740</v>
          </cell>
          <cell r="O5086" t="str">
            <v>INR</v>
          </cell>
        </row>
        <row r="5087">
          <cell r="A5087" t="str">
            <v>L003 Ankleshwar</v>
          </cell>
          <cell r="B5087">
            <v>673717</v>
          </cell>
          <cell r="C5087" t="str">
            <v>METALLIC GASKET SHEET 3 MM STYLE-K 1000</v>
          </cell>
          <cell r="D5087" t="str">
            <v>L0030151                       EnggStore</v>
          </cell>
          <cell r="E5087">
            <v>0</v>
          </cell>
          <cell r="F5087" t="str">
            <v>ND No planning</v>
          </cell>
          <cell r="G5087" t="str">
            <v>ERSA Spare parts</v>
          </cell>
          <cell r="H5087" t="str">
            <v>EN024     EnggConsumables</v>
          </cell>
          <cell r="I5087" t="str">
            <v>L003 Ankleshwar</v>
          </cell>
          <cell r="J5087" t="str">
            <v>99 Input/Byprodt/Scrap</v>
          </cell>
          <cell r="K5087" t="str">
            <v>10.2012</v>
          </cell>
          <cell r="L5087">
            <v>19.8</v>
          </cell>
          <cell r="M5087" t="str">
            <v>KG</v>
          </cell>
          <cell r="N5087">
            <v>6898.3199999999897</v>
          </cell>
          <cell r="O5087" t="str">
            <v>INR</v>
          </cell>
        </row>
        <row r="5088">
          <cell r="A5088" t="str">
            <v>L003 Ankleshwar</v>
          </cell>
          <cell r="B5088">
            <v>673741</v>
          </cell>
          <cell r="C5088" t="str">
            <v>SS316 CLOSED IMPELLER KPD:50X16A</v>
          </cell>
          <cell r="D5088" t="str">
            <v>L0030151                       EnggStore</v>
          </cell>
          <cell r="E5088">
            <v>0</v>
          </cell>
          <cell r="F5088" t="str">
            <v>ND No planning</v>
          </cell>
          <cell r="G5088" t="str">
            <v>ERSA Spare parts</v>
          </cell>
          <cell r="H5088" t="str">
            <v>EN032     Pumpspares</v>
          </cell>
          <cell r="I5088" t="str">
            <v>L003 Ankleshwar</v>
          </cell>
          <cell r="J5088" t="str">
            <v>99 Input/Byprodt/Scrap</v>
          </cell>
          <cell r="K5088" t="str">
            <v>10.2012</v>
          </cell>
          <cell r="L5088">
            <v>1</v>
          </cell>
          <cell r="M5088" t="str">
            <v>EA</v>
          </cell>
          <cell r="N5088">
            <v>17242</v>
          </cell>
          <cell r="O5088" t="str">
            <v>INR</v>
          </cell>
        </row>
        <row r="5089">
          <cell r="A5089" t="str">
            <v>L003 Ankleshwar</v>
          </cell>
          <cell r="B5089">
            <v>673745</v>
          </cell>
          <cell r="C5089" t="str">
            <v>SIDE GLASS TUBE FOR AQUAGAURD CLASSIC</v>
          </cell>
          <cell r="D5089" t="str">
            <v>L0030151                       EnggStore</v>
          </cell>
          <cell r="E5089">
            <v>0</v>
          </cell>
          <cell r="F5089" t="str">
            <v>ND No planning</v>
          </cell>
          <cell r="G5089" t="str">
            <v>ERSA Spare parts</v>
          </cell>
          <cell r="H5089" t="str">
            <v>EN037     Refrigeration&amp;A/Cspa</v>
          </cell>
          <cell r="I5089" t="str">
            <v>L003 Ankleshwar</v>
          </cell>
          <cell r="J5089" t="str">
            <v>99 Input/Byprodt/Scrap</v>
          </cell>
          <cell r="K5089" t="str">
            <v>10.2012</v>
          </cell>
          <cell r="L5089">
            <v>8</v>
          </cell>
          <cell r="M5089" t="str">
            <v>EA</v>
          </cell>
          <cell r="N5089">
            <v>2977.82</v>
          </cell>
          <cell r="O5089" t="str">
            <v>INR</v>
          </cell>
        </row>
        <row r="5090">
          <cell r="A5090" t="str">
            <v>L003 Ankleshwar</v>
          </cell>
          <cell r="B5090">
            <v>673746</v>
          </cell>
          <cell r="C5090" t="str">
            <v>SIDE GLASS TUBE FOR AQUAGAURD HIGH FLOW</v>
          </cell>
          <cell r="D5090" t="str">
            <v>L0030151                       EnggStore</v>
          </cell>
          <cell r="E5090">
            <v>0</v>
          </cell>
          <cell r="F5090" t="str">
            <v>ND No planning</v>
          </cell>
          <cell r="G5090" t="str">
            <v>ERSA Spare parts</v>
          </cell>
          <cell r="H5090" t="str">
            <v>EN037     Refrigeration&amp;A/Cspa</v>
          </cell>
          <cell r="I5090" t="str">
            <v>L003 Ankleshwar</v>
          </cell>
          <cell r="J5090" t="str">
            <v>99 Input/Byprodt/Scrap</v>
          </cell>
          <cell r="K5090" t="str">
            <v>10.2012</v>
          </cell>
          <cell r="L5090">
            <v>5</v>
          </cell>
          <cell r="M5090" t="str">
            <v>EA</v>
          </cell>
          <cell r="N5090">
            <v>2891.8699999999899</v>
          </cell>
          <cell r="O5090" t="str">
            <v>INR</v>
          </cell>
        </row>
        <row r="5091">
          <cell r="A5091" t="str">
            <v>L003 Ankleshwar</v>
          </cell>
          <cell r="B5091">
            <v>673805</v>
          </cell>
          <cell r="C5091" t="str">
            <v>MS MANHOLE COVER</v>
          </cell>
          <cell r="D5091" t="str">
            <v>L0030151                       EnggStore</v>
          </cell>
          <cell r="E5091">
            <v>0</v>
          </cell>
          <cell r="F5091" t="str">
            <v>ND No planning</v>
          </cell>
          <cell r="G5091" t="str">
            <v>ERSA Spare parts</v>
          </cell>
          <cell r="H5091" t="str">
            <v>EN033     Reactors/vessels/fer</v>
          </cell>
          <cell r="I5091" t="str">
            <v>L003 Ankleshwar</v>
          </cell>
          <cell r="J5091" t="str">
            <v>99 Input/Byprodt/Scrap</v>
          </cell>
          <cell r="K5091" t="str">
            <v>10.2012</v>
          </cell>
          <cell r="L5091">
            <v>1</v>
          </cell>
          <cell r="M5091" t="str">
            <v>EA</v>
          </cell>
          <cell r="N5091">
            <v>4500</v>
          </cell>
          <cell r="O5091" t="str">
            <v>INR</v>
          </cell>
        </row>
        <row r="5092">
          <cell r="A5092" t="str">
            <v>L003 Ankleshwar</v>
          </cell>
          <cell r="B5092">
            <v>673967</v>
          </cell>
          <cell r="C5092" t="str">
            <v>NM GASKET: 1-1/4"</v>
          </cell>
          <cell r="D5092" t="str">
            <v>L0030151                       EnggStore</v>
          </cell>
          <cell r="E5092" t="str">
            <v>E35 E35</v>
          </cell>
          <cell r="F5092" t="str">
            <v>VB Manual reorder point planning</v>
          </cell>
          <cell r="G5092" t="str">
            <v>ERSA Spare parts</v>
          </cell>
          <cell r="H5092" t="str">
            <v>EN024     EnggConsumables</v>
          </cell>
          <cell r="I5092" t="str">
            <v>L003 Ankleshwar</v>
          </cell>
          <cell r="J5092" t="str">
            <v>99 Input/Byprodt/Scrap</v>
          </cell>
          <cell r="K5092" t="str">
            <v>10.2012</v>
          </cell>
          <cell r="L5092">
            <v>123</v>
          </cell>
          <cell r="M5092" t="str">
            <v>EA</v>
          </cell>
          <cell r="N5092">
            <v>418.19999999999902</v>
          </cell>
          <cell r="O5092" t="str">
            <v>INR</v>
          </cell>
        </row>
        <row r="5093">
          <cell r="A5093" t="str">
            <v>L003 Ankleshwar</v>
          </cell>
          <cell r="B5093">
            <v>673970</v>
          </cell>
          <cell r="C5093" t="str">
            <v>OIL SEAL : 52 X 72 X 10</v>
          </cell>
          <cell r="D5093" t="str">
            <v>L0030151                       EnggStore</v>
          </cell>
          <cell r="E5093">
            <v>0</v>
          </cell>
          <cell r="F5093" t="str">
            <v>ND No planning</v>
          </cell>
          <cell r="G5093" t="str">
            <v>ERSA Spare parts</v>
          </cell>
          <cell r="H5093" t="str">
            <v>EN020     RubberItems&amp;Oil Seal</v>
          </cell>
          <cell r="I5093" t="str">
            <v>L003 Ankleshwar</v>
          </cell>
          <cell r="J5093" t="str">
            <v>99 Input/Byprodt/Scrap</v>
          </cell>
          <cell r="K5093" t="str">
            <v>10.2012</v>
          </cell>
          <cell r="L5093">
            <v>2</v>
          </cell>
          <cell r="M5093" t="str">
            <v>EA</v>
          </cell>
          <cell r="N5093">
            <v>40</v>
          </cell>
          <cell r="O5093" t="str">
            <v>INR</v>
          </cell>
        </row>
        <row r="5094">
          <cell r="A5094" t="str">
            <v>L003 Ankleshwar</v>
          </cell>
          <cell r="B5094">
            <v>674113</v>
          </cell>
          <cell r="C5094" t="str">
            <v>CAGE SHOE GUIDE T'75X75X10MMTHICK</v>
          </cell>
          <cell r="D5094" t="str">
            <v>L0030151                       EnggStore</v>
          </cell>
          <cell r="E5094">
            <v>0</v>
          </cell>
          <cell r="F5094" t="str">
            <v>ND No planning</v>
          </cell>
          <cell r="G5094" t="str">
            <v>ERSA Spare parts</v>
          </cell>
          <cell r="H5094" t="str">
            <v>EN039     PlantEquipmentSpares</v>
          </cell>
          <cell r="I5094" t="str">
            <v>L003 Ankleshwar</v>
          </cell>
          <cell r="J5094" t="str">
            <v>99 Input/Byprodt/Scrap</v>
          </cell>
          <cell r="K5094" t="str">
            <v>10.2012</v>
          </cell>
          <cell r="L5094">
            <v>2</v>
          </cell>
          <cell r="M5094" t="str">
            <v>EA</v>
          </cell>
          <cell r="N5094">
            <v>4554.3</v>
          </cell>
          <cell r="O5094" t="str">
            <v>INR</v>
          </cell>
        </row>
        <row r="5095">
          <cell r="A5095" t="str">
            <v>L003 Ankleshwar</v>
          </cell>
          <cell r="B5095">
            <v>674117</v>
          </cell>
          <cell r="C5095" t="str">
            <v>ROPE GUIDE FOR ROPE DRUM : DIA 241MM</v>
          </cell>
          <cell r="D5095" t="str">
            <v>L0030151                       EnggStore</v>
          </cell>
          <cell r="E5095">
            <v>0</v>
          </cell>
          <cell r="F5095" t="str">
            <v>ND No planning</v>
          </cell>
          <cell r="G5095" t="str">
            <v>ERSA Spare parts</v>
          </cell>
          <cell r="H5095" t="str">
            <v>EN039     PlantEquipmentSpares</v>
          </cell>
          <cell r="I5095" t="str">
            <v>L003 Ankleshwar</v>
          </cell>
          <cell r="J5095" t="str">
            <v>99 Input/Byprodt/Scrap</v>
          </cell>
          <cell r="K5095" t="str">
            <v>10.2012</v>
          </cell>
          <cell r="L5095">
            <v>2</v>
          </cell>
          <cell r="M5095" t="str">
            <v>EA</v>
          </cell>
          <cell r="N5095">
            <v>7655.1</v>
          </cell>
          <cell r="O5095" t="str">
            <v>INR</v>
          </cell>
        </row>
        <row r="5096">
          <cell r="A5096" t="str">
            <v>L003 Ankleshwar</v>
          </cell>
          <cell r="B5096">
            <v>674146</v>
          </cell>
          <cell r="C5096" t="str">
            <v>GI WIRE ROPE CLAMP U TYPE : 3/8"</v>
          </cell>
          <cell r="D5096" t="str">
            <v>L0030151                       EnggStore</v>
          </cell>
          <cell r="E5096">
            <v>0</v>
          </cell>
          <cell r="F5096" t="str">
            <v>ND No planning</v>
          </cell>
          <cell r="G5096" t="str">
            <v>ERSA Spare parts</v>
          </cell>
          <cell r="H5096" t="str">
            <v>EN022     Hardwareitems</v>
          </cell>
          <cell r="I5096" t="str">
            <v>L003 Ankleshwar</v>
          </cell>
          <cell r="J5096" t="str">
            <v>99 Input/Byprodt/Scrap</v>
          </cell>
          <cell r="K5096" t="str">
            <v>10.2012</v>
          </cell>
          <cell r="L5096">
            <v>32</v>
          </cell>
          <cell r="M5096" t="str">
            <v>EA</v>
          </cell>
          <cell r="N5096">
            <v>960</v>
          </cell>
          <cell r="O5096" t="str">
            <v>INR</v>
          </cell>
        </row>
        <row r="5097">
          <cell r="A5097" t="str">
            <v>L003 Ankleshwar</v>
          </cell>
          <cell r="B5097">
            <v>674148</v>
          </cell>
          <cell r="C5097" t="str">
            <v>MS RIVET : 6MM X 35MM</v>
          </cell>
          <cell r="D5097" t="str">
            <v>L0030151                       EnggStore</v>
          </cell>
          <cell r="E5097">
            <v>0</v>
          </cell>
          <cell r="F5097" t="str">
            <v>ND No planning</v>
          </cell>
          <cell r="G5097" t="str">
            <v>ERSA Spare parts</v>
          </cell>
          <cell r="H5097" t="str">
            <v>EN015     MaterialHandlingspar</v>
          </cell>
          <cell r="I5097" t="str">
            <v>L003 Ankleshwar</v>
          </cell>
          <cell r="J5097" t="str">
            <v>99 Input/Byprodt/Scrap</v>
          </cell>
          <cell r="K5097" t="str">
            <v>10.2012</v>
          </cell>
          <cell r="L5097">
            <v>109</v>
          </cell>
          <cell r="M5097" t="str">
            <v>EA</v>
          </cell>
          <cell r="N5097">
            <v>207.099999999999</v>
          </cell>
          <cell r="O5097" t="str">
            <v>INR</v>
          </cell>
        </row>
        <row r="5098">
          <cell r="A5098" t="str">
            <v>L003 Ankleshwar</v>
          </cell>
          <cell r="B5098">
            <v>674149</v>
          </cell>
          <cell r="C5098" t="str">
            <v>MS RIVET : 5MM X 25MM</v>
          </cell>
          <cell r="D5098" t="str">
            <v>L0030151                       EnggStore</v>
          </cell>
          <cell r="E5098">
            <v>0</v>
          </cell>
          <cell r="F5098" t="str">
            <v>ND No planning</v>
          </cell>
          <cell r="G5098" t="str">
            <v>ERSA Spare parts</v>
          </cell>
          <cell r="H5098" t="str">
            <v>EN015     MaterialHandlingspar</v>
          </cell>
          <cell r="I5098" t="str">
            <v>L003 Ankleshwar</v>
          </cell>
          <cell r="J5098" t="str">
            <v>99 Input/Byprodt/Scrap</v>
          </cell>
          <cell r="K5098" t="str">
            <v>10.2012</v>
          </cell>
          <cell r="L5098">
            <v>351</v>
          </cell>
          <cell r="M5098" t="str">
            <v>EA</v>
          </cell>
          <cell r="N5098">
            <v>526.5</v>
          </cell>
          <cell r="O5098" t="str">
            <v>INR</v>
          </cell>
        </row>
        <row r="5099">
          <cell r="A5099" t="str">
            <v>L003 Ankleshwar</v>
          </cell>
          <cell r="B5099">
            <v>674176</v>
          </cell>
          <cell r="C5099" t="str">
            <v>DRUM GEAR FOR 2TON CAGEHOIST</v>
          </cell>
          <cell r="D5099" t="str">
            <v>L0030151                       EnggStore</v>
          </cell>
          <cell r="E5099">
            <v>0</v>
          </cell>
          <cell r="F5099" t="str">
            <v>ND No planning</v>
          </cell>
          <cell r="G5099" t="str">
            <v>ERSA Spare parts</v>
          </cell>
          <cell r="H5099" t="str">
            <v>EN039     PlantEquipmentSpares</v>
          </cell>
          <cell r="I5099" t="str">
            <v>L003 Ankleshwar</v>
          </cell>
          <cell r="J5099" t="str">
            <v>99 Input/Byprodt/Scrap</v>
          </cell>
          <cell r="K5099" t="str">
            <v>10.2012</v>
          </cell>
          <cell r="L5099">
            <v>1</v>
          </cell>
          <cell r="M5099" t="str">
            <v>EA</v>
          </cell>
          <cell r="N5099">
            <v>16473</v>
          </cell>
          <cell r="O5099" t="str">
            <v>INR</v>
          </cell>
        </row>
        <row r="5100">
          <cell r="A5100" t="str">
            <v>L003 Ankleshwar</v>
          </cell>
          <cell r="B5100">
            <v>674209</v>
          </cell>
          <cell r="C5100" t="str">
            <v>CARBON SEAL RING-HI-FAB: SSDB-E2: 75MM</v>
          </cell>
          <cell r="D5100" t="str">
            <v>L0030151                       EnggStore</v>
          </cell>
          <cell r="E5100">
            <v>0</v>
          </cell>
          <cell r="F5100" t="str">
            <v>ND No planning</v>
          </cell>
          <cell r="G5100" t="str">
            <v>ERSA Spare parts</v>
          </cell>
          <cell r="H5100" t="str">
            <v>EN038     MechanicalSeals&amp;Spar</v>
          </cell>
          <cell r="I5100" t="str">
            <v>L003 Ankleshwar</v>
          </cell>
          <cell r="J5100" t="str">
            <v>99 Input/Byprodt/Scrap</v>
          </cell>
          <cell r="K5100" t="str">
            <v>10.2012</v>
          </cell>
          <cell r="L5100">
            <v>1</v>
          </cell>
          <cell r="M5100" t="str">
            <v>EA</v>
          </cell>
          <cell r="N5100">
            <v>8510.1499999999905</v>
          </cell>
          <cell r="O5100" t="str">
            <v>INR</v>
          </cell>
        </row>
        <row r="5101">
          <cell r="A5101" t="str">
            <v>L003 Ankleshwar</v>
          </cell>
          <cell r="B5101">
            <v>674211</v>
          </cell>
          <cell r="C5101" t="str">
            <v>TC ST.SEAT-DA-HI-FAB: SSDB-E2: 75MM</v>
          </cell>
          <cell r="D5101" t="str">
            <v>L0030151                       EnggStore</v>
          </cell>
          <cell r="E5101">
            <v>0</v>
          </cell>
          <cell r="F5101" t="str">
            <v>ND No planning</v>
          </cell>
          <cell r="G5101" t="str">
            <v>ERSA Spare parts</v>
          </cell>
          <cell r="H5101" t="str">
            <v>EN038     MechanicalSeals&amp;Spar</v>
          </cell>
          <cell r="I5101" t="str">
            <v>L003 Ankleshwar</v>
          </cell>
          <cell r="J5101" t="str">
            <v>99 Input/Byprodt/Scrap</v>
          </cell>
          <cell r="K5101" t="str">
            <v>10.2012</v>
          </cell>
          <cell r="L5101">
            <v>1</v>
          </cell>
          <cell r="M5101" t="str">
            <v>SET</v>
          </cell>
          <cell r="N5101">
            <v>14067.809999999899</v>
          </cell>
          <cell r="O5101" t="str">
            <v>INR</v>
          </cell>
        </row>
        <row r="5102">
          <cell r="A5102" t="str">
            <v>L003 Ankleshwar</v>
          </cell>
          <cell r="B5102">
            <v>674214</v>
          </cell>
          <cell r="C5102" t="str">
            <v>SS SNAP RING-HI-FAB: SSDB-E2: 75MM</v>
          </cell>
          <cell r="D5102" t="str">
            <v>L0030151                       EnggStore</v>
          </cell>
          <cell r="E5102">
            <v>0</v>
          </cell>
          <cell r="F5102" t="str">
            <v>ND No planning</v>
          </cell>
          <cell r="G5102" t="str">
            <v>ERSA Spare parts</v>
          </cell>
          <cell r="H5102" t="str">
            <v>EN038     MechanicalSeals&amp;Spar</v>
          </cell>
          <cell r="I5102" t="str">
            <v>L003 Ankleshwar</v>
          </cell>
          <cell r="J5102" t="str">
            <v>99 Input/Byprodt/Scrap</v>
          </cell>
          <cell r="K5102" t="str">
            <v>10.2012</v>
          </cell>
          <cell r="L5102">
            <v>1</v>
          </cell>
          <cell r="M5102" t="str">
            <v>EA</v>
          </cell>
          <cell r="N5102">
            <v>382.08999999999901</v>
          </cell>
          <cell r="O5102" t="str">
            <v>INR</v>
          </cell>
        </row>
        <row r="5103">
          <cell r="A5103" t="str">
            <v>L003 Ankleshwar</v>
          </cell>
          <cell r="B5103">
            <v>674215</v>
          </cell>
          <cell r="C5103" t="str">
            <v>SS GRUB SCREW-HI-FAB: SSDB-E2: 75MM</v>
          </cell>
          <cell r="D5103" t="str">
            <v>L0030151                       EnggStore</v>
          </cell>
          <cell r="E5103">
            <v>0</v>
          </cell>
          <cell r="F5103" t="str">
            <v>ND No planning</v>
          </cell>
          <cell r="G5103" t="str">
            <v>ERSA Spare parts</v>
          </cell>
          <cell r="H5103" t="str">
            <v>EN038     MechanicalSeals&amp;Spar</v>
          </cell>
          <cell r="I5103" t="str">
            <v>L003 Ankleshwar</v>
          </cell>
          <cell r="J5103" t="str">
            <v>99 Input/Byprodt/Scrap</v>
          </cell>
          <cell r="K5103" t="str">
            <v>10.2012</v>
          </cell>
          <cell r="L5103">
            <v>1</v>
          </cell>
          <cell r="M5103" t="str">
            <v>SET</v>
          </cell>
          <cell r="N5103">
            <v>521.03999999999905</v>
          </cell>
          <cell r="O5103" t="str">
            <v>INR</v>
          </cell>
        </row>
        <row r="5104">
          <cell r="A5104" t="str">
            <v>L003 Ankleshwar</v>
          </cell>
          <cell r="B5104">
            <v>674270</v>
          </cell>
          <cell r="C5104" t="str">
            <v>SS-316 NUT BOLT 10X75MM</v>
          </cell>
          <cell r="D5104" t="str">
            <v>L0030151                       EnggStore</v>
          </cell>
          <cell r="E5104">
            <v>0</v>
          </cell>
          <cell r="F5104" t="str">
            <v>ND No planning</v>
          </cell>
          <cell r="G5104" t="str">
            <v>ERSA Spare parts</v>
          </cell>
          <cell r="H5104" t="str">
            <v>EN022     Hardwareitems</v>
          </cell>
          <cell r="I5104" t="str">
            <v>L003 Ankleshwar</v>
          </cell>
          <cell r="J5104" t="str">
            <v>99 Input/Byprodt/Scrap</v>
          </cell>
          <cell r="K5104" t="str">
            <v>10.2012</v>
          </cell>
          <cell r="L5104">
            <v>64</v>
          </cell>
          <cell r="M5104" t="str">
            <v>EA</v>
          </cell>
          <cell r="N5104">
            <v>1606.89</v>
          </cell>
          <cell r="O5104" t="str">
            <v>INR</v>
          </cell>
        </row>
        <row r="5105">
          <cell r="A5105" t="str">
            <v>L003 Ankleshwar</v>
          </cell>
          <cell r="B5105">
            <v>674303</v>
          </cell>
          <cell r="C5105" t="str">
            <v>DIGITAL I/O MODULE 1794-IB16XOB16P</v>
          </cell>
          <cell r="D5105" t="str">
            <v>L0030151                       EnggStore</v>
          </cell>
          <cell r="E5105">
            <v>0</v>
          </cell>
          <cell r="F5105" t="str">
            <v>ND No planning</v>
          </cell>
          <cell r="G5105" t="str">
            <v>ERSA Spare parts</v>
          </cell>
          <cell r="H5105" t="str">
            <v>EN017     InstrumentSpares</v>
          </cell>
          <cell r="I5105" t="str">
            <v>L003 Ankleshwar</v>
          </cell>
          <cell r="J5105" t="str">
            <v>99 Input/Byprodt/Scrap</v>
          </cell>
          <cell r="K5105" t="str">
            <v>10.2012</v>
          </cell>
          <cell r="L5105">
            <v>1</v>
          </cell>
          <cell r="M5105" t="str">
            <v>EA</v>
          </cell>
          <cell r="N5105">
            <v>13897.84</v>
          </cell>
          <cell r="O5105" t="str">
            <v>INR</v>
          </cell>
        </row>
        <row r="5106">
          <cell r="A5106" t="str">
            <v>L003 Ankleshwar</v>
          </cell>
          <cell r="B5106">
            <v>674388</v>
          </cell>
          <cell r="C5106" t="str">
            <v>AC AXIAL FAN SIZE:120X120X38,230VAC</v>
          </cell>
          <cell r="D5106" t="str">
            <v>L0030151                       EnggStore</v>
          </cell>
          <cell r="E5106" t="str">
            <v>E37 E37</v>
          </cell>
          <cell r="F5106" t="str">
            <v>VB Manual reorder point planning</v>
          </cell>
          <cell r="G5106" t="str">
            <v>ERSA Spare parts</v>
          </cell>
          <cell r="H5106" t="str">
            <v>EN017     InstrumentSpares</v>
          </cell>
          <cell r="I5106" t="str">
            <v>L003 Ankleshwar</v>
          </cell>
          <cell r="J5106" t="str">
            <v>99 Input/Byprodt/Scrap</v>
          </cell>
          <cell r="K5106" t="str">
            <v>10.2012</v>
          </cell>
          <cell r="L5106">
            <v>2</v>
          </cell>
          <cell r="M5106" t="str">
            <v>EA</v>
          </cell>
          <cell r="N5106">
            <v>765</v>
          </cell>
          <cell r="O5106" t="str">
            <v>INR</v>
          </cell>
        </row>
        <row r="5107">
          <cell r="A5107" t="str">
            <v>L003 Ankleshwar</v>
          </cell>
          <cell r="B5107">
            <v>674389</v>
          </cell>
          <cell r="C5107" t="str">
            <v>DC BRUSHLESS FAN SIZE:92X92X25,24VDC</v>
          </cell>
          <cell r="D5107" t="str">
            <v>L0030151                       EnggStore</v>
          </cell>
          <cell r="E5107" t="str">
            <v>E01 E01</v>
          </cell>
          <cell r="F5107" t="str">
            <v>ND No planning</v>
          </cell>
          <cell r="G5107" t="str">
            <v>ERSA Spare parts</v>
          </cell>
          <cell r="H5107" t="str">
            <v>EN017     InstrumentSpares</v>
          </cell>
          <cell r="I5107" t="str">
            <v>L003 Ankleshwar</v>
          </cell>
          <cell r="J5107" t="str">
            <v>99 Input/Byprodt/Scrap</v>
          </cell>
          <cell r="K5107" t="str">
            <v>10.2012</v>
          </cell>
          <cell r="L5107">
            <v>4</v>
          </cell>
          <cell r="M5107" t="str">
            <v>EA</v>
          </cell>
          <cell r="N5107">
            <v>592.57000000000005</v>
          </cell>
          <cell r="O5107" t="str">
            <v>INR</v>
          </cell>
        </row>
        <row r="5108">
          <cell r="A5108" t="str">
            <v>L003 Ankleshwar</v>
          </cell>
          <cell r="B5108">
            <v>674390</v>
          </cell>
          <cell r="C5108" t="str">
            <v>DC BRUSHLESS FAN SIZE:120X120X38,24VDC</v>
          </cell>
          <cell r="D5108" t="str">
            <v>L0030151                       EnggStore</v>
          </cell>
          <cell r="E5108" t="str">
            <v>E01 E01</v>
          </cell>
          <cell r="F5108" t="str">
            <v>ND No planning</v>
          </cell>
          <cell r="G5108" t="str">
            <v>ERSA Spare parts</v>
          </cell>
          <cell r="H5108" t="str">
            <v>EN017     InstrumentSpares</v>
          </cell>
          <cell r="I5108" t="str">
            <v>L003 Ankleshwar</v>
          </cell>
          <cell r="J5108" t="str">
            <v>99 Input/Byprodt/Scrap</v>
          </cell>
          <cell r="K5108" t="str">
            <v>10.2012</v>
          </cell>
          <cell r="L5108">
            <v>2</v>
          </cell>
          <cell r="M5108" t="str">
            <v>EA</v>
          </cell>
          <cell r="N5108">
            <v>864</v>
          </cell>
          <cell r="O5108" t="str">
            <v>INR</v>
          </cell>
        </row>
        <row r="5109">
          <cell r="A5109" t="str">
            <v>L003 Ankleshwar</v>
          </cell>
          <cell r="B5109">
            <v>674430</v>
          </cell>
          <cell r="C5109" t="str">
            <v>BEARING 6311 ZZ C3</v>
          </cell>
          <cell r="D5109" t="str">
            <v>L0030151                       EnggStore</v>
          </cell>
          <cell r="E5109">
            <v>0</v>
          </cell>
          <cell r="F5109" t="str">
            <v>ND No planning</v>
          </cell>
          <cell r="G5109" t="str">
            <v>ERSA Spare parts</v>
          </cell>
          <cell r="H5109" t="str">
            <v>EN009     Bearings</v>
          </cell>
          <cell r="I5109" t="str">
            <v>L003 Ankleshwar</v>
          </cell>
          <cell r="J5109" t="str">
            <v>99 Input/Byprodt/Scrap</v>
          </cell>
          <cell r="K5109" t="str">
            <v>10.2012</v>
          </cell>
          <cell r="L5109">
            <v>2</v>
          </cell>
          <cell r="M5109" t="str">
            <v>EA</v>
          </cell>
          <cell r="N5109">
            <v>1660.22</v>
          </cell>
          <cell r="O5109" t="str">
            <v>INR</v>
          </cell>
        </row>
        <row r="5110">
          <cell r="A5110" t="str">
            <v>L003 Ankleshwar</v>
          </cell>
          <cell r="B5110">
            <v>674441</v>
          </cell>
          <cell r="C5110" t="str">
            <v>AC AXIAL FAN SIZE:220X60MM,230VAC</v>
          </cell>
          <cell r="D5110" t="str">
            <v>L0030151                       EnggStore</v>
          </cell>
          <cell r="E5110" t="str">
            <v>E37 E37</v>
          </cell>
          <cell r="F5110" t="str">
            <v>VB Manual reorder point planning</v>
          </cell>
          <cell r="G5110" t="str">
            <v>ERSA Spare parts</v>
          </cell>
          <cell r="H5110" t="str">
            <v>EN017     InstrumentSpares</v>
          </cell>
          <cell r="I5110" t="str">
            <v>L003 Ankleshwar</v>
          </cell>
          <cell r="J5110" t="str">
            <v>99 Input/Byprodt/Scrap</v>
          </cell>
          <cell r="K5110" t="str">
            <v>10.2012</v>
          </cell>
          <cell r="L5110">
            <v>2</v>
          </cell>
          <cell r="M5110" t="str">
            <v>EA</v>
          </cell>
          <cell r="N5110">
            <v>2227</v>
          </cell>
          <cell r="O5110" t="str">
            <v>INR</v>
          </cell>
        </row>
        <row r="5111">
          <cell r="A5111" t="str">
            <v>L003 Ankleshwar</v>
          </cell>
          <cell r="B5111">
            <v>674546</v>
          </cell>
          <cell r="C5111" t="str">
            <v>85-264 VAC TO 24 VDC POWER SUPPLY1794PS3</v>
          </cell>
          <cell r="D5111" t="str">
            <v>L0030151                       EnggStore</v>
          </cell>
          <cell r="E5111">
            <v>0</v>
          </cell>
          <cell r="F5111" t="str">
            <v>ND No planning</v>
          </cell>
          <cell r="G5111" t="str">
            <v>ERSA Spare parts</v>
          </cell>
          <cell r="H5111" t="str">
            <v>EN017     InstrumentSpares</v>
          </cell>
          <cell r="I5111" t="str">
            <v>L003 Ankleshwar</v>
          </cell>
          <cell r="J5111" t="str">
            <v>99 Input/Byprodt/Scrap</v>
          </cell>
          <cell r="K5111" t="str">
            <v>10.2012</v>
          </cell>
          <cell r="L5111">
            <v>2</v>
          </cell>
          <cell r="M5111" t="str">
            <v>EA</v>
          </cell>
          <cell r="N5111">
            <v>6665</v>
          </cell>
          <cell r="O5111" t="str">
            <v>INR</v>
          </cell>
        </row>
        <row r="5112">
          <cell r="A5112" t="str">
            <v>L003 Ankleshwar</v>
          </cell>
          <cell r="B5112">
            <v>674806</v>
          </cell>
          <cell r="C5112" t="str">
            <v>SS304 SHAFT W/T NUT FOR DB40/20 PUMP</v>
          </cell>
          <cell r="D5112" t="str">
            <v>L0030151                       EnggStore</v>
          </cell>
          <cell r="E5112" t="str">
            <v>E01 E01</v>
          </cell>
          <cell r="F5112" t="str">
            <v>ND No planning</v>
          </cell>
          <cell r="G5112" t="str">
            <v>ERSA Spare parts</v>
          </cell>
          <cell r="H5112" t="str">
            <v>EN032     Pumpspares</v>
          </cell>
          <cell r="I5112" t="str">
            <v>L003 Ankleshwar</v>
          </cell>
          <cell r="J5112" t="str">
            <v>99 Input/Byprodt/Scrap</v>
          </cell>
          <cell r="K5112" t="str">
            <v>10.2012</v>
          </cell>
          <cell r="L5112">
            <v>1</v>
          </cell>
          <cell r="M5112" t="str">
            <v>SET</v>
          </cell>
          <cell r="N5112">
            <v>2972.03</v>
          </cell>
          <cell r="O5112" t="str">
            <v>INR</v>
          </cell>
        </row>
        <row r="5113">
          <cell r="A5113" t="str">
            <v>L003 Ankleshwar</v>
          </cell>
          <cell r="B5113">
            <v>674823</v>
          </cell>
          <cell r="C5113" t="str">
            <v>DRUMSHAFT FOR JAYCOLIFT</v>
          </cell>
          <cell r="D5113" t="str">
            <v>L0030151                       EnggStore</v>
          </cell>
          <cell r="E5113">
            <v>0</v>
          </cell>
          <cell r="F5113" t="str">
            <v>ND No planning</v>
          </cell>
          <cell r="G5113" t="str">
            <v>ERSA Spare parts</v>
          </cell>
          <cell r="H5113" t="str">
            <v>EN039     PlantEquipmentSpares</v>
          </cell>
          <cell r="I5113" t="str">
            <v>L003 Ankleshwar</v>
          </cell>
          <cell r="J5113" t="str">
            <v>99 Input/Byprodt/Scrap</v>
          </cell>
          <cell r="K5113" t="str">
            <v>10.2012</v>
          </cell>
          <cell r="L5113">
            <v>1</v>
          </cell>
          <cell r="M5113" t="str">
            <v>NO</v>
          </cell>
          <cell r="N5113">
            <v>15969.12</v>
          </cell>
          <cell r="O5113" t="str">
            <v>INR</v>
          </cell>
        </row>
        <row r="5114">
          <cell r="A5114" t="str">
            <v>L003 Ankleshwar</v>
          </cell>
          <cell r="B5114">
            <v>674824</v>
          </cell>
          <cell r="C5114" t="str">
            <v>JAYCOLIFT 1st STAGE GEAR</v>
          </cell>
          <cell r="D5114" t="str">
            <v>L0030151                       EnggStore</v>
          </cell>
          <cell r="E5114">
            <v>0</v>
          </cell>
          <cell r="F5114" t="str">
            <v>ND No planning</v>
          </cell>
          <cell r="G5114" t="str">
            <v>ERSA Spare parts</v>
          </cell>
          <cell r="H5114" t="str">
            <v>EN039     PlantEquipmentSpares</v>
          </cell>
          <cell r="I5114" t="str">
            <v>L003 Ankleshwar</v>
          </cell>
          <cell r="J5114" t="str">
            <v>99 Input/Byprodt/Scrap</v>
          </cell>
          <cell r="K5114" t="str">
            <v>10.2012</v>
          </cell>
          <cell r="L5114">
            <v>1</v>
          </cell>
          <cell r="M5114" t="str">
            <v>NO</v>
          </cell>
          <cell r="N5114">
            <v>7848.8999999999896</v>
          </cell>
          <cell r="O5114" t="str">
            <v>INR</v>
          </cell>
        </row>
        <row r="5115">
          <cell r="A5115" t="str">
            <v>L003 Ankleshwar</v>
          </cell>
          <cell r="B5115">
            <v>674825</v>
          </cell>
          <cell r="C5115" t="str">
            <v>JAYCOLIFT 2ND STAGE PINION</v>
          </cell>
          <cell r="D5115" t="str">
            <v>L0030151                       EnggStore</v>
          </cell>
          <cell r="E5115">
            <v>0</v>
          </cell>
          <cell r="F5115" t="str">
            <v>ND No planning</v>
          </cell>
          <cell r="G5115" t="str">
            <v>ERSA Spare parts</v>
          </cell>
          <cell r="H5115" t="str">
            <v>EN039     PlantEquipmentSpares</v>
          </cell>
          <cell r="I5115" t="str">
            <v>L003 Ankleshwar</v>
          </cell>
          <cell r="J5115" t="str">
            <v>99 Input/Byprodt/Scrap</v>
          </cell>
          <cell r="K5115" t="str">
            <v>10.2012</v>
          </cell>
          <cell r="L5115">
            <v>1</v>
          </cell>
          <cell r="M5115" t="str">
            <v>NO</v>
          </cell>
          <cell r="N5115">
            <v>4360.5</v>
          </cell>
          <cell r="O5115" t="str">
            <v>INR</v>
          </cell>
        </row>
        <row r="5116">
          <cell r="A5116" t="str">
            <v>L003 Ankleshwar</v>
          </cell>
          <cell r="B5116">
            <v>674826</v>
          </cell>
          <cell r="C5116" t="str">
            <v>JAYCOLIFT 2ND STAGE GEAR</v>
          </cell>
          <cell r="D5116" t="str">
            <v>L0030151                       EnggStore</v>
          </cell>
          <cell r="E5116">
            <v>0</v>
          </cell>
          <cell r="F5116" t="str">
            <v>ND No planning</v>
          </cell>
          <cell r="G5116" t="str">
            <v>ERSA Spare parts</v>
          </cell>
          <cell r="H5116" t="str">
            <v>EN039     PlantEquipmentSpares</v>
          </cell>
          <cell r="I5116" t="str">
            <v>L003 Ankleshwar</v>
          </cell>
          <cell r="J5116" t="str">
            <v>99 Input/Byprodt/Scrap</v>
          </cell>
          <cell r="K5116" t="str">
            <v>10.2012</v>
          </cell>
          <cell r="L5116">
            <v>1</v>
          </cell>
          <cell r="M5116" t="str">
            <v>NO</v>
          </cell>
          <cell r="N5116">
            <v>9883.7999999999902</v>
          </cell>
          <cell r="O5116" t="str">
            <v>INR</v>
          </cell>
        </row>
        <row r="5117">
          <cell r="A5117" t="str">
            <v>L003 Ankleshwar</v>
          </cell>
          <cell r="B5117">
            <v>674827</v>
          </cell>
          <cell r="C5117" t="str">
            <v>JAYCOLIFT 3RD STAGE PINION</v>
          </cell>
          <cell r="D5117" t="str">
            <v>L0030151                       EnggStore</v>
          </cell>
          <cell r="E5117">
            <v>0</v>
          </cell>
          <cell r="F5117" t="str">
            <v>ND No planning</v>
          </cell>
          <cell r="G5117" t="str">
            <v>ERSA Spare parts</v>
          </cell>
          <cell r="H5117" t="str">
            <v>EN039     PlantEquipmentSpares</v>
          </cell>
          <cell r="I5117" t="str">
            <v>L003 Ankleshwar</v>
          </cell>
          <cell r="J5117" t="str">
            <v>99 Input/Byprodt/Scrap</v>
          </cell>
          <cell r="K5117" t="str">
            <v>10.2012</v>
          </cell>
          <cell r="L5117">
            <v>1</v>
          </cell>
          <cell r="M5117" t="str">
            <v>NO</v>
          </cell>
          <cell r="N5117">
            <v>6104.6999999999898</v>
          </cell>
          <cell r="O5117" t="str">
            <v>INR</v>
          </cell>
        </row>
        <row r="5118">
          <cell r="A5118" t="str">
            <v>L003 Ankleshwar</v>
          </cell>
          <cell r="B5118">
            <v>674871</v>
          </cell>
          <cell r="C5118" t="str">
            <v>NM RING GASKET SET FOR CALANDRIA (BONET)</v>
          </cell>
          <cell r="D5118" t="str">
            <v>L0030151                       EnggStore</v>
          </cell>
          <cell r="E5118" t="str">
            <v>E35 E35</v>
          </cell>
          <cell r="F5118" t="str">
            <v>VB Manual reorder point planning</v>
          </cell>
          <cell r="G5118" t="str">
            <v>ERSA Spare parts</v>
          </cell>
          <cell r="H5118" t="str">
            <v>EN024     EnggConsumables</v>
          </cell>
          <cell r="I5118" t="str">
            <v>L003 Ankleshwar</v>
          </cell>
          <cell r="J5118" t="str">
            <v>99 Input/Byprodt/Scrap</v>
          </cell>
          <cell r="K5118" t="str">
            <v>10.2012</v>
          </cell>
          <cell r="L5118">
            <v>4</v>
          </cell>
          <cell r="M5118" t="str">
            <v>SET</v>
          </cell>
          <cell r="N5118">
            <v>3007</v>
          </cell>
          <cell r="O5118" t="str">
            <v>INR</v>
          </cell>
        </row>
        <row r="5119">
          <cell r="A5119" t="str">
            <v>L003 Ankleshwar</v>
          </cell>
          <cell r="B5119">
            <v>674872</v>
          </cell>
          <cell r="C5119" t="str">
            <v>NM RING GASKET SET FOR PREHEATER (TOP)</v>
          </cell>
          <cell r="D5119" t="str">
            <v>L0030151                       EnggStore</v>
          </cell>
          <cell r="E5119" t="str">
            <v>E35 E35</v>
          </cell>
          <cell r="F5119" t="str">
            <v>VB Manual reorder point planning</v>
          </cell>
          <cell r="G5119" t="str">
            <v>ERSA Spare parts</v>
          </cell>
          <cell r="H5119" t="str">
            <v>EN024     EnggConsumables</v>
          </cell>
          <cell r="I5119" t="str">
            <v>L003 Ankleshwar</v>
          </cell>
          <cell r="J5119" t="str">
            <v>99 Input/Byprodt/Scrap</v>
          </cell>
          <cell r="K5119" t="str">
            <v>10.2012</v>
          </cell>
          <cell r="L5119">
            <v>4</v>
          </cell>
          <cell r="M5119" t="str">
            <v>SET</v>
          </cell>
          <cell r="N5119">
            <v>1579.38</v>
          </cell>
          <cell r="O5119" t="str">
            <v>INR</v>
          </cell>
        </row>
        <row r="5120">
          <cell r="A5120" t="str">
            <v>L003 Ankleshwar</v>
          </cell>
          <cell r="B5120">
            <v>674873</v>
          </cell>
          <cell r="C5120" t="str">
            <v>NM RING GASKET SET FOR PREHEATER(BOTTOM)</v>
          </cell>
          <cell r="D5120" t="str">
            <v>L0030151                       EnggStore</v>
          </cell>
          <cell r="E5120" t="str">
            <v>E35 E35</v>
          </cell>
          <cell r="F5120" t="str">
            <v>VB Manual reorder point planning</v>
          </cell>
          <cell r="G5120" t="str">
            <v>ERSA Spare parts</v>
          </cell>
          <cell r="H5120" t="str">
            <v>EN024     EnggConsumables</v>
          </cell>
          <cell r="I5120" t="str">
            <v>L003 Ankleshwar</v>
          </cell>
          <cell r="J5120" t="str">
            <v>99 Input/Byprodt/Scrap</v>
          </cell>
          <cell r="K5120" t="str">
            <v>10.2012</v>
          </cell>
          <cell r="L5120">
            <v>4</v>
          </cell>
          <cell r="M5120" t="str">
            <v>SET</v>
          </cell>
          <cell r="N5120">
            <v>1579.38</v>
          </cell>
          <cell r="O5120" t="str">
            <v>INR</v>
          </cell>
        </row>
        <row r="5121">
          <cell r="A5121" t="str">
            <v>L003 Ankleshwar</v>
          </cell>
          <cell r="B5121">
            <v>674878</v>
          </cell>
          <cell r="C5121" t="str">
            <v>FLUID PULLEY EXT.CIRCLIP:PT.NO21:FP 11.5</v>
          </cell>
          <cell r="D5121" t="str">
            <v>L0030151                       EnggStore</v>
          </cell>
          <cell r="E5121">
            <v>0</v>
          </cell>
          <cell r="F5121" t="str">
            <v>ND No planning</v>
          </cell>
          <cell r="G5121" t="str">
            <v>ERSA Spare parts</v>
          </cell>
          <cell r="H5121" t="str">
            <v>EN021     VbeltCoupling&amp;Pulley</v>
          </cell>
          <cell r="I5121" t="str">
            <v>L003 Ankleshwar</v>
          </cell>
          <cell r="J5121" t="str">
            <v>99 Input/Byprodt/Scrap</v>
          </cell>
          <cell r="K5121" t="str">
            <v>10.2012</v>
          </cell>
          <cell r="L5121">
            <v>3</v>
          </cell>
          <cell r="M5121" t="str">
            <v>EA</v>
          </cell>
          <cell r="N5121">
            <v>210.08</v>
          </cell>
          <cell r="O5121" t="str">
            <v>INR</v>
          </cell>
        </row>
        <row r="5122">
          <cell r="A5122" t="str">
            <v>L003 Ankleshwar</v>
          </cell>
          <cell r="B5122">
            <v>674879</v>
          </cell>
          <cell r="C5122" t="str">
            <v>FLUID PULLEY FILLING PLUG:PT.NO22:FP11.5</v>
          </cell>
          <cell r="D5122" t="str">
            <v>L0030151                       EnggStore</v>
          </cell>
          <cell r="E5122">
            <v>0</v>
          </cell>
          <cell r="F5122" t="str">
            <v>ND No planning</v>
          </cell>
          <cell r="G5122" t="str">
            <v>ERSA Spare parts</v>
          </cell>
          <cell r="H5122" t="str">
            <v>EN021     VbeltCoupling&amp;Pulley</v>
          </cell>
          <cell r="I5122" t="str">
            <v>L003 Ankleshwar</v>
          </cell>
          <cell r="J5122" t="str">
            <v>99 Input/Byprodt/Scrap</v>
          </cell>
          <cell r="K5122" t="str">
            <v>10.2012</v>
          </cell>
          <cell r="L5122">
            <v>1</v>
          </cell>
          <cell r="M5122" t="str">
            <v>EA</v>
          </cell>
          <cell r="N5122">
            <v>200.09</v>
          </cell>
          <cell r="O5122" t="str">
            <v>INR</v>
          </cell>
        </row>
        <row r="5123">
          <cell r="A5123" t="str">
            <v>L003 Ankleshwar</v>
          </cell>
          <cell r="B5123">
            <v>674880</v>
          </cell>
          <cell r="C5123" t="str">
            <v>FLUID PULLEY SEAL HOUSING:PTNO162:FP11.5</v>
          </cell>
          <cell r="D5123" t="str">
            <v>L0030151                       EnggStore</v>
          </cell>
          <cell r="E5123">
            <v>0</v>
          </cell>
          <cell r="F5123" t="str">
            <v>ND No planning</v>
          </cell>
          <cell r="G5123" t="str">
            <v>ERSA Spare parts</v>
          </cell>
          <cell r="H5123" t="str">
            <v>EN021     VbeltCoupling&amp;Pulley</v>
          </cell>
          <cell r="I5123" t="str">
            <v>L003 Ankleshwar</v>
          </cell>
          <cell r="J5123" t="str">
            <v>99 Input/Byprodt/Scrap</v>
          </cell>
          <cell r="K5123" t="str">
            <v>10.2012</v>
          </cell>
          <cell r="L5123">
            <v>2</v>
          </cell>
          <cell r="M5123" t="str">
            <v>EA</v>
          </cell>
          <cell r="N5123">
            <v>1500</v>
          </cell>
          <cell r="O5123" t="str">
            <v>INR</v>
          </cell>
        </row>
        <row r="5124">
          <cell r="A5124" t="str">
            <v>L003 Ankleshwar</v>
          </cell>
          <cell r="B5124">
            <v>674881</v>
          </cell>
          <cell r="C5124" t="str">
            <v>FLUID PULLEY EXT.CIRCLIP:PT.NO174:FP11.5</v>
          </cell>
          <cell r="D5124" t="str">
            <v>L0030151                       EnggStore</v>
          </cell>
          <cell r="E5124">
            <v>0</v>
          </cell>
          <cell r="F5124" t="str">
            <v>ND No planning</v>
          </cell>
          <cell r="G5124" t="str">
            <v>ERSA Spare parts</v>
          </cell>
          <cell r="H5124" t="str">
            <v>EN021     VbeltCoupling&amp;Pulley</v>
          </cell>
          <cell r="I5124" t="str">
            <v>L003 Ankleshwar</v>
          </cell>
          <cell r="J5124" t="str">
            <v>99 Input/Byprodt/Scrap</v>
          </cell>
          <cell r="K5124" t="str">
            <v>10.2012</v>
          </cell>
          <cell r="L5124">
            <v>2</v>
          </cell>
          <cell r="M5124" t="str">
            <v>EA</v>
          </cell>
          <cell r="N5124">
            <v>180.069999999999</v>
          </cell>
          <cell r="O5124" t="str">
            <v>INR</v>
          </cell>
        </row>
        <row r="5125">
          <cell r="A5125" t="str">
            <v>L003 Ankleshwar</v>
          </cell>
          <cell r="B5125">
            <v>674882</v>
          </cell>
          <cell r="C5125" t="str">
            <v>FLUID PULLEY INT.CIRCLIP:PT.NO175:FP11.5</v>
          </cell>
          <cell r="D5125" t="str">
            <v>L0030151                       EnggStore</v>
          </cell>
          <cell r="E5125">
            <v>0</v>
          </cell>
          <cell r="F5125" t="str">
            <v>ND No planning</v>
          </cell>
          <cell r="G5125" t="str">
            <v>ERSA Spare parts</v>
          </cell>
          <cell r="H5125" t="str">
            <v>EN021     VbeltCoupling&amp;Pulley</v>
          </cell>
          <cell r="I5125" t="str">
            <v>L003 Ankleshwar</v>
          </cell>
          <cell r="J5125" t="str">
            <v>99 Input/Byprodt/Scrap</v>
          </cell>
          <cell r="K5125" t="str">
            <v>10.2012</v>
          </cell>
          <cell r="L5125">
            <v>5</v>
          </cell>
          <cell r="M5125" t="str">
            <v>EA</v>
          </cell>
          <cell r="N5125">
            <v>900.38</v>
          </cell>
          <cell r="O5125" t="str">
            <v>INR</v>
          </cell>
        </row>
        <row r="5126">
          <cell r="A5126" t="str">
            <v>L003 Ankleshwar</v>
          </cell>
          <cell r="B5126">
            <v>674894</v>
          </cell>
          <cell r="C5126" t="str">
            <v>FLUID PULLEY EXT.CIRCLIP:PTNO174:FP12.75</v>
          </cell>
          <cell r="D5126" t="str">
            <v>L0030151                       EnggStore</v>
          </cell>
          <cell r="E5126">
            <v>0</v>
          </cell>
          <cell r="F5126" t="str">
            <v>ND No planning</v>
          </cell>
          <cell r="G5126" t="str">
            <v>ERSA Spare parts</v>
          </cell>
          <cell r="H5126" t="str">
            <v>EN021     VbeltCoupling&amp;Pulley</v>
          </cell>
          <cell r="I5126" t="str">
            <v>L003 Ankleshwar</v>
          </cell>
          <cell r="J5126" t="str">
            <v>99 Input/Byprodt/Scrap</v>
          </cell>
          <cell r="K5126" t="str">
            <v>10.2012</v>
          </cell>
          <cell r="L5126">
            <v>4</v>
          </cell>
          <cell r="M5126" t="str">
            <v>EA</v>
          </cell>
          <cell r="N5126">
            <v>440.19999999999902</v>
          </cell>
          <cell r="O5126" t="str">
            <v>INR</v>
          </cell>
        </row>
        <row r="5127">
          <cell r="A5127" t="str">
            <v>L003 Ankleshwar</v>
          </cell>
          <cell r="B5127">
            <v>674895</v>
          </cell>
          <cell r="C5127" t="str">
            <v>FLUID PULLEY INT.CIRCLIP:PTNO175:FP12.75</v>
          </cell>
          <cell r="D5127" t="str">
            <v>L0030151                       EnggStore</v>
          </cell>
          <cell r="E5127">
            <v>0</v>
          </cell>
          <cell r="F5127" t="str">
            <v>ND No planning</v>
          </cell>
          <cell r="G5127" t="str">
            <v>ERSA Spare parts</v>
          </cell>
          <cell r="H5127" t="str">
            <v>EN021     VbeltCoupling&amp;Pulley</v>
          </cell>
          <cell r="I5127" t="str">
            <v>L003 Ankleshwar</v>
          </cell>
          <cell r="J5127" t="str">
            <v>99 Input/Byprodt/Scrap</v>
          </cell>
          <cell r="K5127" t="str">
            <v>10.2012</v>
          </cell>
          <cell r="L5127">
            <v>5</v>
          </cell>
          <cell r="M5127" t="str">
            <v>EA</v>
          </cell>
          <cell r="N5127">
            <v>1000.42</v>
          </cell>
          <cell r="O5127" t="str">
            <v>INR</v>
          </cell>
        </row>
        <row r="5128">
          <cell r="A5128" t="str">
            <v>L003 Ankleshwar</v>
          </cell>
          <cell r="B5128">
            <v>674942</v>
          </cell>
          <cell r="C5128" t="str">
            <v>PROXYMITY SENSOR-TURCK MAKE,24VDC</v>
          </cell>
          <cell r="D5128" t="str">
            <v>L0030151                       EnggStore</v>
          </cell>
          <cell r="E5128">
            <v>0</v>
          </cell>
          <cell r="F5128" t="str">
            <v>ND No planning</v>
          </cell>
          <cell r="G5128" t="str">
            <v>ERSA Spare parts</v>
          </cell>
          <cell r="H5128" t="str">
            <v>EN017     InstrumentSpares</v>
          </cell>
          <cell r="I5128" t="str">
            <v>L003 Ankleshwar</v>
          </cell>
          <cell r="J5128" t="str">
            <v>99 Input/Byprodt/Scrap</v>
          </cell>
          <cell r="K5128" t="str">
            <v>10.2012</v>
          </cell>
          <cell r="L5128">
            <v>1</v>
          </cell>
          <cell r="M5128" t="str">
            <v>EA</v>
          </cell>
          <cell r="N5128">
            <v>3267.98</v>
          </cell>
          <cell r="O5128" t="str">
            <v>INR</v>
          </cell>
        </row>
        <row r="5129">
          <cell r="A5129" t="str">
            <v>L003 Ankleshwar</v>
          </cell>
          <cell r="B5129">
            <v>674952</v>
          </cell>
          <cell r="C5129" t="str">
            <v>48 ORIENTAL CF BEARING HOUSING O-RING</v>
          </cell>
          <cell r="D5129" t="str">
            <v>L0030151                       EnggStore</v>
          </cell>
          <cell r="E5129">
            <v>0</v>
          </cell>
          <cell r="F5129" t="str">
            <v>ND No planning</v>
          </cell>
          <cell r="G5129" t="str">
            <v>ERSA Spare parts</v>
          </cell>
          <cell r="H5129" t="str">
            <v>EN039     PlantEquipmentSpares</v>
          </cell>
          <cell r="I5129" t="str">
            <v>L003 Ankleshwar</v>
          </cell>
          <cell r="J5129" t="str">
            <v>99 Input/Byprodt/Scrap</v>
          </cell>
          <cell r="K5129" t="str">
            <v>10.2012</v>
          </cell>
          <cell r="L5129">
            <v>4</v>
          </cell>
          <cell r="M5129" t="str">
            <v>NO</v>
          </cell>
          <cell r="N5129">
            <v>1710</v>
          </cell>
          <cell r="O5129" t="str">
            <v>INR</v>
          </cell>
        </row>
        <row r="5130">
          <cell r="A5130" t="str">
            <v>L003 Ankleshwar</v>
          </cell>
          <cell r="B5130">
            <v>674969</v>
          </cell>
          <cell r="C5130" t="str">
            <v>VITON O RING-HI-FAB:0550(0440)PT NO.1</v>
          </cell>
          <cell r="D5130" t="str">
            <v>L0030151                       EnggStore</v>
          </cell>
          <cell r="E5130">
            <v>0</v>
          </cell>
          <cell r="F5130" t="str">
            <v>ND No planning</v>
          </cell>
          <cell r="G5130" t="str">
            <v>ERSA Spare parts</v>
          </cell>
          <cell r="H5130" t="str">
            <v>EN038     MechanicalSeals&amp;Spar</v>
          </cell>
          <cell r="I5130" t="str">
            <v>L003 Ankleshwar</v>
          </cell>
          <cell r="J5130" t="str">
            <v>99 Input/Byprodt/Scrap</v>
          </cell>
          <cell r="K5130" t="str">
            <v>10.2012</v>
          </cell>
          <cell r="L5130">
            <v>2</v>
          </cell>
          <cell r="M5130" t="str">
            <v>EA</v>
          </cell>
          <cell r="N5130">
            <v>871.25999999999897</v>
          </cell>
          <cell r="O5130" t="str">
            <v>INR</v>
          </cell>
        </row>
        <row r="5131">
          <cell r="A5131" t="str">
            <v>L003 Ankleshwar</v>
          </cell>
          <cell r="B5131">
            <v>674970</v>
          </cell>
          <cell r="C5131" t="str">
            <v>VITON O RING-HI-FAB:0550(0440)PT NO.2</v>
          </cell>
          <cell r="D5131" t="str">
            <v>L0030151                       EnggStore</v>
          </cell>
          <cell r="E5131">
            <v>0</v>
          </cell>
          <cell r="F5131" t="str">
            <v>ND No planning</v>
          </cell>
          <cell r="G5131" t="str">
            <v>ERSA Spare parts</v>
          </cell>
          <cell r="H5131" t="str">
            <v>EN038     MechanicalSeals&amp;Spar</v>
          </cell>
          <cell r="I5131" t="str">
            <v>L003 Ankleshwar</v>
          </cell>
          <cell r="J5131" t="str">
            <v>99 Input/Byprodt/Scrap</v>
          </cell>
          <cell r="K5131" t="str">
            <v>10.2012</v>
          </cell>
          <cell r="L5131">
            <v>2</v>
          </cell>
          <cell r="M5131" t="str">
            <v>EA</v>
          </cell>
          <cell r="N5131">
            <v>1089.0799999999899</v>
          </cell>
          <cell r="O5131" t="str">
            <v>INR</v>
          </cell>
        </row>
        <row r="5132">
          <cell r="A5132" t="str">
            <v>L003 Ankleshwar</v>
          </cell>
          <cell r="B5132">
            <v>674975</v>
          </cell>
          <cell r="C5132" t="str">
            <v>GFT SUPPORT RING-HI-FAB: 0550(0440)</v>
          </cell>
          <cell r="D5132" t="str">
            <v>L0030151                       EnggStore</v>
          </cell>
          <cell r="E5132">
            <v>0</v>
          </cell>
          <cell r="F5132" t="str">
            <v>ND No planning</v>
          </cell>
          <cell r="G5132" t="str">
            <v>ERSA Spare parts</v>
          </cell>
          <cell r="H5132" t="str">
            <v>EN038     MechanicalSeals&amp;Spar</v>
          </cell>
          <cell r="I5132" t="str">
            <v>L003 Ankleshwar</v>
          </cell>
          <cell r="J5132" t="str">
            <v>99 Input/Byprodt/Scrap</v>
          </cell>
          <cell r="K5132" t="str">
            <v>10.2012</v>
          </cell>
          <cell r="L5132">
            <v>2</v>
          </cell>
          <cell r="M5132" t="str">
            <v>EA</v>
          </cell>
          <cell r="N5132">
            <v>653.45000000000005</v>
          </cell>
          <cell r="O5132" t="str">
            <v>INR</v>
          </cell>
        </row>
        <row r="5133">
          <cell r="A5133" t="str">
            <v>L003 Ankleshwar</v>
          </cell>
          <cell r="B5133">
            <v>674976</v>
          </cell>
          <cell r="C5133" t="str">
            <v>SS 316 SPRING-HI-FAB: 0550(0440)</v>
          </cell>
          <cell r="D5133" t="str">
            <v>L0030151                       EnggStore</v>
          </cell>
          <cell r="E5133">
            <v>0</v>
          </cell>
          <cell r="F5133" t="str">
            <v>ND No planning</v>
          </cell>
          <cell r="G5133" t="str">
            <v>ERSA Spare parts</v>
          </cell>
          <cell r="H5133" t="str">
            <v>EN038     MechanicalSeals&amp;Spar</v>
          </cell>
          <cell r="I5133" t="str">
            <v>L003 Ankleshwar</v>
          </cell>
          <cell r="J5133" t="str">
            <v>99 Input/Byprodt/Scrap</v>
          </cell>
          <cell r="K5133" t="str">
            <v>10.2012</v>
          </cell>
          <cell r="L5133">
            <v>2</v>
          </cell>
          <cell r="M5133" t="str">
            <v>SET</v>
          </cell>
          <cell r="N5133">
            <v>1306.8800000000001</v>
          </cell>
          <cell r="O5133" t="str">
            <v>INR</v>
          </cell>
        </row>
        <row r="5134">
          <cell r="A5134" t="str">
            <v>L003 Ankleshwar</v>
          </cell>
          <cell r="B5134">
            <v>674977</v>
          </cell>
          <cell r="C5134" t="str">
            <v>VITON O RING-HI-FAB:0550(0440)PT NO.9</v>
          </cell>
          <cell r="D5134" t="str">
            <v>L0030151                       EnggStore</v>
          </cell>
          <cell r="E5134">
            <v>0</v>
          </cell>
          <cell r="F5134" t="str">
            <v>ND No planning</v>
          </cell>
          <cell r="G5134" t="str">
            <v>ERSA Spare parts</v>
          </cell>
          <cell r="H5134" t="str">
            <v>EN038     MechanicalSeals&amp;Spar</v>
          </cell>
          <cell r="I5134" t="str">
            <v>L003 Ankleshwar</v>
          </cell>
          <cell r="J5134" t="str">
            <v>99 Input/Byprodt/Scrap</v>
          </cell>
          <cell r="K5134" t="str">
            <v>10.2012</v>
          </cell>
          <cell r="L5134">
            <v>2</v>
          </cell>
          <cell r="M5134" t="str">
            <v>EA</v>
          </cell>
          <cell r="N5134">
            <v>1742.53</v>
          </cell>
          <cell r="O5134" t="str">
            <v>INR</v>
          </cell>
        </row>
        <row r="5135">
          <cell r="A5135" t="str">
            <v>L003 Ankleshwar</v>
          </cell>
          <cell r="B5135">
            <v>674980</v>
          </cell>
          <cell r="C5135" t="str">
            <v>VITON O RING-HI-FAB:0550(0440)PTNO.12</v>
          </cell>
          <cell r="D5135" t="str">
            <v>L0030151                       EnggStore</v>
          </cell>
          <cell r="E5135">
            <v>0</v>
          </cell>
          <cell r="F5135" t="str">
            <v>ND No planning</v>
          </cell>
          <cell r="G5135" t="str">
            <v>ERSA Spare parts</v>
          </cell>
          <cell r="H5135" t="str">
            <v>EN038     MechanicalSeals&amp;Spar</v>
          </cell>
          <cell r="I5135" t="str">
            <v>L003 Ankleshwar</v>
          </cell>
          <cell r="J5135" t="str">
            <v>99 Input/Byprodt/Scrap</v>
          </cell>
          <cell r="K5135" t="str">
            <v>10.2012</v>
          </cell>
          <cell r="L5135">
            <v>2</v>
          </cell>
          <cell r="M5135" t="str">
            <v>EA</v>
          </cell>
          <cell r="N5135">
            <v>1047.2</v>
          </cell>
          <cell r="O5135" t="str">
            <v>INR</v>
          </cell>
        </row>
        <row r="5136">
          <cell r="A5136" t="str">
            <v>L003 Ankleshwar</v>
          </cell>
          <cell r="B5136">
            <v>674983</v>
          </cell>
          <cell r="C5136" t="str">
            <v>VITON O RING-HI-FAB:0550(0440)PTNO.15</v>
          </cell>
          <cell r="D5136" t="str">
            <v>L0030151                       EnggStore</v>
          </cell>
          <cell r="E5136">
            <v>0</v>
          </cell>
          <cell r="F5136" t="str">
            <v>ND No planning</v>
          </cell>
          <cell r="G5136" t="str">
            <v>ERSA Spare parts</v>
          </cell>
          <cell r="H5136" t="str">
            <v>EN038     MechanicalSeals&amp;Spar</v>
          </cell>
          <cell r="I5136" t="str">
            <v>L003 Ankleshwar</v>
          </cell>
          <cell r="J5136" t="str">
            <v>99 Input/Byprodt/Scrap</v>
          </cell>
          <cell r="K5136" t="str">
            <v>10.2012</v>
          </cell>
          <cell r="L5136">
            <v>2</v>
          </cell>
          <cell r="M5136" t="str">
            <v>EA</v>
          </cell>
          <cell r="N5136">
            <v>1089.0799999999899</v>
          </cell>
          <cell r="O5136" t="str">
            <v>INR</v>
          </cell>
        </row>
        <row r="5137">
          <cell r="A5137" t="str">
            <v>L003 Ankleshwar</v>
          </cell>
          <cell r="B5137">
            <v>674984</v>
          </cell>
          <cell r="C5137" t="str">
            <v>VITON O RING-HI-FAB:0550(0440)PTNO.16</v>
          </cell>
          <cell r="D5137" t="str">
            <v>L0030151                       EnggStore</v>
          </cell>
          <cell r="E5137">
            <v>0</v>
          </cell>
          <cell r="F5137" t="str">
            <v>ND No planning</v>
          </cell>
          <cell r="G5137" t="str">
            <v>ERSA Spare parts</v>
          </cell>
          <cell r="H5137" t="str">
            <v>EN038     MechanicalSeals&amp;Spar</v>
          </cell>
          <cell r="I5137" t="str">
            <v>L003 Ankleshwar</v>
          </cell>
          <cell r="J5137" t="str">
            <v>99 Input/Byprodt/Scrap</v>
          </cell>
          <cell r="K5137" t="str">
            <v>10.2012</v>
          </cell>
          <cell r="L5137">
            <v>2</v>
          </cell>
          <cell r="M5137" t="str">
            <v>EA</v>
          </cell>
          <cell r="N5137">
            <v>871.25999999999897</v>
          </cell>
          <cell r="O5137" t="str">
            <v>INR</v>
          </cell>
        </row>
        <row r="5138">
          <cell r="A5138" t="str">
            <v>L003 Ankleshwar</v>
          </cell>
          <cell r="B5138">
            <v>674985</v>
          </cell>
          <cell r="C5138" t="str">
            <v>SS 316 GRUB SCREW-HI-FAB: 0550(0440)</v>
          </cell>
          <cell r="D5138" t="str">
            <v>L0030151                       EnggStore</v>
          </cell>
          <cell r="E5138">
            <v>0</v>
          </cell>
          <cell r="F5138" t="str">
            <v>ND No planning</v>
          </cell>
          <cell r="G5138" t="str">
            <v>ERSA Spare parts</v>
          </cell>
          <cell r="H5138" t="str">
            <v>EN038     MechanicalSeals&amp;Spar</v>
          </cell>
          <cell r="I5138" t="str">
            <v>L003 Ankleshwar</v>
          </cell>
          <cell r="J5138" t="str">
            <v>99 Input/Byprodt/Scrap</v>
          </cell>
          <cell r="K5138" t="str">
            <v>10.2012</v>
          </cell>
          <cell r="L5138">
            <v>1</v>
          </cell>
          <cell r="M5138" t="str">
            <v>SET</v>
          </cell>
          <cell r="N5138">
            <v>326.74</v>
          </cell>
          <cell r="O5138" t="str">
            <v>INR</v>
          </cell>
        </row>
        <row r="5139">
          <cell r="A5139" t="str">
            <v>L003 Ankleshwar</v>
          </cell>
          <cell r="B5139">
            <v>674987</v>
          </cell>
          <cell r="C5139" t="str">
            <v>SS316 DOG POINT SCREW-HI-FAB:0550(0440)</v>
          </cell>
          <cell r="D5139" t="str">
            <v>L0030151                       EnggStore</v>
          </cell>
          <cell r="E5139">
            <v>0</v>
          </cell>
          <cell r="F5139" t="str">
            <v>ND No planning</v>
          </cell>
          <cell r="G5139" t="str">
            <v>ERSA Spare parts</v>
          </cell>
          <cell r="H5139" t="str">
            <v>EN038     MechanicalSeals&amp;Spar</v>
          </cell>
          <cell r="I5139" t="str">
            <v>L003 Ankleshwar</v>
          </cell>
          <cell r="J5139" t="str">
            <v>99 Input/Byprodt/Scrap</v>
          </cell>
          <cell r="K5139" t="str">
            <v>10.2012</v>
          </cell>
          <cell r="L5139">
            <v>1</v>
          </cell>
          <cell r="M5139" t="str">
            <v>SET</v>
          </cell>
          <cell r="N5139">
            <v>440.69</v>
          </cell>
          <cell r="O5139" t="str">
            <v>INR</v>
          </cell>
        </row>
        <row r="5140">
          <cell r="A5140" t="str">
            <v>L003 Ankleshwar</v>
          </cell>
          <cell r="B5140">
            <v>674988</v>
          </cell>
          <cell r="C5140" t="str">
            <v>SS304 ALLEN CAP SCREW-HI-FAB:0550(0440)</v>
          </cell>
          <cell r="D5140" t="str">
            <v>L0030151                       EnggStore</v>
          </cell>
          <cell r="E5140">
            <v>0</v>
          </cell>
          <cell r="F5140" t="str">
            <v>ND No planning</v>
          </cell>
          <cell r="G5140" t="str">
            <v>ERSA Spare parts</v>
          </cell>
          <cell r="H5140" t="str">
            <v>EN038     MechanicalSeals&amp;Spar</v>
          </cell>
          <cell r="I5140" t="str">
            <v>L003 Ankleshwar</v>
          </cell>
          <cell r="J5140" t="str">
            <v>99 Input/Byprodt/Scrap</v>
          </cell>
          <cell r="K5140" t="str">
            <v>10.2012</v>
          </cell>
          <cell r="L5140">
            <v>1</v>
          </cell>
          <cell r="M5140" t="str">
            <v>SET</v>
          </cell>
          <cell r="N5140">
            <v>217.8</v>
          </cell>
          <cell r="O5140" t="str">
            <v>INR</v>
          </cell>
        </row>
        <row r="5141">
          <cell r="A5141" t="str">
            <v>L003 Ankleshwar</v>
          </cell>
          <cell r="B5141">
            <v>674989</v>
          </cell>
          <cell r="C5141" t="str">
            <v>PTFE GASKET-HI-FAB: 0550(0440)</v>
          </cell>
          <cell r="D5141" t="str">
            <v>L0030151                       EnggStore</v>
          </cell>
          <cell r="E5141">
            <v>0</v>
          </cell>
          <cell r="F5141" t="str">
            <v>ND No planning</v>
          </cell>
          <cell r="G5141" t="str">
            <v>ERSA Spare parts</v>
          </cell>
          <cell r="H5141" t="str">
            <v>EN038     MechanicalSeals&amp;Spar</v>
          </cell>
          <cell r="I5141" t="str">
            <v>L003 Ankleshwar</v>
          </cell>
          <cell r="J5141" t="str">
            <v>99 Input/Byprodt/Scrap</v>
          </cell>
          <cell r="K5141" t="str">
            <v>10.2012</v>
          </cell>
          <cell r="L5141">
            <v>1</v>
          </cell>
          <cell r="M5141" t="str">
            <v>EA</v>
          </cell>
          <cell r="N5141">
            <v>381.18</v>
          </cell>
          <cell r="O5141" t="str">
            <v>INR</v>
          </cell>
        </row>
        <row r="5142">
          <cell r="A5142" t="str">
            <v>L003 Ankleshwar</v>
          </cell>
          <cell r="B5142">
            <v>674993</v>
          </cell>
          <cell r="C5142" t="str">
            <v>VITON O RING-HI-FAB:0550(0440)PTNO.25</v>
          </cell>
          <cell r="D5142" t="str">
            <v>L0030151                       EnggStore</v>
          </cell>
          <cell r="E5142">
            <v>0</v>
          </cell>
          <cell r="F5142" t="str">
            <v>ND No planning</v>
          </cell>
          <cell r="G5142" t="str">
            <v>ERSA Spare parts</v>
          </cell>
          <cell r="H5142" t="str">
            <v>EN038     MechanicalSeals&amp;Spar</v>
          </cell>
          <cell r="I5142" t="str">
            <v>L003 Ankleshwar</v>
          </cell>
          <cell r="J5142" t="str">
            <v>99 Input/Byprodt/Scrap</v>
          </cell>
          <cell r="K5142" t="str">
            <v>10.2012</v>
          </cell>
          <cell r="L5142">
            <v>2</v>
          </cell>
          <cell r="M5142" t="str">
            <v>EA</v>
          </cell>
          <cell r="N5142">
            <v>871.25999999999897</v>
          </cell>
          <cell r="O5142" t="str">
            <v>INR</v>
          </cell>
        </row>
        <row r="5143">
          <cell r="A5143" t="str">
            <v>L003 Ankleshwar</v>
          </cell>
          <cell r="B5143">
            <v>674996</v>
          </cell>
          <cell r="C5143" t="str">
            <v>BUTTON CELL-LR1130, MAKE:SUNCOM</v>
          </cell>
          <cell r="D5143" t="str">
            <v>L0030151                       EnggStore</v>
          </cell>
          <cell r="E5143">
            <v>0</v>
          </cell>
          <cell r="F5143" t="str">
            <v>ND No planning</v>
          </cell>
          <cell r="G5143" t="str">
            <v>ERSA Spare parts</v>
          </cell>
          <cell r="H5143" t="str">
            <v>EN017     InstrumentSpares</v>
          </cell>
          <cell r="I5143" t="str">
            <v>L003 Ankleshwar</v>
          </cell>
          <cell r="J5143" t="str">
            <v>99 Input/Byprodt/Scrap</v>
          </cell>
          <cell r="K5143" t="str">
            <v>10.2012</v>
          </cell>
          <cell r="L5143">
            <v>5</v>
          </cell>
          <cell r="M5143" t="str">
            <v>EA</v>
          </cell>
          <cell r="N5143">
            <v>110</v>
          </cell>
          <cell r="O5143" t="str">
            <v>INR</v>
          </cell>
        </row>
        <row r="5144">
          <cell r="A5144" t="str">
            <v>L003 Ankleshwar</v>
          </cell>
          <cell r="B5144">
            <v>675086</v>
          </cell>
          <cell r="C5144" t="str">
            <v>CYLENDRICAL ROLLER BEARING: NJ 417 M</v>
          </cell>
          <cell r="D5144" t="str">
            <v>L0030151                       EnggStore</v>
          </cell>
          <cell r="E5144" t="str">
            <v>E31 E31</v>
          </cell>
          <cell r="F5144" t="str">
            <v>VB Manual reorder point planning</v>
          </cell>
          <cell r="G5144" t="str">
            <v>ERSA Spare parts</v>
          </cell>
          <cell r="H5144" t="str">
            <v>EN009     Bearings</v>
          </cell>
          <cell r="I5144" t="str">
            <v>L003 Ankleshwar</v>
          </cell>
          <cell r="J5144" t="str">
            <v>99 Input/Byprodt/Scrap</v>
          </cell>
          <cell r="K5144" t="str">
            <v>10.2012</v>
          </cell>
          <cell r="L5144">
            <v>5</v>
          </cell>
          <cell r="M5144" t="str">
            <v>EA</v>
          </cell>
          <cell r="N5144">
            <v>59020</v>
          </cell>
          <cell r="O5144" t="str">
            <v>INR</v>
          </cell>
        </row>
        <row r="5145">
          <cell r="A5145" t="str">
            <v>L003 Ankleshwar</v>
          </cell>
          <cell r="B5145">
            <v>675149</v>
          </cell>
          <cell r="C5145" t="str">
            <v>SV, TYPE:30318 MAKE:ROTEX</v>
          </cell>
          <cell r="D5145" t="str">
            <v>L0030151                       EnggStore</v>
          </cell>
          <cell r="E5145" t="str">
            <v>E01 E01</v>
          </cell>
          <cell r="F5145" t="str">
            <v>PD MRP</v>
          </cell>
          <cell r="G5145" t="str">
            <v>ERSA Spare parts</v>
          </cell>
          <cell r="H5145" t="str">
            <v>EN017     InstrumentSpares</v>
          </cell>
          <cell r="I5145" t="str">
            <v>L003 Ankleshwar</v>
          </cell>
          <cell r="J5145" t="str">
            <v>99 Input/Byprodt/Scrap</v>
          </cell>
          <cell r="K5145" t="str">
            <v>10.2012</v>
          </cell>
          <cell r="L5145">
            <v>1</v>
          </cell>
          <cell r="M5145" t="str">
            <v>EA</v>
          </cell>
          <cell r="N5145">
            <v>2371.5999999999899</v>
          </cell>
          <cell r="O5145" t="str">
            <v>INR</v>
          </cell>
        </row>
        <row r="5146">
          <cell r="A5146" t="str">
            <v>L003 Ankleshwar</v>
          </cell>
          <cell r="B5146">
            <v>675197</v>
          </cell>
          <cell r="C5146" t="str">
            <v>O RING : SIZE : 45 MM ID X 2 MM THK</v>
          </cell>
          <cell r="D5146" t="str">
            <v>L0030151                       EnggStore</v>
          </cell>
          <cell r="E5146">
            <v>0</v>
          </cell>
          <cell r="F5146" t="str">
            <v>ND No planning</v>
          </cell>
          <cell r="G5146" t="str">
            <v>ERSA Spare parts</v>
          </cell>
          <cell r="H5146" t="str">
            <v>EN020     RubberItems&amp;Oil Seal</v>
          </cell>
          <cell r="I5146" t="str">
            <v>L003 Ankleshwar</v>
          </cell>
          <cell r="J5146" t="str">
            <v>99 Input/Byprodt/Scrap</v>
          </cell>
          <cell r="K5146" t="str">
            <v>10.2012</v>
          </cell>
          <cell r="L5146">
            <v>12</v>
          </cell>
          <cell r="M5146" t="str">
            <v>EA</v>
          </cell>
          <cell r="N5146">
            <v>78</v>
          </cell>
          <cell r="O5146" t="str">
            <v>INR</v>
          </cell>
        </row>
        <row r="5147">
          <cell r="A5147" t="str">
            <v>L003 Ankleshwar</v>
          </cell>
          <cell r="B5147">
            <v>675200</v>
          </cell>
          <cell r="C5147" t="str">
            <v>SLC 5/03 PROCESSOR-1746-L532</v>
          </cell>
          <cell r="D5147" t="str">
            <v>L0030151                       EnggStore</v>
          </cell>
          <cell r="E5147">
            <v>0</v>
          </cell>
          <cell r="F5147" t="str">
            <v>ND No planning</v>
          </cell>
          <cell r="G5147" t="str">
            <v>ERSA Spare parts</v>
          </cell>
          <cell r="H5147" t="str">
            <v>EN017     InstrumentSpares</v>
          </cell>
          <cell r="I5147" t="str">
            <v>L003 Ankleshwar</v>
          </cell>
          <cell r="J5147" t="str">
            <v>99 Input/Byprodt/Scrap</v>
          </cell>
          <cell r="K5147" t="str">
            <v>10.2012</v>
          </cell>
          <cell r="L5147">
            <v>1</v>
          </cell>
          <cell r="M5147" t="str">
            <v>EA</v>
          </cell>
          <cell r="N5147">
            <v>36976.5</v>
          </cell>
          <cell r="O5147" t="str">
            <v>INR</v>
          </cell>
        </row>
        <row r="5148">
          <cell r="A5148" t="str">
            <v>L003 Ankleshwar</v>
          </cell>
          <cell r="B5148">
            <v>675202</v>
          </cell>
          <cell r="C5148" t="str">
            <v>8 CHANNEL DIGITAL INPUT MODULE- 1746-IB8</v>
          </cell>
          <cell r="D5148" t="str">
            <v>L0030151                       EnggStore</v>
          </cell>
          <cell r="E5148">
            <v>0</v>
          </cell>
          <cell r="F5148" t="str">
            <v>ND No planning</v>
          </cell>
          <cell r="G5148" t="str">
            <v>ERSA Spare parts</v>
          </cell>
          <cell r="H5148" t="str">
            <v>EN017     InstrumentSpares</v>
          </cell>
          <cell r="I5148" t="str">
            <v>L003 Ankleshwar</v>
          </cell>
          <cell r="J5148" t="str">
            <v>99 Input/Byprodt/Scrap</v>
          </cell>
          <cell r="K5148" t="str">
            <v>10.2012</v>
          </cell>
          <cell r="L5148">
            <v>1</v>
          </cell>
          <cell r="M5148" t="str">
            <v>EA</v>
          </cell>
          <cell r="N5148">
            <v>5034.5600000000004</v>
          </cell>
          <cell r="O5148" t="str">
            <v>INR</v>
          </cell>
        </row>
        <row r="5149">
          <cell r="A5149" t="str">
            <v>L003 Ankleshwar</v>
          </cell>
          <cell r="B5149">
            <v>675204</v>
          </cell>
          <cell r="C5149" t="str">
            <v>16 CHANNEL DIGITAL O/P MODULE-1746-OB16</v>
          </cell>
          <cell r="D5149" t="str">
            <v>L0030151                       EnggStore</v>
          </cell>
          <cell r="E5149">
            <v>0</v>
          </cell>
          <cell r="F5149" t="str">
            <v>ND No planning</v>
          </cell>
          <cell r="G5149" t="str">
            <v>ERSA Spare parts</v>
          </cell>
          <cell r="H5149" t="str">
            <v>EN017     InstrumentSpares</v>
          </cell>
          <cell r="I5149" t="str">
            <v>L003 Ankleshwar</v>
          </cell>
          <cell r="J5149" t="str">
            <v>99 Input/Byprodt/Scrap</v>
          </cell>
          <cell r="K5149" t="str">
            <v>10.2012</v>
          </cell>
          <cell r="L5149">
            <v>1</v>
          </cell>
          <cell r="M5149" t="str">
            <v>EA</v>
          </cell>
          <cell r="N5149">
            <v>8078.9499999999898</v>
          </cell>
          <cell r="O5149" t="str">
            <v>INR</v>
          </cell>
        </row>
        <row r="5150">
          <cell r="A5150" t="str">
            <v>L003 Ankleshwar</v>
          </cell>
          <cell r="B5150">
            <v>675208</v>
          </cell>
          <cell r="C5150" t="str">
            <v>16 CHANNEL DIGITAL I/P MODULE 1746 IB 16</v>
          </cell>
          <cell r="D5150" t="str">
            <v>L0030151                       EnggStore</v>
          </cell>
          <cell r="E5150">
            <v>0</v>
          </cell>
          <cell r="F5150" t="str">
            <v>ND No planning</v>
          </cell>
          <cell r="G5150" t="str">
            <v>ERSA Spare parts</v>
          </cell>
          <cell r="H5150" t="str">
            <v>EN017     InstrumentSpares</v>
          </cell>
          <cell r="I5150" t="str">
            <v>L003 Ankleshwar</v>
          </cell>
          <cell r="J5150" t="str">
            <v>99 Input/Byprodt/Scrap</v>
          </cell>
          <cell r="K5150" t="str">
            <v>10.2012</v>
          </cell>
          <cell r="L5150">
            <v>1</v>
          </cell>
          <cell r="M5150" t="str">
            <v>EA</v>
          </cell>
          <cell r="N5150">
            <v>6264.64</v>
          </cell>
          <cell r="O5150" t="str">
            <v>INR</v>
          </cell>
        </row>
        <row r="5151">
          <cell r="A5151" t="str">
            <v>L003 Ankleshwar</v>
          </cell>
          <cell r="B5151">
            <v>675210</v>
          </cell>
          <cell r="C5151" t="str">
            <v>8 CHANNEL ANALOG I/P MODULE- 1746 NI 8</v>
          </cell>
          <cell r="D5151" t="str">
            <v>L0030151                       EnggStore</v>
          </cell>
          <cell r="E5151">
            <v>0</v>
          </cell>
          <cell r="F5151" t="str">
            <v>ND No planning</v>
          </cell>
          <cell r="G5151" t="str">
            <v>ERSA Spare parts</v>
          </cell>
          <cell r="H5151" t="str">
            <v>EN017     InstrumentSpares</v>
          </cell>
          <cell r="I5151" t="str">
            <v>L003 Ankleshwar</v>
          </cell>
          <cell r="J5151" t="str">
            <v>99 Input/Byprodt/Scrap</v>
          </cell>
          <cell r="K5151" t="str">
            <v>10.2012</v>
          </cell>
          <cell r="L5151">
            <v>1</v>
          </cell>
          <cell r="M5151" t="str">
            <v>EA</v>
          </cell>
          <cell r="N5151">
            <v>26007.5</v>
          </cell>
          <cell r="O5151" t="str">
            <v>INR</v>
          </cell>
        </row>
        <row r="5152">
          <cell r="A5152" t="str">
            <v>L003 Ankleshwar</v>
          </cell>
          <cell r="B5152">
            <v>675211</v>
          </cell>
          <cell r="C5152" t="str">
            <v>FLEX LOGIX PROCESSOR- 1794-L34</v>
          </cell>
          <cell r="D5152" t="str">
            <v>L0030151                       EnggStore</v>
          </cell>
          <cell r="E5152">
            <v>0</v>
          </cell>
          <cell r="F5152" t="str">
            <v>ND No planning</v>
          </cell>
          <cell r="G5152" t="str">
            <v>ERSA Spare parts</v>
          </cell>
          <cell r="H5152" t="str">
            <v>EN017     InstrumentSpares</v>
          </cell>
          <cell r="I5152" t="str">
            <v>L003 Ankleshwar</v>
          </cell>
          <cell r="J5152" t="str">
            <v>99 Input/Byprodt/Scrap</v>
          </cell>
          <cell r="K5152" t="str">
            <v>10.2012</v>
          </cell>
          <cell r="L5152">
            <v>1</v>
          </cell>
          <cell r="M5152" t="str">
            <v>EA</v>
          </cell>
          <cell r="N5152">
            <v>64318.559999999903</v>
          </cell>
          <cell r="O5152" t="str">
            <v>INR</v>
          </cell>
        </row>
        <row r="5153">
          <cell r="A5153" t="str">
            <v>L003 Ankleshwar</v>
          </cell>
          <cell r="B5153">
            <v>675212</v>
          </cell>
          <cell r="C5153" t="str">
            <v>32 CHANNL DIGITAL INPUT 24 VDC 1794-IB32</v>
          </cell>
          <cell r="D5153" t="str">
            <v>L0030151                       EnggStore</v>
          </cell>
          <cell r="E5153">
            <v>0</v>
          </cell>
          <cell r="F5153" t="str">
            <v>ND No planning</v>
          </cell>
          <cell r="G5153" t="str">
            <v>ERSA Spare parts</v>
          </cell>
          <cell r="H5153" t="str">
            <v>EN017     InstrumentSpares</v>
          </cell>
          <cell r="I5153" t="str">
            <v>L003 Ankleshwar</v>
          </cell>
          <cell r="J5153" t="str">
            <v>99 Input/Byprodt/Scrap</v>
          </cell>
          <cell r="K5153" t="str">
            <v>10.2012</v>
          </cell>
          <cell r="L5153">
            <v>1</v>
          </cell>
          <cell r="M5153" t="str">
            <v>EA</v>
          </cell>
          <cell r="N5153">
            <v>12295.1</v>
          </cell>
          <cell r="O5153" t="str">
            <v>INR</v>
          </cell>
        </row>
        <row r="5154">
          <cell r="A5154" t="str">
            <v>L003 Ankleshwar</v>
          </cell>
          <cell r="B5154">
            <v>675213</v>
          </cell>
          <cell r="C5154" t="str">
            <v>32 CHANNEL DIGITAL O/P 24 VDC 1794-OB32P</v>
          </cell>
          <cell r="D5154" t="str">
            <v>L0030151                       EnggStore</v>
          </cell>
          <cell r="E5154">
            <v>0</v>
          </cell>
          <cell r="F5154" t="str">
            <v>ND No planning</v>
          </cell>
          <cell r="G5154" t="str">
            <v>ERSA Spare parts</v>
          </cell>
          <cell r="H5154" t="str">
            <v>EN017     InstrumentSpares</v>
          </cell>
          <cell r="I5154" t="str">
            <v>L003 Ankleshwar</v>
          </cell>
          <cell r="J5154" t="str">
            <v>99 Input/Byprodt/Scrap</v>
          </cell>
          <cell r="K5154" t="str">
            <v>10.2012</v>
          </cell>
          <cell r="L5154">
            <v>1</v>
          </cell>
          <cell r="M5154" t="str">
            <v>EA</v>
          </cell>
          <cell r="N5154">
            <v>13934.389999999899</v>
          </cell>
          <cell r="O5154" t="str">
            <v>INR</v>
          </cell>
        </row>
        <row r="5155">
          <cell r="A5155" t="str">
            <v>L003 Ankleshwar</v>
          </cell>
          <cell r="B5155">
            <v>675328</v>
          </cell>
          <cell r="C5155" t="str">
            <v>OIL LEVEL INDICATOR : OTL 175 VAC. PUMP</v>
          </cell>
          <cell r="D5155" t="str">
            <v>L0030151                       EnggStore</v>
          </cell>
          <cell r="E5155">
            <v>0</v>
          </cell>
          <cell r="F5155" t="str">
            <v>ND No planning</v>
          </cell>
          <cell r="G5155" t="str">
            <v>ERSA Spare parts</v>
          </cell>
          <cell r="H5155" t="str">
            <v>EN032     Pumpspares</v>
          </cell>
          <cell r="I5155" t="str">
            <v>L003 Ankleshwar</v>
          </cell>
          <cell r="J5155" t="str">
            <v>99 Input/Byprodt/Scrap</v>
          </cell>
          <cell r="K5155" t="str">
            <v>10.2012</v>
          </cell>
          <cell r="L5155">
            <v>1</v>
          </cell>
          <cell r="M5155" t="str">
            <v>SET</v>
          </cell>
          <cell r="N5155">
            <v>171.36</v>
          </cell>
          <cell r="O5155" t="str">
            <v>INR</v>
          </cell>
        </row>
        <row r="5156">
          <cell r="A5156" t="str">
            <v>L003 Ankleshwar</v>
          </cell>
          <cell r="B5156">
            <v>675377</v>
          </cell>
          <cell r="C5156" t="str">
            <v>FOOD GRADE GEAR OIL</v>
          </cell>
          <cell r="D5156" t="str">
            <v>L0030151                       EnggStore</v>
          </cell>
          <cell r="E5156">
            <v>0</v>
          </cell>
          <cell r="F5156" t="str">
            <v>ND No planning</v>
          </cell>
          <cell r="G5156" t="str">
            <v>ERSA Spare parts</v>
          </cell>
          <cell r="H5156" t="str">
            <v>EN011     UtlChem/Lub/Fuel/Gas</v>
          </cell>
          <cell r="I5156" t="str">
            <v>L003 Ankleshwar</v>
          </cell>
          <cell r="J5156" t="str">
            <v>99 Input/Byprodt/Scrap</v>
          </cell>
          <cell r="K5156" t="str">
            <v>10.2012</v>
          </cell>
          <cell r="L5156">
            <v>20</v>
          </cell>
          <cell r="M5156" t="str">
            <v>L</v>
          </cell>
          <cell r="N5156">
            <v>24800</v>
          </cell>
          <cell r="O5156" t="str">
            <v>INR</v>
          </cell>
        </row>
        <row r="5157">
          <cell r="A5157" t="str">
            <v>L003 Ankleshwar</v>
          </cell>
          <cell r="B5157">
            <v>675474</v>
          </cell>
          <cell r="C5157" t="str">
            <v>MOBERY FLOAT &amp; ROD ASSLY THERMAX BOILER</v>
          </cell>
          <cell r="D5157" t="str">
            <v>L0030151                       EnggStore</v>
          </cell>
          <cell r="E5157">
            <v>0</v>
          </cell>
          <cell r="F5157" t="str">
            <v>ND No planning</v>
          </cell>
          <cell r="G5157" t="str">
            <v>ERSA Spare parts</v>
          </cell>
          <cell r="H5157" t="str">
            <v>EN018     UtilityEquipmentSpar</v>
          </cell>
          <cell r="I5157" t="str">
            <v>L003 Ankleshwar</v>
          </cell>
          <cell r="J5157" t="str">
            <v>99 Input/Byprodt/Scrap</v>
          </cell>
          <cell r="K5157" t="str">
            <v>10.2012</v>
          </cell>
          <cell r="L5157">
            <v>2</v>
          </cell>
          <cell r="M5157" t="str">
            <v>SET</v>
          </cell>
          <cell r="N5157">
            <v>5400</v>
          </cell>
          <cell r="O5157" t="str">
            <v>INR</v>
          </cell>
        </row>
        <row r="5158">
          <cell r="A5158" t="str">
            <v>L003 Ankleshwar</v>
          </cell>
          <cell r="B5158">
            <v>675629</v>
          </cell>
          <cell r="C5158" t="str">
            <v>T-15 SOLENOID REPAIR KIT, MAKE:MANIK</v>
          </cell>
          <cell r="D5158" t="str">
            <v>L0030151                       EnggStore</v>
          </cell>
          <cell r="E5158" t="str">
            <v>E37 E37</v>
          </cell>
          <cell r="F5158" t="str">
            <v>VB Manual reorder point planning</v>
          </cell>
          <cell r="G5158" t="str">
            <v>ERSA Spare parts</v>
          </cell>
          <cell r="H5158" t="str">
            <v>EN017     InstrumentSpares</v>
          </cell>
          <cell r="I5158" t="str">
            <v>L003 Ankleshwar</v>
          </cell>
          <cell r="J5158" t="str">
            <v>99 Input/Byprodt/Scrap</v>
          </cell>
          <cell r="K5158" t="str">
            <v>10.2012</v>
          </cell>
          <cell r="L5158">
            <v>2</v>
          </cell>
          <cell r="M5158" t="str">
            <v>EA</v>
          </cell>
          <cell r="N5158">
            <v>4819.1099999999897</v>
          </cell>
          <cell r="O5158" t="str">
            <v>INR</v>
          </cell>
        </row>
        <row r="5159">
          <cell r="A5159" t="str">
            <v>L003 Ankleshwar</v>
          </cell>
          <cell r="B5159">
            <v>675630</v>
          </cell>
          <cell r="C5159" t="str">
            <v>SOLENOID COIL FOR T-15 VALVE, MAKE:MANIK</v>
          </cell>
          <cell r="D5159" t="str">
            <v>L0030151                       EnggStore</v>
          </cell>
          <cell r="E5159" t="str">
            <v>E36 E36</v>
          </cell>
          <cell r="F5159" t="str">
            <v>VB Manual reorder point planning</v>
          </cell>
          <cell r="G5159" t="str">
            <v>ERSA Spare parts</v>
          </cell>
          <cell r="H5159" t="str">
            <v>EN017     InstrumentSpares</v>
          </cell>
          <cell r="I5159" t="str">
            <v>L003 Ankleshwar</v>
          </cell>
          <cell r="J5159" t="str">
            <v>99 Input/Byprodt/Scrap</v>
          </cell>
          <cell r="K5159" t="str">
            <v>10.2012</v>
          </cell>
          <cell r="L5159">
            <v>2</v>
          </cell>
          <cell r="M5159" t="str">
            <v>EA</v>
          </cell>
          <cell r="N5159">
            <v>2177.5</v>
          </cell>
          <cell r="O5159" t="str">
            <v>INR</v>
          </cell>
        </row>
        <row r="5160">
          <cell r="A5160" t="str">
            <v>L003 Ankleshwar</v>
          </cell>
          <cell r="B5160">
            <v>675631</v>
          </cell>
          <cell r="C5160" t="str">
            <v>FLP SOLENOID VALVE:SIZE T15 N,MAKE:MANIK</v>
          </cell>
          <cell r="D5160" t="str">
            <v>L0030151                       EnggStore</v>
          </cell>
          <cell r="E5160" t="str">
            <v>E36 E36</v>
          </cell>
          <cell r="F5160" t="str">
            <v>VB Manual reorder point planning</v>
          </cell>
          <cell r="G5160" t="str">
            <v>ERSA Spare parts</v>
          </cell>
          <cell r="H5160" t="str">
            <v>EN017     InstrumentSpares</v>
          </cell>
          <cell r="I5160" t="str">
            <v>L003 Ankleshwar</v>
          </cell>
          <cell r="J5160" t="str">
            <v>99 Input/Byprodt/Scrap</v>
          </cell>
          <cell r="K5160" t="str">
            <v>10.2012</v>
          </cell>
          <cell r="L5160">
            <v>1</v>
          </cell>
          <cell r="M5160" t="str">
            <v>EA</v>
          </cell>
          <cell r="N5160">
            <v>14307.95</v>
          </cell>
          <cell r="O5160" t="str">
            <v>INR</v>
          </cell>
        </row>
        <row r="5161">
          <cell r="A5161" t="str">
            <v>L003 Ankleshwar</v>
          </cell>
          <cell r="B5161">
            <v>675730</v>
          </cell>
          <cell r="C5161" t="str">
            <v>PISTON RING REPLACEMENT KIT: 1903009195</v>
          </cell>
          <cell r="D5161" t="str">
            <v>L0030151                       EnggStore</v>
          </cell>
          <cell r="E5161" t="str">
            <v>E32 E32</v>
          </cell>
          <cell r="F5161" t="str">
            <v>VB Manual reorder point planning</v>
          </cell>
          <cell r="G5161" t="str">
            <v>ERSA Spare parts</v>
          </cell>
          <cell r="H5161" t="str">
            <v>EN018     UtilityEquipmentSpar</v>
          </cell>
          <cell r="I5161" t="str">
            <v>L003 Ankleshwar</v>
          </cell>
          <cell r="J5161" t="str">
            <v>99 Input/Byprodt/Scrap</v>
          </cell>
          <cell r="K5161" t="str">
            <v>10.2012</v>
          </cell>
          <cell r="L5161">
            <v>1</v>
          </cell>
          <cell r="M5161" t="str">
            <v>SET</v>
          </cell>
          <cell r="N5161">
            <v>15692.74</v>
          </cell>
          <cell r="O5161" t="str">
            <v>INR</v>
          </cell>
        </row>
        <row r="5162">
          <cell r="A5162" t="str">
            <v>L003 Ankleshwar</v>
          </cell>
          <cell r="B5162">
            <v>675824</v>
          </cell>
          <cell r="C5162" t="str">
            <v>SMR-615 PEDESTAL</v>
          </cell>
          <cell r="D5162" t="str">
            <v>L0030151                       EnggStore</v>
          </cell>
          <cell r="E5162">
            <v>0</v>
          </cell>
          <cell r="F5162" t="str">
            <v>ND No planning</v>
          </cell>
          <cell r="G5162" t="str">
            <v>ERSA Spare parts</v>
          </cell>
          <cell r="H5162" t="str">
            <v>EN009     Bearings</v>
          </cell>
          <cell r="I5162" t="str">
            <v>L003 Ankleshwar</v>
          </cell>
          <cell r="J5162" t="str">
            <v>99 Input/Byprodt/Scrap</v>
          </cell>
          <cell r="K5162" t="str">
            <v>10.2012</v>
          </cell>
          <cell r="L5162">
            <v>2</v>
          </cell>
          <cell r="M5162" t="str">
            <v>EA</v>
          </cell>
          <cell r="N5162">
            <v>4736.1899999999896</v>
          </cell>
          <cell r="O5162" t="str">
            <v>INR</v>
          </cell>
        </row>
        <row r="5163">
          <cell r="A5163" t="str">
            <v>L003 Ankleshwar</v>
          </cell>
          <cell r="B5163">
            <v>675989</v>
          </cell>
          <cell r="C5163" t="str">
            <v>WOODEN SCREW 60X10</v>
          </cell>
          <cell r="D5163" t="str">
            <v>L0030151                       EnggStore</v>
          </cell>
          <cell r="E5163">
            <v>0</v>
          </cell>
          <cell r="F5163" t="str">
            <v>ND No planning</v>
          </cell>
          <cell r="G5163" t="str">
            <v>ERSA Spare parts</v>
          </cell>
          <cell r="H5163" t="str">
            <v>EN019     Civil/Buliding Mater</v>
          </cell>
          <cell r="I5163" t="str">
            <v>L003 Ankleshwar</v>
          </cell>
          <cell r="J5163" t="str">
            <v>99 Input/Byprodt/Scrap</v>
          </cell>
          <cell r="K5163" t="str">
            <v>10.2012</v>
          </cell>
          <cell r="L5163">
            <v>1</v>
          </cell>
          <cell r="M5163" t="str">
            <v>PAC</v>
          </cell>
          <cell r="N5163">
            <v>105</v>
          </cell>
          <cell r="O5163" t="str">
            <v>INR</v>
          </cell>
        </row>
        <row r="5164">
          <cell r="A5164" t="str">
            <v>L003 Ankleshwar</v>
          </cell>
          <cell r="B5164">
            <v>675990</v>
          </cell>
          <cell r="C5164" t="str">
            <v>WOODEN SCREW 75X10</v>
          </cell>
          <cell r="D5164" t="str">
            <v>L0030151                       EnggStore</v>
          </cell>
          <cell r="E5164">
            <v>0</v>
          </cell>
          <cell r="F5164" t="str">
            <v>ND No planning</v>
          </cell>
          <cell r="G5164" t="str">
            <v>ERSA Spare parts</v>
          </cell>
          <cell r="H5164" t="str">
            <v>EN019     Civil/Buliding Mater</v>
          </cell>
          <cell r="I5164" t="str">
            <v>L003 Ankleshwar</v>
          </cell>
          <cell r="J5164" t="str">
            <v>99 Input/Byprodt/Scrap</v>
          </cell>
          <cell r="K5164" t="str">
            <v>10.2012</v>
          </cell>
          <cell r="L5164">
            <v>10</v>
          </cell>
          <cell r="M5164" t="str">
            <v>PAC</v>
          </cell>
          <cell r="N5164">
            <v>1554</v>
          </cell>
          <cell r="O5164" t="str">
            <v>INR</v>
          </cell>
        </row>
        <row r="5165">
          <cell r="A5165" t="str">
            <v>L003 Ankleshwar</v>
          </cell>
          <cell r="B5165">
            <v>676003</v>
          </cell>
          <cell r="C5165" t="str">
            <v>CI PULLEY SPC SECTION 6 GROOVE : 10.5"</v>
          </cell>
          <cell r="D5165" t="str">
            <v>L0030151                       EnggStore</v>
          </cell>
          <cell r="E5165" t="str">
            <v>E35 E35</v>
          </cell>
          <cell r="F5165" t="str">
            <v>VB Manual reorder point planning</v>
          </cell>
          <cell r="G5165" t="str">
            <v>ERSA Spare parts</v>
          </cell>
          <cell r="H5165" t="str">
            <v>EN021     VbeltCoupling&amp;Pulley</v>
          </cell>
          <cell r="I5165" t="str">
            <v>L003 Ankleshwar</v>
          </cell>
          <cell r="J5165" t="str">
            <v>99 Input/Byprodt/Scrap</v>
          </cell>
          <cell r="K5165" t="str">
            <v>10.2012</v>
          </cell>
          <cell r="L5165">
            <v>1</v>
          </cell>
          <cell r="M5165" t="str">
            <v>EA</v>
          </cell>
          <cell r="N5165">
            <v>7850</v>
          </cell>
          <cell r="O5165" t="str">
            <v>INR</v>
          </cell>
        </row>
        <row r="5166">
          <cell r="A5166" t="str">
            <v>L003 Ankleshwar</v>
          </cell>
          <cell r="B5166">
            <v>676026</v>
          </cell>
          <cell r="C5166" t="str">
            <v>SS 304 GLAND PUSHER:160MMX160MMX45MM THK</v>
          </cell>
          <cell r="D5166" t="str">
            <v>L0030151                       EnggStore</v>
          </cell>
          <cell r="E5166">
            <v>0</v>
          </cell>
          <cell r="F5166" t="str">
            <v>ND No planning</v>
          </cell>
          <cell r="G5166" t="str">
            <v>ERSA Spare parts</v>
          </cell>
          <cell r="H5166" t="str">
            <v>EN032     Pumpspares</v>
          </cell>
          <cell r="I5166" t="str">
            <v>L003 Ankleshwar</v>
          </cell>
          <cell r="J5166" t="str">
            <v>99 Input/Byprodt/Scrap</v>
          </cell>
          <cell r="K5166" t="str">
            <v>10.2012</v>
          </cell>
          <cell r="L5166">
            <v>1</v>
          </cell>
          <cell r="M5166" t="str">
            <v>EA</v>
          </cell>
          <cell r="N5166">
            <v>2327.5</v>
          </cell>
          <cell r="O5166" t="str">
            <v>INR</v>
          </cell>
        </row>
        <row r="5167">
          <cell r="A5167" t="str">
            <v>L003 Ankleshwar</v>
          </cell>
          <cell r="B5167">
            <v>676079</v>
          </cell>
          <cell r="C5167" t="str">
            <v>DANFOSS : 5/8" FLARE CONN SV WITH COIL</v>
          </cell>
          <cell r="D5167" t="str">
            <v>L0030151                       EnggStore</v>
          </cell>
          <cell r="E5167">
            <v>0</v>
          </cell>
          <cell r="F5167" t="str">
            <v>ND No planning</v>
          </cell>
          <cell r="G5167" t="str">
            <v>ERSA Spare parts</v>
          </cell>
          <cell r="H5167" t="str">
            <v>EN017     InstrumentSpares</v>
          </cell>
          <cell r="I5167" t="str">
            <v>L003 Ankleshwar</v>
          </cell>
          <cell r="J5167" t="str">
            <v>99 Input/Byprodt/Scrap</v>
          </cell>
          <cell r="K5167" t="str">
            <v>10.2012</v>
          </cell>
          <cell r="L5167">
            <v>1</v>
          </cell>
          <cell r="M5167" t="str">
            <v>EA</v>
          </cell>
          <cell r="N5167">
            <v>3700</v>
          </cell>
          <cell r="O5167" t="str">
            <v>INR</v>
          </cell>
        </row>
        <row r="5168">
          <cell r="A5168" t="str">
            <v>L003 Ankleshwar</v>
          </cell>
          <cell r="B5168">
            <v>676135</v>
          </cell>
          <cell r="C5168" t="str">
            <v>SS-304 ALLEN BOLT 12X50MM</v>
          </cell>
          <cell r="D5168" t="str">
            <v>L0030151                       EnggStore</v>
          </cell>
          <cell r="E5168" t="str">
            <v>E35 E35</v>
          </cell>
          <cell r="F5168" t="str">
            <v>VB Manual reorder point planning</v>
          </cell>
          <cell r="G5168" t="str">
            <v>ERSA Spare parts</v>
          </cell>
          <cell r="H5168" t="str">
            <v>EN022     Hardwareitems</v>
          </cell>
          <cell r="I5168" t="str">
            <v>L003 Ankleshwar</v>
          </cell>
          <cell r="J5168" t="str">
            <v>99 Input/Byprodt/Scrap</v>
          </cell>
          <cell r="K5168" t="str">
            <v>10.2012</v>
          </cell>
          <cell r="L5168">
            <v>12</v>
          </cell>
          <cell r="M5168" t="str">
            <v>EA</v>
          </cell>
          <cell r="N5168">
            <v>420</v>
          </cell>
          <cell r="O5168" t="str">
            <v>INR</v>
          </cell>
        </row>
        <row r="5169">
          <cell r="A5169" t="str">
            <v>L003 Ankleshwar</v>
          </cell>
          <cell r="B5169">
            <v>676170</v>
          </cell>
          <cell r="C5169" t="str">
            <v>SPARE KIT FOR PRESSURE RELIEF VALVE</v>
          </cell>
          <cell r="D5169" t="str">
            <v>L0030151                       EnggStore</v>
          </cell>
          <cell r="E5169" t="str">
            <v>E01 E01</v>
          </cell>
          <cell r="F5169" t="str">
            <v>PD MRP</v>
          </cell>
          <cell r="G5169" t="str">
            <v>ERSA Spare parts</v>
          </cell>
          <cell r="H5169" t="str">
            <v>EN032     Pumpspares</v>
          </cell>
          <cell r="I5169" t="str">
            <v>L003 Ankleshwar</v>
          </cell>
          <cell r="J5169" t="str">
            <v>99 Input/Byprodt/Scrap</v>
          </cell>
          <cell r="K5169" t="str">
            <v>10.2012</v>
          </cell>
          <cell r="L5169">
            <v>1</v>
          </cell>
          <cell r="M5169" t="str">
            <v>EA</v>
          </cell>
          <cell r="N5169">
            <v>618</v>
          </cell>
          <cell r="O5169" t="str">
            <v>INR</v>
          </cell>
        </row>
        <row r="5170">
          <cell r="A5170" t="str">
            <v>L003 Ankleshwar</v>
          </cell>
          <cell r="B5170">
            <v>676206</v>
          </cell>
          <cell r="C5170" t="str">
            <v>SOV 5/2 INTERNAL ASSEMBLY KIT</v>
          </cell>
          <cell r="D5170" t="str">
            <v>L0030151                       EnggStore</v>
          </cell>
          <cell r="E5170">
            <v>0</v>
          </cell>
          <cell r="F5170" t="str">
            <v>ND No planning</v>
          </cell>
          <cell r="G5170" t="str">
            <v>ERSA Spare parts</v>
          </cell>
          <cell r="H5170" t="str">
            <v>EN017     InstrumentSpares</v>
          </cell>
          <cell r="I5170" t="str">
            <v>L003 Ankleshwar</v>
          </cell>
          <cell r="J5170" t="str">
            <v>99 Input/Byprodt/Scrap</v>
          </cell>
          <cell r="K5170" t="str">
            <v>10.2012</v>
          </cell>
          <cell r="L5170">
            <v>2</v>
          </cell>
          <cell r="M5170" t="str">
            <v>EA</v>
          </cell>
          <cell r="N5170">
            <v>1906</v>
          </cell>
          <cell r="O5170" t="str">
            <v>INR</v>
          </cell>
        </row>
        <row r="5171">
          <cell r="A5171" t="str">
            <v>L003 Ankleshwar</v>
          </cell>
          <cell r="B5171">
            <v>676342</v>
          </cell>
          <cell r="C5171" t="str">
            <v>OIL LEVEL INDICATOR FOR GEAR BOX</v>
          </cell>
          <cell r="D5171" t="str">
            <v>L0030151                       EnggStore</v>
          </cell>
          <cell r="E5171">
            <v>0</v>
          </cell>
          <cell r="F5171" t="str">
            <v>ND No planning</v>
          </cell>
          <cell r="G5171" t="str">
            <v>ERSA Spare parts</v>
          </cell>
          <cell r="H5171" t="str">
            <v>EN033     Reactors/vessels/fer</v>
          </cell>
          <cell r="I5171" t="str">
            <v>L003 Ankleshwar</v>
          </cell>
          <cell r="J5171" t="str">
            <v>99 Input/Byprodt/Scrap</v>
          </cell>
          <cell r="K5171" t="str">
            <v>10.2012</v>
          </cell>
          <cell r="L5171">
            <v>6</v>
          </cell>
          <cell r="M5171" t="str">
            <v>NO</v>
          </cell>
          <cell r="N5171">
            <v>1770</v>
          </cell>
          <cell r="O5171" t="str">
            <v>INR</v>
          </cell>
        </row>
        <row r="5172">
          <cell r="A5172" t="str">
            <v>L003 Ankleshwar</v>
          </cell>
          <cell r="B5172">
            <v>676374</v>
          </cell>
          <cell r="C5172" t="str">
            <v>SS PLAIN WASHER SZ-M12: FINISH QUALITY</v>
          </cell>
          <cell r="D5172" t="str">
            <v>L0030151                       EnggStore</v>
          </cell>
          <cell r="E5172" t="str">
            <v>E01 E01</v>
          </cell>
          <cell r="F5172" t="str">
            <v>ND No planning</v>
          </cell>
          <cell r="G5172" t="str">
            <v>ERSA Spare parts</v>
          </cell>
          <cell r="H5172" t="str">
            <v>EN022     Hardwareitems</v>
          </cell>
          <cell r="I5172" t="str">
            <v>L003 Ankleshwar</v>
          </cell>
          <cell r="J5172" t="str">
            <v>99 Input/Byprodt/Scrap</v>
          </cell>
          <cell r="K5172" t="str">
            <v>10.2012</v>
          </cell>
          <cell r="L5172">
            <v>23</v>
          </cell>
          <cell r="M5172" t="str">
            <v>EA</v>
          </cell>
          <cell r="N5172">
            <v>51.53</v>
          </cell>
          <cell r="O5172" t="str">
            <v>INR</v>
          </cell>
        </row>
        <row r="5173">
          <cell r="A5173" t="str">
            <v>L003 Ankleshwar</v>
          </cell>
          <cell r="B5173">
            <v>676453</v>
          </cell>
          <cell r="C5173" t="str">
            <v>SHAFT SLEEVE PUMP  MDL 4UP3 KIRLOSKAR</v>
          </cell>
          <cell r="D5173" t="str">
            <v>L0030151                       EnggStore</v>
          </cell>
          <cell r="E5173">
            <v>0</v>
          </cell>
          <cell r="F5173" t="str">
            <v>ND No planning</v>
          </cell>
          <cell r="G5173" t="str">
            <v>ERSA Spare parts</v>
          </cell>
          <cell r="H5173" t="str">
            <v>EN032     Pumpspares</v>
          </cell>
          <cell r="I5173" t="str">
            <v>L003 Ankleshwar</v>
          </cell>
          <cell r="J5173" t="str">
            <v>99 Input/Byprodt/Scrap</v>
          </cell>
          <cell r="K5173" t="str">
            <v>10.2012</v>
          </cell>
          <cell r="L5173">
            <v>4</v>
          </cell>
          <cell r="M5173" t="str">
            <v>EA</v>
          </cell>
          <cell r="N5173">
            <v>3977.5</v>
          </cell>
          <cell r="O5173" t="str">
            <v>INR</v>
          </cell>
        </row>
        <row r="5174">
          <cell r="A5174" t="str">
            <v>L003 Ankleshwar</v>
          </cell>
          <cell r="B5174">
            <v>676553</v>
          </cell>
          <cell r="C5174" t="str">
            <v>TEMPERATURE MONITOR PART NO TV 12388</v>
          </cell>
          <cell r="D5174" t="str">
            <v>L0030151                       EnggStore</v>
          </cell>
          <cell r="E5174">
            <v>0</v>
          </cell>
          <cell r="F5174" t="str">
            <v>ND No planning</v>
          </cell>
          <cell r="G5174" t="str">
            <v>ERSA Spare parts</v>
          </cell>
          <cell r="H5174" t="str">
            <v>EN017     InstrumentSpares</v>
          </cell>
          <cell r="I5174" t="str">
            <v>L003 Ankleshwar</v>
          </cell>
          <cell r="J5174" t="str">
            <v>99 Input/Byprodt/Scrap</v>
          </cell>
          <cell r="K5174" t="str">
            <v>10.2012</v>
          </cell>
          <cell r="L5174">
            <v>1</v>
          </cell>
          <cell r="M5174" t="str">
            <v>EA</v>
          </cell>
          <cell r="N5174">
            <v>2334.8099999999899</v>
          </cell>
          <cell r="O5174" t="str">
            <v>INR</v>
          </cell>
        </row>
        <row r="5175">
          <cell r="A5175" t="str">
            <v>L003 Ankleshwar</v>
          </cell>
          <cell r="B5175">
            <v>676558</v>
          </cell>
          <cell r="C5175" t="str">
            <v>U V SENSOR-DETECTOR MODEL UV- 01- AJ</v>
          </cell>
          <cell r="D5175" t="str">
            <v>L0030151                       EnggStore</v>
          </cell>
          <cell r="E5175">
            <v>0</v>
          </cell>
          <cell r="F5175" t="str">
            <v>ND No planning</v>
          </cell>
          <cell r="G5175" t="str">
            <v>ERSA Spare parts</v>
          </cell>
          <cell r="H5175" t="str">
            <v>EN017     InstrumentSpares</v>
          </cell>
          <cell r="I5175" t="str">
            <v>L003 Ankleshwar</v>
          </cell>
          <cell r="J5175" t="str">
            <v>99 Input/Byprodt/Scrap</v>
          </cell>
          <cell r="K5175" t="str">
            <v>10.2012</v>
          </cell>
          <cell r="L5175">
            <v>1</v>
          </cell>
          <cell r="M5175" t="str">
            <v>EA</v>
          </cell>
          <cell r="N5175">
            <v>6630</v>
          </cell>
          <cell r="O5175" t="str">
            <v>INR</v>
          </cell>
        </row>
        <row r="5176">
          <cell r="A5176" t="str">
            <v>L003 Ankleshwar</v>
          </cell>
          <cell r="B5176">
            <v>676680</v>
          </cell>
          <cell r="C5176" t="str">
            <v>EXTENSION PIPE(MODEL:EP)</v>
          </cell>
          <cell r="D5176" t="str">
            <v>L0030151                       EnggStore</v>
          </cell>
          <cell r="E5176">
            <v>0</v>
          </cell>
          <cell r="F5176" t="str">
            <v>ND No planning</v>
          </cell>
          <cell r="G5176" t="str">
            <v>ERSA Spare parts</v>
          </cell>
          <cell r="H5176" t="str">
            <v>EN017     InstrumentSpares</v>
          </cell>
          <cell r="I5176" t="str">
            <v>L003 Ankleshwar</v>
          </cell>
          <cell r="J5176" t="str">
            <v>99 Input/Byprodt/Scrap</v>
          </cell>
          <cell r="K5176" t="str">
            <v>10.2012</v>
          </cell>
          <cell r="L5176">
            <v>1</v>
          </cell>
          <cell r="M5176" t="str">
            <v>EA</v>
          </cell>
          <cell r="N5176">
            <v>367.19999999999902</v>
          </cell>
          <cell r="O5176" t="str">
            <v>INR</v>
          </cell>
        </row>
        <row r="5177">
          <cell r="A5177" t="str">
            <v>L003 Ankleshwar</v>
          </cell>
          <cell r="B5177">
            <v>676741</v>
          </cell>
          <cell r="C5177" t="str">
            <v>1255*1190*3MM THK NM RING GASKET</v>
          </cell>
          <cell r="D5177" t="str">
            <v>L0030151                       EnggStore</v>
          </cell>
          <cell r="E5177" t="str">
            <v>E35 E35</v>
          </cell>
          <cell r="F5177" t="str">
            <v>VB Manual reorder point planning</v>
          </cell>
          <cell r="G5177" t="str">
            <v>ERSA Spare parts</v>
          </cell>
          <cell r="H5177" t="str">
            <v>EN024     EnggConsumables</v>
          </cell>
          <cell r="I5177" t="str">
            <v>L003 Ankleshwar</v>
          </cell>
          <cell r="J5177" t="str">
            <v>99 Input/Byprodt/Scrap</v>
          </cell>
          <cell r="K5177" t="str">
            <v>10.2012</v>
          </cell>
          <cell r="L5177">
            <v>2</v>
          </cell>
          <cell r="M5177" t="str">
            <v>NO</v>
          </cell>
          <cell r="N5177">
            <v>2153.4</v>
          </cell>
          <cell r="O5177" t="str">
            <v>INR</v>
          </cell>
        </row>
        <row r="5178">
          <cell r="A5178" t="str">
            <v>L003 Ankleshwar</v>
          </cell>
          <cell r="B5178">
            <v>676816</v>
          </cell>
          <cell r="C5178" t="str">
            <v>NM GASKET 12"</v>
          </cell>
          <cell r="D5178" t="str">
            <v>L0030151                       EnggStore</v>
          </cell>
          <cell r="E5178" t="str">
            <v>E35 E35</v>
          </cell>
          <cell r="F5178" t="str">
            <v>VB Manual reorder point planning</v>
          </cell>
          <cell r="G5178" t="str">
            <v>ERSA Spare parts</v>
          </cell>
          <cell r="H5178" t="str">
            <v>EN024     EnggConsumables</v>
          </cell>
          <cell r="I5178" t="str">
            <v>L003 Ankleshwar</v>
          </cell>
          <cell r="J5178" t="str">
            <v>99 Input/Byprodt/Scrap</v>
          </cell>
          <cell r="K5178" t="str">
            <v>10.2012</v>
          </cell>
          <cell r="L5178">
            <v>24</v>
          </cell>
          <cell r="M5178" t="str">
            <v>EA</v>
          </cell>
          <cell r="N5178">
            <v>2040</v>
          </cell>
          <cell r="O5178" t="str">
            <v>INR</v>
          </cell>
        </row>
        <row r="5179">
          <cell r="A5179" t="str">
            <v>L003 Ankleshwar</v>
          </cell>
          <cell r="B5179">
            <v>676989</v>
          </cell>
          <cell r="C5179" t="str">
            <v>TUBULAR BOX SPANNER 12X13</v>
          </cell>
          <cell r="D5179" t="str">
            <v>L0030151                       EnggStore</v>
          </cell>
          <cell r="E5179">
            <v>0</v>
          </cell>
          <cell r="F5179" t="str">
            <v>ND No planning</v>
          </cell>
          <cell r="G5179" t="str">
            <v>ERSA Spare parts</v>
          </cell>
          <cell r="H5179" t="str">
            <v>EN036     Tools&amp;tackles</v>
          </cell>
          <cell r="I5179" t="str">
            <v>L003 Ankleshwar</v>
          </cell>
          <cell r="J5179" t="str">
            <v>99 Input/Byprodt/Scrap</v>
          </cell>
          <cell r="K5179" t="str">
            <v>10.2012</v>
          </cell>
          <cell r="L5179">
            <v>1</v>
          </cell>
          <cell r="M5179" t="str">
            <v>EA</v>
          </cell>
          <cell r="N5179">
            <v>33.149999999999899</v>
          </cell>
          <cell r="O5179" t="str">
            <v>INR</v>
          </cell>
        </row>
        <row r="5180">
          <cell r="A5180" t="str">
            <v>L003 Ankleshwar</v>
          </cell>
          <cell r="B5180">
            <v>677101</v>
          </cell>
          <cell r="C5180" t="str">
            <v>PLUG VALVE,WCB-PFA LINED,ASA150:DN-25MM</v>
          </cell>
          <cell r="D5180" t="str">
            <v>L0030151                       EnggStore</v>
          </cell>
          <cell r="E5180">
            <v>0</v>
          </cell>
          <cell r="F5180" t="str">
            <v>ND No planning</v>
          </cell>
          <cell r="G5180" t="str">
            <v>ERSA Spare parts</v>
          </cell>
          <cell r="H5180" t="str">
            <v>EN023     Valves&amp;spares</v>
          </cell>
          <cell r="I5180" t="str">
            <v>L003 Ankleshwar</v>
          </cell>
          <cell r="J5180" t="str">
            <v>99 Input/Byprodt/Scrap</v>
          </cell>
          <cell r="K5180" t="str">
            <v>10.2012</v>
          </cell>
          <cell r="L5180">
            <v>2</v>
          </cell>
          <cell r="M5180" t="str">
            <v>EA</v>
          </cell>
          <cell r="N5180">
            <v>24434.049999999901</v>
          </cell>
          <cell r="O5180" t="str">
            <v>INR</v>
          </cell>
        </row>
        <row r="5181">
          <cell r="A5181" t="str">
            <v>L003 Ankleshwar</v>
          </cell>
          <cell r="B5181">
            <v>677342</v>
          </cell>
          <cell r="C5181" t="str">
            <v>CYLINDRICAL ROLLER BEARING: NU-310 ECJ</v>
          </cell>
          <cell r="D5181" t="str">
            <v>L0030151                       EnggStore</v>
          </cell>
          <cell r="E5181" t="str">
            <v>E31 E31</v>
          </cell>
          <cell r="F5181" t="str">
            <v>VB Manual reorder point planning</v>
          </cell>
          <cell r="G5181" t="str">
            <v>ERSA Spare parts</v>
          </cell>
          <cell r="H5181" t="str">
            <v>EN009     Bearings</v>
          </cell>
          <cell r="I5181" t="str">
            <v>L003 Ankleshwar</v>
          </cell>
          <cell r="J5181" t="str">
            <v>99 Input/Byprodt/Scrap</v>
          </cell>
          <cell r="K5181" t="str">
            <v>10.2012</v>
          </cell>
          <cell r="L5181">
            <v>2</v>
          </cell>
          <cell r="M5181" t="str">
            <v>EA</v>
          </cell>
          <cell r="N5181">
            <v>6613.7399999999898</v>
          </cell>
          <cell r="O5181" t="str">
            <v>INR</v>
          </cell>
        </row>
        <row r="5182">
          <cell r="A5182" t="str">
            <v>L003 Ankleshwar</v>
          </cell>
          <cell r="B5182">
            <v>677356</v>
          </cell>
          <cell r="C5182" t="str">
            <v>NM GASKET-PREHEATER(TOP): SIZE-214X259</v>
          </cell>
          <cell r="D5182" t="str">
            <v>L0030151                       EnggStore</v>
          </cell>
          <cell r="E5182" t="str">
            <v>E35 E35</v>
          </cell>
          <cell r="F5182" t="str">
            <v>VB Manual reorder point planning</v>
          </cell>
          <cell r="G5182" t="str">
            <v>ERSA Spare parts</v>
          </cell>
          <cell r="H5182" t="str">
            <v>EN024     EnggConsumables</v>
          </cell>
          <cell r="I5182" t="str">
            <v>L003 Ankleshwar</v>
          </cell>
          <cell r="J5182" t="str">
            <v>99 Input/Byprodt/Scrap</v>
          </cell>
          <cell r="K5182" t="str">
            <v>10.2012</v>
          </cell>
          <cell r="L5182">
            <v>2</v>
          </cell>
          <cell r="M5182" t="str">
            <v>EA</v>
          </cell>
          <cell r="N5182">
            <v>205.63999999999899</v>
          </cell>
          <cell r="O5182" t="str">
            <v>INR</v>
          </cell>
        </row>
        <row r="5183">
          <cell r="A5183" t="str">
            <v>L003 Ankleshwar</v>
          </cell>
          <cell r="B5183">
            <v>677358</v>
          </cell>
          <cell r="C5183" t="str">
            <v>NM GASKET-PREHEATER(TOP): SIZE-267X314</v>
          </cell>
          <cell r="D5183" t="str">
            <v>L0030151                       EnggStore</v>
          </cell>
          <cell r="E5183" t="str">
            <v>E35 E35</v>
          </cell>
          <cell r="F5183" t="str">
            <v>VB Manual reorder point planning</v>
          </cell>
          <cell r="G5183" t="str">
            <v>ERSA Spare parts</v>
          </cell>
          <cell r="H5183" t="str">
            <v>EN024     EnggConsumables</v>
          </cell>
          <cell r="I5183" t="str">
            <v>L003 Ankleshwar</v>
          </cell>
          <cell r="J5183" t="str">
            <v>99 Input/Byprodt/Scrap</v>
          </cell>
          <cell r="K5183" t="str">
            <v>10.2012</v>
          </cell>
          <cell r="L5183">
            <v>2</v>
          </cell>
          <cell r="M5183" t="str">
            <v>EA</v>
          </cell>
          <cell r="N5183">
            <v>244.44</v>
          </cell>
          <cell r="O5183" t="str">
            <v>INR</v>
          </cell>
        </row>
        <row r="5184">
          <cell r="A5184" t="str">
            <v>L003 Ankleshwar</v>
          </cell>
          <cell r="B5184">
            <v>677359</v>
          </cell>
          <cell r="C5184" t="str">
            <v>NM GASKET-PREHEATER(BOTTOM):SIZE-267X314</v>
          </cell>
          <cell r="D5184" t="str">
            <v>L0030151                       EnggStore</v>
          </cell>
          <cell r="E5184" t="str">
            <v>E35 E35</v>
          </cell>
          <cell r="F5184" t="str">
            <v>VB Manual reorder point planning</v>
          </cell>
          <cell r="G5184" t="str">
            <v>ERSA Spare parts</v>
          </cell>
          <cell r="H5184" t="str">
            <v>EN024     EnggConsumables</v>
          </cell>
          <cell r="I5184" t="str">
            <v>L003 Ankleshwar</v>
          </cell>
          <cell r="J5184" t="str">
            <v>99 Input/Byprodt/Scrap</v>
          </cell>
          <cell r="K5184" t="str">
            <v>10.2012</v>
          </cell>
          <cell r="L5184">
            <v>4</v>
          </cell>
          <cell r="M5184" t="str">
            <v>EA</v>
          </cell>
          <cell r="N5184">
            <v>488.88</v>
          </cell>
          <cell r="O5184" t="str">
            <v>INR</v>
          </cell>
        </row>
        <row r="5185">
          <cell r="A5185" t="str">
            <v>L003 Ankleshwar</v>
          </cell>
          <cell r="B5185">
            <v>677387</v>
          </cell>
          <cell r="C5185" t="str">
            <v>EELECTRIC TUBE ROD 2' X 14W-T5</v>
          </cell>
          <cell r="D5185" t="str">
            <v>L0030151                       EnggStore</v>
          </cell>
          <cell r="E5185" t="str">
            <v>E36 E36</v>
          </cell>
          <cell r="F5185" t="str">
            <v>VB Manual reorder point planning</v>
          </cell>
          <cell r="G5185" t="str">
            <v>ERSA Spare parts</v>
          </cell>
          <cell r="H5185" t="str">
            <v>EN005     Elec Lighting</v>
          </cell>
          <cell r="I5185" t="str">
            <v>L003 Ankleshwar</v>
          </cell>
          <cell r="J5185" t="str">
            <v>99 Input/Byprodt/Scrap</v>
          </cell>
          <cell r="K5185" t="str">
            <v>10.2012</v>
          </cell>
          <cell r="L5185">
            <v>4</v>
          </cell>
          <cell r="M5185" t="str">
            <v>EA</v>
          </cell>
          <cell r="N5185">
            <v>503.12</v>
          </cell>
          <cell r="O5185" t="str">
            <v>INR</v>
          </cell>
        </row>
        <row r="5186">
          <cell r="A5186" t="str">
            <v>L003 Ankleshwar</v>
          </cell>
          <cell r="B5186">
            <v>677412</v>
          </cell>
          <cell r="C5186" t="str">
            <v>PTFE BUSH FOR GLR NOZZLE : 50 NB</v>
          </cell>
          <cell r="D5186" t="str">
            <v>L0030151                       EnggStore</v>
          </cell>
          <cell r="E5186">
            <v>0</v>
          </cell>
          <cell r="F5186" t="str">
            <v>ND No planning</v>
          </cell>
          <cell r="G5186" t="str">
            <v>ERSA Spare parts</v>
          </cell>
          <cell r="H5186" t="str">
            <v>EN025     Glasswareitems</v>
          </cell>
          <cell r="I5186" t="str">
            <v>L003 Ankleshwar</v>
          </cell>
          <cell r="J5186" t="str">
            <v>99 Input/Byprodt/Scrap</v>
          </cell>
          <cell r="K5186" t="str">
            <v>10.2012</v>
          </cell>
          <cell r="L5186">
            <v>1</v>
          </cell>
          <cell r="M5186" t="str">
            <v>EA</v>
          </cell>
          <cell r="N5186">
            <v>674.5</v>
          </cell>
          <cell r="O5186" t="str">
            <v>INR</v>
          </cell>
        </row>
        <row r="5187">
          <cell r="A5187" t="str">
            <v>L003 Ankleshwar</v>
          </cell>
          <cell r="B5187">
            <v>677415</v>
          </cell>
          <cell r="C5187" t="str">
            <v>NEOPRENE RUBBER SLEEVE FOR 10" VALVE</v>
          </cell>
          <cell r="D5187" t="str">
            <v>L0030151                       EnggStore</v>
          </cell>
          <cell r="E5187">
            <v>0</v>
          </cell>
          <cell r="F5187" t="str">
            <v>ND No planning</v>
          </cell>
          <cell r="G5187" t="str">
            <v>ERSA Spare parts</v>
          </cell>
          <cell r="H5187" t="str">
            <v>EN023     Valves&amp;spares</v>
          </cell>
          <cell r="I5187" t="str">
            <v>L003 Ankleshwar</v>
          </cell>
          <cell r="J5187" t="str">
            <v>99 Input/Byprodt/Scrap</v>
          </cell>
          <cell r="K5187" t="str">
            <v>10.2012</v>
          </cell>
          <cell r="L5187">
            <v>1</v>
          </cell>
          <cell r="M5187" t="str">
            <v>EA</v>
          </cell>
          <cell r="N5187">
            <v>6030.1599999999899</v>
          </cell>
          <cell r="O5187" t="str">
            <v>INR</v>
          </cell>
        </row>
        <row r="5188">
          <cell r="A5188" t="str">
            <v>L003 Ankleshwar</v>
          </cell>
          <cell r="B5188">
            <v>677426</v>
          </cell>
          <cell r="C5188" t="str">
            <v>V-BELT C-70</v>
          </cell>
          <cell r="D5188" t="str">
            <v>L0030151                       EnggStore</v>
          </cell>
          <cell r="E5188" t="str">
            <v>E35 E35</v>
          </cell>
          <cell r="F5188" t="str">
            <v>VB Manual reorder point planning</v>
          </cell>
          <cell r="G5188" t="str">
            <v>ERSA Spare parts</v>
          </cell>
          <cell r="H5188" t="str">
            <v>EN021     VbeltCoupling&amp;Pulley</v>
          </cell>
          <cell r="I5188" t="str">
            <v>L003 Ankleshwar</v>
          </cell>
          <cell r="J5188" t="str">
            <v>99 Input/Byprodt/Scrap</v>
          </cell>
          <cell r="K5188" t="str">
            <v>10.2012</v>
          </cell>
          <cell r="L5188">
            <v>8</v>
          </cell>
          <cell r="M5188" t="str">
            <v>EA</v>
          </cell>
          <cell r="N5188">
            <v>2317.44</v>
          </cell>
          <cell r="O5188" t="str">
            <v>INR</v>
          </cell>
        </row>
        <row r="5189">
          <cell r="A5189" t="str">
            <v>L003 Ankleshwar</v>
          </cell>
          <cell r="B5189">
            <v>677562</v>
          </cell>
          <cell r="C5189" t="str">
            <v>SS -316 45MM -OD Rotary SprayBall</v>
          </cell>
          <cell r="D5189" t="str">
            <v>L0030151                       EnggStore</v>
          </cell>
          <cell r="E5189">
            <v>0</v>
          </cell>
          <cell r="F5189" t="str">
            <v>ND No planning</v>
          </cell>
          <cell r="G5189" t="str">
            <v>ERSA Spare parts</v>
          </cell>
          <cell r="H5189" t="str">
            <v>EN022     Hardwareitems</v>
          </cell>
          <cell r="I5189" t="str">
            <v>L003 Ankleshwar</v>
          </cell>
          <cell r="J5189" t="str">
            <v>99 Input/Byprodt/Scrap</v>
          </cell>
          <cell r="K5189" t="str">
            <v>10.2012</v>
          </cell>
          <cell r="L5189">
            <v>1</v>
          </cell>
          <cell r="M5189" t="str">
            <v>EA</v>
          </cell>
          <cell r="N5189">
            <v>6303.6</v>
          </cell>
          <cell r="O5189" t="str">
            <v>INR</v>
          </cell>
        </row>
        <row r="5190">
          <cell r="A5190" t="str">
            <v>L003 Ankleshwar</v>
          </cell>
          <cell r="B5190">
            <v>677620</v>
          </cell>
          <cell r="C5190" t="str">
            <v>DIGITAL CLAMP ON METER</v>
          </cell>
          <cell r="D5190" t="str">
            <v>L0030151                       EnggStore</v>
          </cell>
          <cell r="E5190">
            <v>0</v>
          </cell>
          <cell r="F5190" t="str">
            <v>ND No planning</v>
          </cell>
          <cell r="G5190" t="str">
            <v>ERSA Spare parts</v>
          </cell>
          <cell r="H5190" t="str">
            <v>EN035     Measuring&amp;TestingIns</v>
          </cell>
          <cell r="I5190" t="str">
            <v>L003 Ankleshwar</v>
          </cell>
          <cell r="J5190" t="str">
            <v>99 Input/Byprodt/Scrap</v>
          </cell>
          <cell r="K5190" t="str">
            <v>10.2012</v>
          </cell>
          <cell r="L5190">
            <v>2</v>
          </cell>
          <cell r="M5190" t="str">
            <v>EA</v>
          </cell>
          <cell r="N5190">
            <v>11126.83</v>
          </cell>
          <cell r="O5190" t="str">
            <v>INR</v>
          </cell>
        </row>
        <row r="5191">
          <cell r="A5191" t="str">
            <v>L003 Ankleshwar</v>
          </cell>
          <cell r="B5191">
            <v>677671</v>
          </cell>
          <cell r="C5191" t="str">
            <v>GI SHEET : 8' X 4' X 24 SWG</v>
          </cell>
          <cell r="D5191" t="str">
            <v>L0030201                       Cons StoreKP</v>
          </cell>
          <cell r="E5191">
            <v>0</v>
          </cell>
          <cell r="F5191" t="str">
            <v>ND No planning</v>
          </cell>
          <cell r="G5191" t="str">
            <v>ERSA Spare parts</v>
          </cell>
          <cell r="H5191" t="str">
            <v>EN019     Civil/Buliding Mater</v>
          </cell>
          <cell r="I5191" t="str">
            <v>L003 Ankleshwar</v>
          </cell>
          <cell r="J5191" t="str">
            <v>99 Input/Byprodt/Scrap</v>
          </cell>
          <cell r="K5191" t="str">
            <v>10.2012</v>
          </cell>
          <cell r="L5191">
            <v>2</v>
          </cell>
          <cell r="M5191" t="str">
            <v>EA</v>
          </cell>
          <cell r="N5191">
            <v>1942.5</v>
          </cell>
          <cell r="O5191" t="str">
            <v>INR</v>
          </cell>
        </row>
        <row r="5192">
          <cell r="A5192" t="str">
            <v>L003 Ankleshwar</v>
          </cell>
          <cell r="B5192">
            <v>677837</v>
          </cell>
          <cell r="C5192" t="str">
            <v>LANTERN BRACKET : KPD-50/16 QF</v>
          </cell>
          <cell r="D5192" t="str">
            <v>L0030151                       EnggStore</v>
          </cell>
          <cell r="E5192" t="str">
            <v>E34 E34</v>
          </cell>
          <cell r="F5192" t="str">
            <v>VB Manual reorder point planning</v>
          </cell>
          <cell r="G5192" t="str">
            <v>ERSA Spare parts</v>
          </cell>
          <cell r="H5192" t="str">
            <v>EN032     Pumpspares</v>
          </cell>
          <cell r="I5192" t="str">
            <v>L003 Ankleshwar</v>
          </cell>
          <cell r="J5192" t="str">
            <v>99 Input/Byprodt/Scrap</v>
          </cell>
          <cell r="K5192" t="str">
            <v>10.2012</v>
          </cell>
          <cell r="L5192">
            <v>1</v>
          </cell>
          <cell r="M5192" t="str">
            <v>EA</v>
          </cell>
          <cell r="N5192">
            <v>3020.1199999999899</v>
          </cell>
          <cell r="O5192" t="str">
            <v>INR</v>
          </cell>
        </row>
        <row r="5193">
          <cell r="A5193" t="str">
            <v>L003 Ankleshwar</v>
          </cell>
          <cell r="B5193">
            <v>677838</v>
          </cell>
          <cell r="C5193" t="str">
            <v>LANTERN BRACKET : KPD-50/13 QF</v>
          </cell>
          <cell r="D5193" t="str">
            <v>L0030151                       EnggStore</v>
          </cell>
          <cell r="E5193">
            <v>0</v>
          </cell>
          <cell r="F5193" t="str">
            <v>ND No planning</v>
          </cell>
          <cell r="G5193" t="str">
            <v>ERSA Spare parts</v>
          </cell>
          <cell r="H5193" t="str">
            <v>EN032     Pumpspares</v>
          </cell>
          <cell r="I5193" t="str">
            <v>L003 Ankleshwar</v>
          </cell>
          <cell r="J5193" t="str">
            <v>99 Input/Byprodt/Scrap</v>
          </cell>
          <cell r="K5193" t="str">
            <v>10.2012</v>
          </cell>
          <cell r="L5193">
            <v>1</v>
          </cell>
          <cell r="M5193" t="str">
            <v>EA</v>
          </cell>
          <cell r="N5193">
            <v>2186.63</v>
          </cell>
          <cell r="O5193" t="str">
            <v>INR</v>
          </cell>
        </row>
        <row r="5194">
          <cell r="A5194" t="str">
            <v>L003 Ankleshwar</v>
          </cell>
          <cell r="B5194">
            <v>677991</v>
          </cell>
          <cell r="C5194" t="str">
            <v>SS PARTITION STAND</v>
          </cell>
          <cell r="D5194" t="str">
            <v>L0030151                       EnggStore</v>
          </cell>
          <cell r="E5194">
            <v>0</v>
          </cell>
          <cell r="F5194" t="str">
            <v>ND No planning</v>
          </cell>
          <cell r="G5194" t="str">
            <v>ERSA Spare parts</v>
          </cell>
          <cell r="H5194" t="str">
            <v>EN022     Hardwareitems</v>
          </cell>
          <cell r="I5194" t="str">
            <v>L003 Ankleshwar</v>
          </cell>
          <cell r="J5194" t="str">
            <v>99 Input/Byprodt/Scrap</v>
          </cell>
          <cell r="K5194" t="str">
            <v>10.2012</v>
          </cell>
          <cell r="L5194">
            <v>1</v>
          </cell>
          <cell r="M5194" t="str">
            <v>EA</v>
          </cell>
          <cell r="N5194">
            <v>15000</v>
          </cell>
          <cell r="O5194" t="str">
            <v>INR</v>
          </cell>
        </row>
        <row r="5195">
          <cell r="A5195" t="str">
            <v>L003 Ankleshwar</v>
          </cell>
          <cell r="B5195">
            <v>678027</v>
          </cell>
          <cell r="C5195" t="str">
            <v>CORD LESS REMOTE FOR A/C</v>
          </cell>
          <cell r="D5195" t="str">
            <v>L0030151                       EnggStore</v>
          </cell>
          <cell r="E5195">
            <v>0</v>
          </cell>
          <cell r="F5195" t="str">
            <v>ND No planning</v>
          </cell>
          <cell r="G5195" t="str">
            <v>ERSA Spare parts</v>
          </cell>
          <cell r="H5195" t="str">
            <v>EN037     Refrigeration&amp;A/Cspa</v>
          </cell>
          <cell r="I5195" t="str">
            <v>L003 Ankleshwar</v>
          </cell>
          <cell r="J5195" t="str">
            <v>99 Input/Byprodt/Scrap</v>
          </cell>
          <cell r="K5195" t="str">
            <v>10.2012</v>
          </cell>
          <cell r="L5195">
            <v>1</v>
          </cell>
          <cell r="M5195" t="str">
            <v>SET</v>
          </cell>
          <cell r="N5195">
            <v>1863</v>
          </cell>
          <cell r="O5195" t="str">
            <v>INR</v>
          </cell>
        </row>
        <row r="5196">
          <cell r="A5196" t="str">
            <v>L003 Ankleshwar</v>
          </cell>
          <cell r="B5196">
            <v>678076</v>
          </cell>
          <cell r="C5196" t="str">
            <v>SEAL KIT FOR ACTUATOR MODEL EC150E26,10"</v>
          </cell>
          <cell r="D5196" t="str">
            <v>L0030151                       EnggStore</v>
          </cell>
          <cell r="E5196">
            <v>0</v>
          </cell>
          <cell r="F5196" t="str">
            <v>ND No planning</v>
          </cell>
          <cell r="G5196" t="str">
            <v>ERSA Spare parts</v>
          </cell>
          <cell r="H5196" t="str">
            <v>EN017     InstrumentSpares</v>
          </cell>
          <cell r="I5196" t="str">
            <v>L003 Ankleshwar</v>
          </cell>
          <cell r="J5196" t="str">
            <v>99 Input/Byprodt/Scrap</v>
          </cell>
          <cell r="K5196" t="str">
            <v>10.2012</v>
          </cell>
          <cell r="L5196">
            <v>1</v>
          </cell>
          <cell r="M5196" t="str">
            <v>EA</v>
          </cell>
          <cell r="N5196">
            <v>1655.0599999999899</v>
          </cell>
          <cell r="O5196" t="str">
            <v>INR</v>
          </cell>
        </row>
        <row r="5197">
          <cell r="A5197" t="str">
            <v>L003 Ankleshwar</v>
          </cell>
          <cell r="B5197">
            <v>678092</v>
          </cell>
          <cell r="C5197" t="str">
            <v>SS316 SHAFT SLEEVE JOHNSON PUMP</v>
          </cell>
          <cell r="D5197" t="str">
            <v>L0030151                       EnggStore</v>
          </cell>
          <cell r="E5197" t="str">
            <v>E34 E34</v>
          </cell>
          <cell r="F5197" t="str">
            <v>VB Manual reorder point planning</v>
          </cell>
          <cell r="G5197" t="str">
            <v>ERSA Spare parts</v>
          </cell>
          <cell r="H5197" t="str">
            <v>EN038     MechanicalSeals&amp;Spar</v>
          </cell>
          <cell r="I5197" t="str">
            <v>L003 Ankleshwar</v>
          </cell>
          <cell r="J5197" t="str">
            <v>99 Input/Byprodt/Scrap</v>
          </cell>
          <cell r="K5197" t="str">
            <v>10.2012</v>
          </cell>
          <cell r="L5197">
            <v>2</v>
          </cell>
          <cell r="M5197" t="str">
            <v>EA</v>
          </cell>
          <cell r="N5197">
            <v>3270.3499999999899</v>
          </cell>
          <cell r="O5197" t="str">
            <v>INR</v>
          </cell>
        </row>
        <row r="5198">
          <cell r="A5198" t="str">
            <v>L003 Ankleshwar</v>
          </cell>
          <cell r="B5198">
            <v>678097</v>
          </cell>
          <cell r="C5198" t="str">
            <v>PTFE BUSH: HNT-N-3850-H ALLOY-C</v>
          </cell>
          <cell r="D5198" t="str">
            <v>L0030151                       EnggStore</v>
          </cell>
          <cell r="E5198" t="str">
            <v>E34 E34</v>
          </cell>
          <cell r="F5198" t="str">
            <v>VB Manual reorder point planning</v>
          </cell>
          <cell r="G5198" t="str">
            <v>ERSA Spare parts</v>
          </cell>
          <cell r="H5198" t="str">
            <v>EN032     Pumpspares</v>
          </cell>
          <cell r="I5198" t="str">
            <v>L003 Ankleshwar</v>
          </cell>
          <cell r="J5198" t="str">
            <v>99 Input/Byprodt/Scrap</v>
          </cell>
          <cell r="K5198" t="str">
            <v>10.2012</v>
          </cell>
          <cell r="L5198">
            <v>2</v>
          </cell>
          <cell r="M5198" t="str">
            <v>EA</v>
          </cell>
          <cell r="N5198">
            <v>972.32</v>
          </cell>
          <cell r="O5198" t="str">
            <v>INR</v>
          </cell>
        </row>
        <row r="5199">
          <cell r="A5199" t="str">
            <v>L003 Ankleshwar</v>
          </cell>
          <cell r="B5199">
            <v>678099</v>
          </cell>
          <cell r="C5199" t="str">
            <v>DISCH VALVE SEAT: HNT-N-3850-H ALLOY-C</v>
          </cell>
          <cell r="D5199" t="str">
            <v>L0030151                       EnggStore</v>
          </cell>
          <cell r="E5199">
            <v>0</v>
          </cell>
          <cell r="F5199" t="str">
            <v>ND No planning</v>
          </cell>
          <cell r="G5199" t="str">
            <v>ERSA Spare parts</v>
          </cell>
          <cell r="H5199" t="str">
            <v>EN032     Pumpspares</v>
          </cell>
          <cell r="I5199" t="str">
            <v>L003 Ankleshwar</v>
          </cell>
          <cell r="J5199" t="str">
            <v>99 Input/Byprodt/Scrap</v>
          </cell>
          <cell r="K5199" t="str">
            <v>10.2012</v>
          </cell>
          <cell r="L5199">
            <v>3</v>
          </cell>
          <cell r="M5199" t="str">
            <v>EA</v>
          </cell>
          <cell r="N5199">
            <v>23175</v>
          </cell>
          <cell r="O5199" t="str">
            <v>INR</v>
          </cell>
        </row>
        <row r="5200">
          <cell r="A5200" t="str">
            <v>L003 Ankleshwar</v>
          </cell>
          <cell r="B5200">
            <v>678131</v>
          </cell>
          <cell r="C5200" t="str">
            <v>SUC VALVE SEAT: HNT-N-3850-H ALLOY-C</v>
          </cell>
          <cell r="D5200" t="str">
            <v>L0030151                       EnggStore</v>
          </cell>
          <cell r="E5200" t="str">
            <v>E34 E34</v>
          </cell>
          <cell r="F5200" t="str">
            <v>VB Manual reorder point planning</v>
          </cell>
          <cell r="G5200" t="str">
            <v>ERSA Spare parts</v>
          </cell>
          <cell r="H5200" t="str">
            <v>EN032     Pumpspares</v>
          </cell>
          <cell r="I5200" t="str">
            <v>L003 Ankleshwar</v>
          </cell>
          <cell r="J5200" t="str">
            <v>99 Input/Byprodt/Scrap</v>
          </cell>
          <cell r="K5200" t="str">
            <v>10.2012</v>
          </cell>
          <cell r="L5200">
            <v>4</v>
          </cell>
          <cell r="M5200" t="str">
            <v>EA</v>
          </cell>
          <cell r="N5200">
            <v>12524.799999999899</v>
          </cell>
          <cell r="O5200" t="str">
            <v>INR</v>
          </cell>
        </row>
        <row r="5201">
          <cell r="A5201" t="str">
            <v>L003 Ankleshwar</v>
          </cell>
          <cell r="B5201">
            <v>678132</v>
          </cell>
          <cell r="C5201" t="str">
            <v>SUC-DISCH VALVE SPRING: HNT-N-3850-HA</v>
          </cell>
          <cell r="D5201" t="str">
            <v>L0030151                       EnggStore</v>
          </cell>
          <cell r="E5201" t="str">
            <v>E34 E34</v>
          </cell>
          <cell r="F5201" t="str">
            <v>VB Manual reorder point planning</v>
          </cell>
          <cell r="G5201" t="str">
            <v>ERSA Spare parts</v>
          </cell>
          <cell r="H5201" t="str">
            <v>EN032     Pumpspares</v>
          </cell>
          <cell r="I5201" t="str">
            <v>L003 Ankleshwar</v>
          </cell>
          <cell r="J5201" t="str">
            <v>99 Input/Byprodt/Scrap</v>
          </cell>
          <cell r="K5201" t="str">
            <v>10.2012</v>
          </cell>
          <cell r="L5201">
            <v>2</v>
          </cell>
          <cell r="M5201" t="str">
            <v>EA</v>
          </cell>
          <cell r="N5201">
            <v>618</v>
          </cell>
          <cell r="O5201" t="str">
            <v>INR</v>
          </cell>
        </row>
        <row r="5202">
          <cell r="A5202" t="str">
            <v>L003 Ankleshwar</v>
          </cell>
          <cell r="B5202">
            <v>678133</v>
          </cell>
          <cell r="C5202" t="str">
            <v>SUC-DISCH VALVE'O'RING VITON: HNT-N-3850</v>
          </cell>
          <cell r="D5202" t="str">
            <v>L0030151                       EnggStore</v>
          </cell>
          <cell r="E5202">
            <v>0</v>
          </cell>
          <cell r="F5202" t="str">
            <v>ND No planning</v>
          </cell>
          <cell r="G5202" t="str">
            <v>ERSA Spare parts</v>
          </cell>
          <cell r="H5202" t="str">
            <v>EN032     Pumpspares</v>
          </cell>
          <cell r="I5202" t="str">
            <v>L003 Ankleshwar</v>
          </cell>
          <cell r="J5202" t="str">
            <v>99 Input/Byprodt/Scrap</v>
          </cell>
          <cell r="K5202" t="str">
            <v>10.2012</v>
          </cell>
          <cell r="L5202">
            <v>4</v>
          </cell>
          <cell r="M5202" t="str">
            <v>EA</v>
          </cell>
          <cell r="N5202">
            <v>432.6</v>
          </cell>
          <cell r="O5202" t="str">
            <v>INR</v>
          </cell>
        </row>
        <row r="5203">
          <cell r="A5203" t="str">
            <v>L003 Ankleshwar</v>
          </cell>
          <cell r="B5203">
            <v>678135</v>
          </cell>
          <cell r="C5203" t="str">
            <v>S BOX GASKET PTFE: HNT-N-3850-H ALLOY-C</v>
          </cell>
          <cell r="D5203" t="str">
            <v>L0030151                       EnggStore</v>
          </cell>
          <cell r="E5203" t="str">
            <v>E34 E34</v>
          </cell>
          <cell r="F5203" t="str">
            <v>VB Manual reorder point planning</v>
          </cell>
          <cell r="G5203" t="str">
            <v>ERSA Spare parts</v>
          </cell>
          <cell r="H5203" t="str">
            <v>EN032     Pumpspares</v>
          </cell>
          <cell r="I5203" t="str">
            <v>L003 Ankleshwar</v>
          </cell>
          <cell r="J5203" t="str">
            <v>99 Input/Byprodt/Scrap</v>
          </cell>
          <cell r="K5203" t="str">
            <v>10.2012</v>
          </cell>
          <cell r="L5203">
            <v>12</v>
          </cell>
          <cell r="M5203" t="str">
            <v>EA</v>
          </cell>
          <cell r="N5203">
            <v>2410.1999999999898</v>
          </cell>
          <cell r="O5203" t="str">
            <v>INR</v>
          </cell>
        </row>
        <row r="5204">
          <cell r="A5204" t="str">
            <v>L003 Ankleshwar</v>
          </cell>
          <cell r="B5204">
            <v>678136</v>
          </cell>
          <cell r="C5204" t="str">
            <v>PISTON OIL SEAL: HNT-N-3850-H ALLOY-C</v>
          </cell>
          <cell r="D5204" t="str">
            <v>L0030151                       EnggStore</v>
          </cell>
          <cell r="E5204" t="str">
            <v>E34 E34</v>
          </cell>
          <cell r="F5204" t="str">
            <v>VB Manual reorder point planning</v>
          </cell>
          <cell r="G5204" t="str">
            <v>ERSA Spare parts</v>
          </cell>
          <cell r="H5204" t="str">
            <v>EN032     Pumpspares</v>
          </cell>
          <cell r="I5204" t="str">
            <v>L003 Ankleshwar</v>
          </cell>
          <cell r="J5204" t="str">
            <v>99 Input/Byprodt/Scrap</v>
          </cell>
          <cell r="K5204" t="str">
            <v>10.2012</v>
          </cell>
          <cell r="L5204">
            <v>1</v>
          </cell>
          <cell r="M5204" t="str">
            <v>EA</v>
          </cell>
          <cell r="N5204">
            <v>87.45</v>
          </cell>
          <cell r="O5204" t="str">
            <v>INR</v>
          </cell>
        </row>
        <row r="5205">
          <cell r="A5205" t="str">
            <v>L003 Ankleshwar</v>
          </cell>
          <cell r="B5205">
            <v>678138</v>
          </cell>
          <cell r="C5205" t="str">
            <v>CONNECTINGRODBEARINGHNT-N-3850-H ALLOY-C</v>
          </cell>
          <cell r="D5205" t="str">
            <v>L0030151                       EnggStore</v>
          </cell>
          <cell r="E5205" t="str">
            <v>E34 E34</v>
          </cell>
          <cell r="F5205" t="str">
            <v>VB Manual reorder point planning</v>
          </cell>
          <cell r="G5205" t="str">
            <v>ERSA Spare parts</v>
          </cell>
          <cell r="H5205" t="str">
            <v>EN032     Pumpspares</v>
          </cell>
          <cell r="I5205" t="str">
            <v>L003 Ankleshwar</v>
          </cell>
          <cell r="J5205" t="str">
            <v>99 Input/Byprodt/Scrap</v>
          </cell>
          <cell r="K5205" t="str">
            <v>10.2012</v>
          </cell>
          <cell r="L5205">
            <v>1</v>
          </cell>
          <cell r="M5205" t="str">
            <v>EA</v>
          </cell>
          <cell r="N5205">
            <v>1612.47</v>
          </cell>
          <cell r="O5205" t="str">
            <v>INR</v>
          </cell>
        </row>
        <row r="5206">
          <cell r="A5206" t="str">
            <v>L003 Ankleshwar</v>
          </cell>
          <cell r="B5206">
            <v>678139</v>
          </cell>
          <cell r="C5206" t="str">
            <v>PISTON PIN: HNT-N-3850-H ALLOY-C</v>
          </cell>
          <cell r="D5206" t="str">
            <v>L0030151                       EnggStore</v>
          </cell>
          <cell r="E5206" t="str">
            <v>E34 E34</v>
          </cell>
          <cell r="F5206" t="str">
            <v>VB Manual reorder point planning</v>
          </cell>
          <cell r="G5206" t="str">
            <v>ERSA Spare parts</v>
          </cell>
          <cell r="H5206" t="str">
            <v>EN032     Pumpspares</v>
          </cell>
          <cell r="I5206" t="str">
            <v>L003 Ankleshwar</v>
          </cell>
          <cell r="J5206" t="str">
            <v>99 Input/Byprodt/Scrap</v>
          </cell>
          <cell r="K5206" t="str">
            <v>10.2012</v>
          </cell>
          <cell r="L5206">
            <v>1</v>
          </cell>
          <cell r="M5206" t="str">
            <v>EA</v>
          </cell>
          <cell r="N5206">
            <v>782.39999999999895</v>
          </cell>
          <cell r="O5206" t="str">
            <v>INR</v>
          </cell>
        </row>
        <row r="5207">
          <cell r="A5207" t="str">
            <v>L003 Ankleshwar</v>
          </cell>
          <cell r="B5207">
            <v>678173</v>
          </cell>
          <cell r="C5207" t="str">
            <v>BOTTOM PLATE</v>
          </cell>
          <cell r="D5207" t="str">
            <v>L0030151                       EnggStore</v>
          </cell>
          <cell r="E5207">
            <v>0</v>
          </cell>
          <cell r="F5207" t="str">
            <v>ND No planning</v>
          </cell>
          <cell r="G5207" t="str">
            <v>ERSA Spare parts</v>
          </cell>
          <cell r="H5207" t="str">
            <v>EN027     Prod&amp;OtherConsumable</v>
          </cell>
          <cell r="I5207" t="str">
            <v>L003 Ankleshwar</v>
          </cell>
          <cell r="J5207" t="str">
            <v>99 Input/Byprodt/Scrap</v>
          </cell>
          <cell r="K5207" t="str">
            <v>10.2012</v>
          </cell>
          <cell r="L5207">
            <v>1</v>
          </cell>
          <cell r="M5207" t="str">
            <v>EA</v>
          </cell>
          <cell r="N5207">
            <v>807.5</v>
          </cell>
          <cell r="O5207" t="str">
            <v>INR</v>
          </cell>
        </row>
        <row r="5208">
          <cell r="A5208" t="str">
            <v>L003 Ankleshwar</v>
          </cell>
          <cell r="B5208">
            <v>678231</v>
          </cell>
          <cell r="C5208" t="str">
            <v>SEAL RING SHELL WTH INSERT-0W:SRNUT-0349</v>
          </cell>
          <cell r="D5208" t="str">
            <v>L0030151                       EnggStore</v>
          </cell>
          <cell r="E5208">
            <v>0</v>
          </cell>
          <cell r="F5208" t="str">
            <v>ND No planning</v>
          </cell>
          <cell r="G5208" t="str">
            <v>ERSA Spare parts</v>
          </cell>
          <cell r="H5208" t="str">
            <v>EN038     MechanicalSeals&amp;Spar</v>
          </cell>
          <cell r="I5208" t="str">
            <v>L003 Ankleshwar</v>
          </cell>
          <cell r="J5208" t="str">
            <v>99 Input/Byprodt/Scrap</v>
          </cell>
          <cell r="K5208" t="str">
            <v>10.2012</v>
          </cell>
          <cell r="L5208">
            <v>1</v>
          </cell>
          <cell r="M5208" t="str">
            <v>EA</v>
          </cell>
          <cell r="N5208">
            <v>3800.3099999999899</v>
          </cell>
          <cell r="O5208" t="str">
            <v>INR</v>
          </cell>
        </row>
        <row r="5209">
          <cell r="A5209" t="str">
            <v>L003 Ankleshwar</v>
          </cell>
          <cell r="B5209">
            <v>678233</v>
          </cell>
          <cell r="C5209" t="str">
            <v>SPRING-SS316-BE:SEAL SRNUT-0349</v>
          </cell>
          <cell r="D5209" t="str">
            <v>L0030151                       EnggStore</v>
          </cell>
          <cell r="E5209">
            <v>0</v>
          </cell>
          <cell r="F5209" t="str">
            <v>ND No planning</v>
          </cell>
          <cell r="G5209" t="str">
            <v>ERSA Spare parts</v>
          </cell>
          <cell r="H5209" t="str">
            <v>EN038     MechanicalSeals&amp;Spar</v>
          </cell>
          <cell r="I5209" t="str">
            <v>L003 Ankleshwar</v>
          </cell>
          <cell r="J5209" t="str">
            <v>99 Input/Byprodt/Scrap</v>
          </cell>
          <cell r="K5209" t="str">
            <v>10.2012</v>
          </cell>
          <cell r="L5209">
            <v>3</v>
          </cell>
          <cell r="M5209" t="str">
            <v>EA</v>
          </cell>
          <cell r="N5209">
            <v>557.38</v>
          </cell>
          <cell r="O5209" t="str">
            <v>INR</v>
          </cell>
        </row>
        <row r="5210">
          <cell r="A5210" t="str">
            <v>L003 Ankleshwar</v>
          </cell>
          <cell r="B5210">
            <v>678234</v>
          </cell>
          <cell r="C5210" t="str">
            <v>SPRING SLEEVE-SS316-BD:SEAL SRNUT-0349</v>
          </cell>
          <cell r="D5210" t="str">
            <v>L0030151                       EnggStore</v>
          </cell>
          <cell r="E5210">
            <v>0</v>
          </cell>
          <cell r="F5210" t="str">
            <v>ND No planning</v>
          </cell>
          <cell r="G5210" t="str">
            <v>ERSA Spare parts</v>
          </cell>
          <cell r="H5210" t="str">
            <v>EN038     MechanicalSeals&amp;Spar</v>
          </cell>
          <cell r="I5210" t="str">
            <v>L003 Ankleshwar</v>
          </cell>
          <cell r="J5210" t="str">
            <v>99 Input/Byprodt/Scrap</v>
          </cell>
          <cell r="K5210" t="str">
            <v>10.2012</v>
          </cell>
          <cell r="L5210">
            <v>3</v>
          </cell>
          <cell r="M5210" t="str">
            <v>EA</v>
          </cell>
          <cell r="N5210">
            <v>2280.17</v>
          </cell>
          <cell r="O5210" t="str">
            <v>INR</v>
          </cell>
        </row>
        <row r="5211">
          <cell r="A5211" t="str">
            <v>L003 Ankleshwar</v>
          </cell>
          <cell r="B5211">
            <v>678235</v>
          </cell>
          <cell r="C5211" t="str">
            <v>U-PACKING-PTFE-1B:SEAL SRNUT-0349</v>
          </cell>
          <cell r="D5211" t="str">
            <v>L0030151                       EnggStore</v>
          </cell>
          <cell r="E5211" t="str">
            <v>E34 E34</v>
          </cell>
          <cell r="F5211" t="str">
            <v>VB Manual reorder point planning</v>
          </cell>
          <cell r="G5211" t="str">
            <v>ERSA Spare parts</v>
          </cell>
          <cell r="H5211" t="str">
            <v>EN038     MechanicalSeals&amp;Spar</v>
          </cell>
          <cell r="I5211" t="str">
            <v>L003 Ankleshwar</v>
          </cell>
          <cell r="J5211" t="str">
            <v>99 Input/Byprodt/Scrap</v>
          </cell>
          <cell r="K5211" t="str">
            <v>10.2012</v>
          </cell>
          <cell r="L5211">
            <v>1</v>
          </cell>
          <cell r="M5211" t="str">
            <v>EA</v>
          </cell>
          <cell r="N5211">
            <v>121.56</v>
          </cell>
          <cell r="O5211" t="str">
            <v>INR</v>
          </cell>
        </row>
        <row r="5212">
          <cell r="A5212" t="str">
            <v>L003 Ankleshwar</v>
          </cell>
          <cell r="B5212">
            <v>678236</v>
          </cell>
          <cell r="C5212" t="str">
            <v>STATIONARY SEAT-SIC-4H:SEAL SRNUT-0349</v>
          </cell>
          <cell r="D5212" t="str">
            <v>L0030151                       EnggStore</v>
          </cell>
          <cell r="E5212">
            <v>0</v>
          </cell>
          <cell r="F5212" t="str">
            <v>ND No planning</v>
          </cell>
          <cell r="G5212" t="str">
            <v>ERSA Spare parts</v>
          </cell>
          <cell r="H5212" t="str">
            <v>EN038     MechanicalSeals&amp;Spar</v>
          </cell>
          <cell r="I5212" t="str">
            <v>L003 Ankleshwar</v>
          </cell>
          <cell r="J5212" t="str">
            <v>99 Input/Byprodt/Scrap</v>
          </cell>
          <cell r="K5212" t="str">
            <v>10.2012</v>
          </cell>
          <cell r="L5212">
            <v>2</v>
          </cell>
          <cell r="M5212" t="str">
            <v>EA</v>
          </cell>
          <cell r="N5212">
            <v>8639.3799999999901</v>
          </cell>
          <cell r="O5212" t="str">
            <v>INR</v>
          </cell>
        </row>
        <row r="5213">
          <cell r="A5213" t="str">
            <v>L003 Ankleshwar</v>
          </cell>
          <cell r="B5213">
            <v>678237</v>
          </cell>
          <cell r="C5213" t="str">
            <v>O RING-PTFE-6V:SEAL SRNUT-0349</v>
          </cell>
          <cell r="D5213" t="str">
            <v>L0030151                       EnggStore</v>
          </cell>
          <cell r="E5213" t="str">
            <v>E06 E06</v>
          </cell>
          <cell r="F5213" t="str">
            <v>ND No planning</v>
          </cell>
          <cell r="G5213" t="str">
            <v>ERSA Spare parts</v>
          </cell>
          <cell r="H5213" t="str">
            <v>EN038     MechanicalSeals&amp;Spar</v>
          </cell>
          <cell r="I5213" t="str">
            <v>L003 Ankleshwar</v>
          </cell>
          <cell r="J5213" t="str">
            <v>99 Input/Byprodt/Scrap</v>
          </cell>
          <cell r="K5213" t="str">
            <v>10.2012</v>
          </cell>
          <cell r="L5213">
            <v>3</v>
          </cell>
          <cell r="M5213" t="str">
            <v>EA</v>
          </cell>
          <cell r="N5213">
            <v>380.02999999999901</v>
          </cell>
          <cell r="O5213" t="str">
            <v>INR</v>
          </cell>
        </row>
        <row r="5214">
          <cell r="A5214" t="str">
            <v>L003 Ankleshwar</v>
          </cell>
          <cell r="B5214">
            <v>678238</v>
          </cell>
          <cell r="C5214" t="str">
            <v>SLEEVE-SS316-5F:SEAL SRNUT-0349</v>
          </cell>
          <cell r="D5214" t="str">
            <v>L0030151                       EnggStore</v>
          </cell>
          <cell r="E5214" t="str">
            <v>E34 E34</v>
          </cell>
          <cell r="F5214" t="str">
            <v>VB Manual reorder point planning</v>
          </cell>
          <cell r="G5214" t="str">
            <v>ERSA Spare parts</v>
          </cell>
          <cell r="H5214" t="str">
            <v>EN038     MechanicalSeals&amp;Spar</v>
          </cell>
          <cell r="I5214" t="str">
            <v>L003 Ankleshwar</v>
          </cell>
          <cell r="J5214" t="str">
            <v>99 Input/Byprodt/Scrap</v>
          </cell>
          <cell r="K5214" t="str">
            <v>10.2012</v>
          </cell>
          <cell r="L5214">
            <v>4</v>
          </cell>
          <cell r="M5214" t="str">
            <v>EA</v>
          </cell>
          <cell r="N5214">
            <v>6036.6899999999896</v>
          </cell>
          <cell r="O5214" t="str">
            <v>INR</v>
          </cell>
        </row>
        <row r="5215">
          <cell r="A5215" t="str">
            <v>L003 Ankleshwar</v>
          </cell>
          <cell r="B5215">
            <v>678239</v>
          </cell>
          <cell r="C5215" t="str">
            <v>GASKET-PTFE-5K:SEAL SRNUT-0349</v>
          </cell>
          <cell r="D5215" t="str">
            <v>L0030151                       EnggStore</v>
          </cell>
          <cell r="E5215" t="str">
            <v>E01 E01</v>
          </cell>
          <cell r="F5215" t="str">
            <v>ND No planning</v>
          </cell>
          <cell r="G5215" t="str">
            <v>ERSA Spare parts</v>
          </cell>
          <cell r="H5215" t="str">
            <v>EN038     MechanicalSeals&amp;Spar</v>
          </cell>
          <cell r="I5215" t="str">
            <v>L003 Ankleshwar</v>
          </cell>
          <cell r="J5215" t="str">
            <v>99 Input/Byprodt/Scrap</v>
          </cell>
          <cell r="K5215" t="str">
            <v>10.2012</v>
          </cell>
          <cell r="L5215">
            <v>2</v>
          </cell>
          <cell r="M5215" t="str">
            <v>EA</v>
          </cell>
          <cell r="N5215">
            <v>413.81</v>
          </cell>
          <cell r="O5215" t="str">
            <v>INR</v>
          </cell>
        </row>
        <row r="5216">
          <cell r="A5216" t="str">
            <v>L003 Ankleshwar</v>
          </cell>
          <cell r="B5216">
            <v>678552</v>
          </cell>
          <cell r="C5216" t="str">
            <v>NM GASKET: SIZE - 550MM X 470MM X 3MM</v>
          </cell>
          <cell r="D5216" t="str">
            <v>L0030151                       EnggStore</v>
          </cell>
          <cell r="E5216">
            <v>0</v>
          </cell>
          <cell r="F5216" t="str">
            <v>ND No planning</v>
          </cell>
          <cell r="G5216" t="str">
            <v>ERSA Spare parts</v>
          </cell>
          <cell r="H5216" t="str">
            <v>EN024     EnggConsumables</v>
          </cell>
          <cell r="I5216" t="str">
            <v>L003 Ankleshwar</v>
          </cell>
          <cell r="J5216" t="str">
            <v>99 Input/Byprodt/Scrap</v>
          </cell>
          <cell r="K5216" t="str">
            <v>10.2012</v>
          </cell>
          <cell r="L5216">
            <v>7</v>
          </cell>
          <cell r="M5216" t="str">
            <v>EA</v>
          </cell>
          <cell r="N5216">
            <v>1120</v>
          </cell>
          <cell r="O5216" t="str">
            <v>INR</v>
          </cell>
        </row>
        <row r="5217">
          <cell r="A5217" t="str">
            <v>L003 Ankleshwar</v>
          </cell>
          <cell r="B5217">
            <v>678582</v>
          </cell>
          <cell r="C5217" t="str">
            <v>BUSH (SMALL END BEARING) :12307490</v>
          </cell>
          <cell r="D5217" t="str">
            <v>L0030151                       EnggStore</v>
          </cell>
          <cell r="E5217">
            <v>0</v>
          </cell>
          <cell r="F5217" t="str">
            <v>ND No planning</v>
          </cell>
          <cell r="G5217" t="str">
            <v>ERSA Spare parts</v>
          </cell>
          <cell r="H5217" t="str">
            <v>EN029     Powerplantitems</v>
          </cell>
          <cell r="I5217" t="str">
            <v>L003 Ankleshwar</v>
          </cell>
          <cell r="J5217" t="str">
            <v>99 Input/Byprodt/Scrap</v>
          </cell>
          <cell r="K5217" t="str">
            <v>10.2012</v>
          </cell>
          <cell r="L5217">
            <v>2</v>
          </cell>
          <cell r="M5217" t="str">
            <v>EA</v>
          </cell>
          <cell r="N5217">
            <v>49552.05</v>
          </cell>
          <cell r="O5217" t="str">
            <v>INR</v>
          </cell>
        </row>
        <row r="5218">
          <cell r="A5218" t="str">
            <v>L003 Ankleshwar</v>
          </cell>
          <cell r="B5218">
            <v>678665</v>
          </cell>
          <cell r="C5218" t="str">
            <v>PLUG VALVE,WCB-PFA LINED,ASA-150:DN-50MM</v>
          </cell>
          <cell r="D5218" t="str">
            <v>L0030151                       EnggStore</v>
          </cell>
          <cell r="E5218">
            <v>0</v>
          </cell>
          <cell r="F5218" t="str">
            <v>ND No planning</v>
          </cell>
          <cell r="G5218" t="str">
            <v>ERSA Spare parts</v>
          </cell>
          <cell r="H5218" t="str">
            <v>EN023     Valves&amp;spares</v>
          </cell>
          <cell r="I5218" t="str">
            <v>L003 Ankleshwar</v>
          </cell>
          <cell r="J5218" t="str">
            <v>99 Input/Byprodt/Scrap</v>
          </cell>
          <cell r="K5218" t="str">
            <v>10.2012</v>
          </cell>
          <cell r="L5218">
            <v>3</v>
          </cell>
          <cell r="M5218" t="str">
            <v>EA</v>
          </cell>
          <cell r="N5218">
            <v>82815.97</v>
          </cell>
          <cell r="O5218" t="str">
            <v>INR</v>
          </cell>
        </row>
        <row r="5219">
          <cell r="A5219" t="str">
            <v>L003 Ankleshwar</v>
          </cell>
          <cell r="B5219">
            <v>679055</v>
          </cell>
          <cell r="C5219" t="str">
            <v>CLAMPING BUSH: UGRK-360 PT NO: 351</v>
          </cell>
          <cell r="D5219" t="str">
            <v>L0030151                       EnggStore</v>
          </cell>
          <cell r="E5219">
            <v>0</v>
          </cell>
          <cell r="F5219" t="str">
            <v>ND No planning</v>
          </cell>
          <cell r="G5219" t="str">
            <v>ERSA Spare parts</v>
          </cell>
          <cell r="H5219" t="str">
            <v>EN039     PlantEquipmentSpares</v>
          </cell>
          <cell r="I5219" t="str">
            <v>L003 Ankleshwar</v>
          </cell>
          <cell r="J5219" t="str">
            <v>99 Input/Byprodt/Scrap</v>
          </cell>
          <cell r="K5219" t="str">
            <v>10.2012</v>
          </cell>
          <cell r="L5219">
            <v>2</v>
          </cell>
          <cell r="M5219" t="str">
            <v>EA</v>
          </cell>
          <cell r="N5219">
            <v>6390</v>
          </cell>
          <cell r="O5219" t="str">
            <v>INR</v>
          </cell>
        </row>
        <row r="5220">
          <cell r="A5220" t="str">
            <v>L003 Ankleshwar</v>
          </cell>
          <cell r="B5220">
            <v>679337</v>
          </cell>
          <cell r="C5220" t="str">
            <v>PRESSURE TRANSMITTER-0 TO 6.0BAR ,24VDC</v>
          </cell>
          <cell r="D5220" t="str">
            <v>L0030151                       EnggStore</v>
          </cell>
          <cell r="E5220">
            <v>0</v>
          </cell>
          <cell r="F5220" t="str">
            <v>ND No planning</v>
          </cell>
          <cell r="G5220" t="str">
            <v>ERSA Spare parts</v>
          </cell>
          <cell r="H5220" t="str">
            <v>EN017     InstrumentSpares</v>
          </cell>
          <cell r="I5220" t="str">
            <v>L003 Ankleshwar</v>
          </cell>
          <cell r="J5220" t="str">
            <v>99 Input/Byprodt/Scrap</v>
          </cell>
          <cell r="K5220" t="str">
            <v>10.2012</v>
          </cell>
          <cell r="L5220">
            <v>1</v>
          </cell>
          <cell r="M5220" t="str">
            <v>EA</v>
          </cell>
          <cell r="N5220">
            <v>15361.5</v>
          </cell>
          <cell r="O5220" t="str">
            <v>INR</v>
          </cell>
        </row>
        <row r="5221">
          <cell r="A5221" t="str">
            <v>L003 Ankleshwar</v>
          </cell>
          <cell r="B5221">
            <v>679474</v>
          </cell>
          <cell r="C5221" t="str">
            <v>OIL SEPARATOR: 12037536</v>
          </cell>
          <cell r="D5221" t="str">
            <v>L0030151                       EnggStore</v>
          </cell>
          <cell r="E5221">
            <v>0</v>
          </cell>
          <cell r="F5221" t="str">
            <v>ND No planning</v>
          </cell>
          <cell r="G5221" t="str">
            <v>ERSA Spare parts</v>
          </cell>
          <cell r="H5221" t="str">
            <v>EN029     Powerplantitems</v>
          </cell>
          <cell r="I5221" t="str">
            <v>L003 Ankleshwar</v>
          </cell>
          <cell r="J5221" t="str">
            <v>99 Input/Byprodt/Scrap</v>
          </cell>
          <cell r="K5221" t="str">
            <v>10.2012</v>
          </cell>
          <cell r="L5221">
            <v>4</v>
          </cell>
          <cell r="M5221" t="str">
            <v>EA</v>
          </cell>
          <cell r="N5221">
            <v>35272.809999999903</v>
          </cell>
          <cell r="O5221" t="str">
            <v>INR</v>
          </cell>
        </row>
        <row r="5222">
          <cell r="A5222" t="str">
            <v>L003 Ankleshwar</v>
          </cell>
          <cell r="B5222">
            <v>679475</v>
          </cell>
          <cell r="C5222" t="str">
            <v>O-SEAL: 1177725 -FOR  OIL SEPARATOR</v>
          </cell>
          <cell r="D5222" t="str">
            <v>L0030151                       EnggStore</v>
          </cell>
          <cell r="E5222">
            <v>0</v>
          </cell>
          <cell r="F5222" t="str">
            <v>ND No planning</v>
          </cell>
          <cell r="G5222" t="str">
            <v>ERSA Spare parts</v>
          </cell>
          <cell r="H5222" t="str">
            <v>EN029     Powerplantitems</v>
          </cell>
          <cell r="I5222" t="str">
            <v>L003 Ankleshwar</v>
          </cell>
          <cell r="J5222" t="str">
            <v>99 Input/Byprodt/Scrap</v>
          </cell>
          <cell r="K5222" t="str">
            <v>10.2012</v>
          </cell>
          <cell r="L5222">
            <v>4</v>
          </cell>
          <cell r="M5222" t="str">
            <v>EA</v>
          </cell>
          <cell r="N5222">
            <v>3404.3699999999899</v>
          </cell>
          <cell r="O5222" t="str">
            <v>INR</v>
          </cell>
        </row>
        <row r="5223">
          <cell r="A5223" t="str">
            <v>L003 Ankleshwar</v>
          </cell>
          <cell r="B5223">
            <v>679477</v>
          </cell>
          <cell r="C5223" t="str">
            <v>GASKET: 1157791 -FOR MIXURE PIPE</v>
          </cell>
          <cell r="D5223" t="str">
            <v>L0030151                       EnggStore</v>
          </cell>
          <cell r="E5223">
            <v>0</v>
          </cell>
          <cell r="F5223" t="str">
            <v>ND No planning</v>
          </cell>
          <cell r="G5223" t="str">
            <v>ERSA Spare parts</v>
          </cell>
          <cell r="H5223" t="str">
            <v>EN029     Powerplantitems</v>
          </cell>
          <cell r="I5223" t="str">
            <v>L003 Ankleshwar</v>
          </cell>
          <cell r="J5223" t="str">
            <v>99 Input/Byprodt/Scrap</v>
          </cell>
          <cell r="K5223" t="str">
            <v>10.2012</v>
          </cell>
          <cell r="L5223">
            <v>1</v>
          </cell>
          <cell r="M5223" t="str">
            <v>EA</v>
          </cell>
          <cell r="N5223">
            <v>789.57</v>
          </cell>
          <cell r="O5223" t="str">
            <v>INR</v>
          </cell>
        </row>
        <row r="5224">
          <cell r="A5224" t="str">
            <v>L003 Ankleshwar</v>
          </cell>
          <cell r="B5224">
            <v>679606</v>
          </cell>
          <cell r="C5224" t="str">
            <v>LOCK NUT : UGRK - 360 : PT. NO. 352</v>
          </cell>
          <cell r="D5224" t="str">
            <v>L0030151                       EnggStore</v>
          </cell>
          <cell r="E5224">
            <v>0</v>
          </cell>
          <cell r="F5224" t="str">
            <v>ND No planning</v>
          </cell>
          <cell r="G5224" t="str">
            <v>ERSA Spare parts</v>
          </cell>
          <cell r="H5224" t="str">
            <v>EN039     PlantEquipmentSpares</v>
          </cell>
          <cell r="I5224" t="str">
            <v>L003 Ankleshwar</v>
          </cell>
          <cell r="J5224" t="str">
            <v>99 Input/Byprodt/Scrap</v>
          </cell>
          <cell r="K5224" t="str">
            <v>10.2012</v>
          </cell>
          <cell r="L5224">
            <v>2</v>
          </cell>
          <cell r="M5224" t="str">
            <v>EA</v>
          </cell>
          <cell r="N5224">
            <v>684</v>
          </cell>
          <cell r="O5224" t="str">
            <v>INR</v>
          </cell>
        </row>
        <row r="5225">
          <cell r="A5225" t="str">
            <v>L003 Ankleshwar</v>
          </cell>
          <cell r="B5225">
            <v>679702</v>
          </cell>
          <cell r="C5225" t="str">
            <v>CR OIL SEAL : 16 X 30 X 7</v>
          </cell>
          <cell r="D5225" t="str">
            <v>L0030151                       EnggStore</v>
          </cell>
          <cell r="E5225">
            <v>0</v>
          </cell>
          <cell r="F5225" t="str">
            <v>ND No planning</v>
          </cell>
          <cell r="G5225" t="str">
            <v>ERSA Spare parts</v>
          </cell>
          <cell r="H5225" t="str">
            <v>EN020     RubberItems&amp;Oil Seal</v>
          </cell>
          <cell r="I5225" t="str">
            <v>L003 Ankleshwar</v>
          </cell>
          <cell r="J5225" t="str">
            <v>99 Input/Byprodt/Scrap</v>
          </cell>
          <cell r="K5225" t="str">
            <v>10.2012</v>
          </cell>
          <cell r="L5225">
            <v>1</v>
          </cell>
          <cell r="M5225" t="str">
            <v>EA</v>
          </cell>
          <cell r="N5225">
            <v>52.2</v>
          </cell>
          <cell r="O5225" t="str">
            <v>INR</v>
          </cell>
        </row>
        <row r="5226">
          <cell r="A5226" t="str">
            <v>L003 Ankleshwar</v>
          </cell>
          <cell r="B5226">
            <v>679784</v>
          </cell>
          <cell r="C5226" t="str">
            <v>OIL SEAL : 100 X 65 X 13</v>
          </cell>
          <cell r="D5226" t="str">
            <v>L0030151                       EnggStore</v>
          </cell>
          <cell r="E5226">
            <v>0</v>
          </cell>
          <cell r="F5226" t="str">
            <v>ND No planning</v>
          </cell>
          <cell r="G5226" t="str">
            <v>ERSA Spare parts</v>
          </cell>
          <cell r="H5226" t="str">
            <v>EN020     RubberItems&amp;Oil Seal</v>
          </cell>
          <cell r="I5226" t="str">
            <v>L003 Ankleshwar</v>
          </cell>
          <cell r="J5226" t="str">
            <v>99 Input/Byprodt/Scrap</v>
          </cell>
          <cell r="K5226" t="str">
            <v>10.2012</v>
          </cell>
          <cell r="L5226">
            <v>1</v>
          </cell>
          <cell r="M5226" t="str">
            <v>EA</v>
          </cell>
          <cell r="N5226">
            <v>35.200000000000003</v>
          </cell>
          <cell r="O5226" t="str">
            <v>INR</v>
          </cell>
        </row>
        <row r="5227">
          <cell r="A5227" t="str">
            <v>L003 Ankleshwar</v>
          </cell>
          <cell r="B5227">
            <v>679815</v>
          </cell>
          <cell r="C5227" t="str">
            <v>CI IMPELLLER FOR PUMP MODEL:100PH1</v>
          </cell>
          <cell r="D5227" t="str">
            <v>L0030151                       EnggStore</v>
          </cell>
          <cell r="E5227">
            <v>0</v>
          </cell>
          <cell r="F5227" t="str">
            <v>ND No planning</v>
          </cell>
          <cell r="G5227" t="str">
            <v>ERSA Spare parts</v>
          </cell>
          <cell r="H5227" t="str">
            <v>EN032     Pumpspares</v>
          </cell>
          <cell r="I5227" t="str">
            <v>L003 Ankleshwar</v>
          </cell>
          <cell r="J5227" t="str">
            <v>99 Input/Byprodt/Scrap</v>
          </cell>
          <cell r="K5227" t="str">
            <v>10.2012</v>
          </cell>
          <cell r="L5227">
            <v>1</v>
          </cell>
          <cell r="M5227" t="str">
            <v>EA</v>
          </cell>
          <cell r="N5227">
            <v>22435.2599999999</v>
          </cell>
          <cell r="O5227" t="str">
            <v>INR</v>
          </cell>
        </row>
        <row r="5228">
          <cell r="A5228" t="str">
            <v>L003 Ankleshwar</v>
          </cell>
          <cell r="B5228">
            <v>679844</v>
          </cell>
          <cell r="C5228" t="str">
            <v>FLANGE TONGUE IN GROOVE  SIZE  25 NB</v>
          </cell>
          <cell r="D5228" t="str">
            <v>L0030151                       EnggStore</v>
          </cell>
          <cell r="E5228">
            <v>0</v>
          </cell>
          <cell r="F5228" t="str">
            <v>ND No planning</v>
          </cell>
          <cell r="G5228" t="str">
            <v>ERSA Spare parts</v>
          </cell>
          <cell r="H5228" t="str">
            <v>EN018     UtilityEquipmentSpar</v>
          </cell>
          <cell r="I5228" t="str">
            <v>L003 Ankleshwar</v>
          </cell>
          <cell r="J5228" t="str">
            <v>99 Input/Byprodt/Scrap</v>
          </cell>
          <cell r="K5228" t="str">
            <v>10.2012</v>
          </cell>
          <cell r="L5228">
            <v>1</v>
          </cell>
          <cell r="M5228" t="str">
            <v>SET</v>
          </cell>
          <cell r="N5228">
            <v>500.05</v>
          </cell>
          <cell r="O5228" t="str">
            <v>INR</v>
          </cell>
        </row>
        <row r="5229">
          <cell r="A5229" t="str">
            <v>L003 Ankleshwar</v>
          </cell>
          <cell r="B5229">
            <v>679845</v>
          </cell>
          <cell r="C5229" t="str">
            <v>NH3 GLOVE VALVE TONGUE IN GROOVE FLANGE</v>
          </cell>
          <cell r="D5229" t="str">
            <v>L0030151                       EnggStore</v>
          </cell>
          <cell r="E5229">
            <v>0</v>
          </cell>
          <cell r="F5229" t="str">
            <v>ND No planning</v>
          </cell>
          <cell r="G5229" t="str">
            <v>ERSA Spare parts</v>
          </cell>
          <cell r="H5229" t="str">
            <v>EN018     UtilityEquipmentSpar</v>
          </cell>
          <cell r="I5229" t="str">
            <v>L003 Ankleshwar</v>
          </cell>
          <cell r="J5229" t="str">
            <v>99 Input/Byprodt/Scrap</v>
          </cell>
          <cell r="K5229" t="str">
            <v>10.2012</v>
          </cell>
          <cell r="L5229">
            <v>1</v>
          </cell>
          <cell r="M5229" t="str">
            <v>NO</v>
          </cell>
          <cell r="N5229">
            <v>2033.63</v>
          </cell>
          <cell r="O5229" t="str">
            <v>INR</v>
          </cell>
        </row>
        <row r="5230">
          <cell r="A5230" t="str">
            <v>L003 Ankleshwar</v>
          </cell>
          <cell r="B5230">
            <v>679846</v>
          </cell>
          <cell r="C5230" t="str">
            <v>PIPE  NIPPLE SA106 GR B SEAMLESS SIZE 15</v>
          </cell>
          <cell r="D5230" t="str">
            <v>L0030151                       EnggStore</v>
          </cell>
          <cell r="E5230">
            <v>0</v>
          </cell>
          <cell r="F5230" t="str">
            <v>ND No planning</v>
          </cell>
          <cell r="G5230" t="str">
            <v>ERSA Spare parts</v>
          </cell>
          <cell r="H5230" t="str">
            <v>EN018     UtilityEquipmentSpar</v>
          </cell>
          <cell r="I5230" t="str">
            <v>L003 Ankleshwar</v>
          </cell>
          <cell r="J5230" t="str">
            <v>99 Input/Byprodt/Scrap</v>
          </cell>
          <cell r="K5230" t="str">
            <v>10.2012</v>
          </cell>
          <cell r="L5230">
            <v>15</v>
          </cell>
          <cell r="M5230" t="str">
            <v>NO</v>
          </cell>
          <cell r="N5230">
            <v>698.25</v>
          </cell>
          <cell r="O5230" t="str">
            <v>INR</v>
          </cell>
        </row>
        <row r="5231">
          <cell r="A5231" t="str">
            <v>L003 Ankleshwar</v>
          </cell>
          <cell r="B5231">
            <v>679961</v>
          </cell>
          <cell r="C5231" t="str">
            <v>1/4" X 1/4" BRASS MALE CONNECTOR</v>
          </cell>
          <cell r="D5231" t="str">
            <v>L0030151                       EnggStore</v>
          </cell>
          <cell r="E5231" t="str">
            <v>E37 E37</v>
          </cell>
          <cell r="F5231" t="str">
            <v>VB Manual reorder point planning</v>
          </cell>
          <cell r="G5231" t="str">
            <v>ERSA Spare parts</v>
          </cell>
          <cell r="H5231" t="str">
            <v>EN017     InstrumentSpares</v>
          </cell>
          <cell r="I5231" t="str">
            <v>L003 Ankleshwar</v>
          </cell>
          <cell r="J5231" t="str">
            <v>99 Input/Byprodt/Scrap</v>
          </cell>
          <cell r="K5231" t="str">
            <v>10.2012</v>
          </cell>
          <cell r="L5231">
            <v>24</v>
          </cell>
          <cell r="M5231" t="str">
            <v>EA</v>
          </cell>
          <cell r="N5231">
            <v>562.62</v>
          </cell>
          <cell r="O5231" t="str">
            <v>INR</v>
          </cell>
        </row>
        <row r="5232">
          <cell r="A5232" t="str">
            <v>L003 Ankleshwar</v>
          </cell>
          <cell r="B5232">
            <v>680153</v>
          </cell>
          <cell r="C5232" t="str">
            <v>SS-316 BLADES FOR MULTIMILL</v>
          </cell>
          <cell r="D5232" t="str">
            <v>L0030151                       EnggStore</v>
          </cell>
          <cell r="E5232">
            <v>0</v>
          </cell>
          <cell r="F5232" t="str">
            <v>ND No planning</v>
          </cell>
          <cell r="G5232" t="str">
            <v>ERSA Spare parts</v>
          </cell>
          <cell r="H5232" t="str">
            <v>EN039     PlantEquipmentSpares</v>
          </cell>
          <cell r="I5232" t="str">
            <v>L003 Ankleshwar</v>
          </cell>
          <cell r="J5232" t="str">
            <v>99 Input/Byprodt/Scrap</v>
          </cell>
          <cell r="K5232" t="str">
            <v>10.2012</v>
          </cell>
          <cell r="L5232">
            <v>1</v>
          </cell>
          <cell r="M5232" t="str">
            <v>SET</v>
          </cell>
          <cell r="N5232">
            <v>10200</v>
          </cell>
          <cell r="O5232" t="str">
            <v>INR</v>
          </cell>
        </row>
        <row r="5233">
          <cell r="A5233" t="str">
            <v>L003 Ankleshwar</v>
          </cell>
          <cell r="B5233">
            <v>680181</v>
          </cell>
          <cell r="C5233" t="str">
            <v>BEARING COVER FOR KSB 50-160 PUMP</v>
          </cell>
          <cell r="D5233" t="str">
            <v>L0030151                       EnggStore</v>
          </cell>
          <cell r="E5233" t="str">
            <v>E34 E34</v>
          </cell>
          <cell r="F5233" t="str">
            <v>VB Manual reorder point planning</v>
          </cell>
          <cell r="G5233" t="str">
            <v>ERSA Spare parts</v>
          </cell>
          <cell r="H5233" t="str">
            <v>EN032     Pumpspares</v>
          </cell>
          <cell r="I5233" t="str">
            <v>L003 Ankleshwar</v>
          </cell>
          <cell r="J5233" t="str">
            <v>99 Input/Byprodt/Scrap</v>
          </cell>
          <cell r="K5233" t="str">
            <v>10.2012</v>
          </cell>
          <cell r="L5233">
            <v>5</v>
          </cell>
          <cell r="M5233" t="str">
            <v>EA</v>
          </cell>
          <cell r="N5233">
            <v>2062.5</v>
          </cell>
          <cell r="O5233" t="str">
            <v>INR</v>
          </cell>
        </row>
        <row r="5234">
          <cell r="A5234" t="str">
            <v>L003 Ankleshwar</v>
          </cell>
          <cell r="B5234">
            <v>680214</v>
          </cell>
          <cell r="C5234" t="str">
            <v>TEE 1"X1/2" AS PER SA106 GR-B</v>
          </cell>
          <cell r="D5234" t="str">
            <v>L0030151                       EnggStore</v>
          </cell>
          <cell r="E5234">
            <v>0</v>
          </cell>
          <cell r="F5234" t="str">
            <v>ND No planning</v>
          </cell>
          <cell r="G5234" t="str">
            <v>ERSA Spare parts</v>
          </cell>
          <cell r="H5234" t="str">
            <v>EN032     Pumpspares</v>
          </cell>
          <cell r="I5234" t="str">
            <v>L003 Ankleshwar</v>
          </cell>
          <cell r="J5234" t="str">
            <v>99 Input/Byprodt/Scrap</v>
          </cell>
          <cell r="K5234" t="str">
            <v>10.2012</v>
          </cell>
          <cell r="L5234">
            <v>10</v>
          </cell>
          <cell r="M5234" t="str">
            <v>EA</v>
          </cell>
          <cell r="N5234">
            <v>720</v>
          </cell>
          <cell r="O5234" t="str">
            <v>INR</v>
          </cell>
        </row>
        <row r="5235">
          <cell r="A5235" t="str">
            <v>L003 Ankleshwar</v>
          </cell>
          <cell r="B5235">
            <v>680215</v>
          </cell>
          <cell r="C5235" t="str">
            <v>CS REDUCER 1X1/2 AS PER SA106 GR-B</v>
          </cell>
          <cell r="D5235" t="str">
            <v>L0030151                       EnggStore</v>
          </cell>
          <cell r="E5235">
            <v>0</v>
          </cell>
          <cell r="F5235" t="str">
            <v>ND No planning</v>
          </cell>
          <cell r="G5235" t="str">
            <v>ERSA Spare parts</v>
          </cell>
          <cell r="H5235" t="str">
            <v>EN032     Pumpspares</v>
          </cell>
          <cell r="I5235" t="str">
            <v>L003 Ankleshwar</v>
          </cell>
          <cell r="J5235" t="str">
            <v>99 Input/Byprodt/Scrap</v>
          </cell>
          <cell r="K5235" t="str">
            <v>10.2012</v>
          </cell>
          <cell r="L5235">
            <v>3</v>
          </cell>
          <cell r="M5235" t="str">
            <v>EA</v>
          </cell>
          <cell r="N5235">
            <v>97.92</v>
          </cell>
          <cell r="O5235" t="str">
            <v>INR</v>
          </cell>
        </row>
        <row r="5236">
          <cell r="A5236" t="str">
            <v>L003 Ankleshwar</v>
          </cell>
          <cell r="B5236">
            <v>680234</v>
          </cell>
          <cell r="C5236" t="str">
            <v>CONTAINER SEAL GASKET(TOP)  60 KG FBD</v>
          </cell>
          <cell r="D5236" t="str">
            <v>L0030151                       EnggStore</v>
          </cell>
          <cell r="E5236" t="str">
            <v>E34 E34</v>
          </cell>
          <cell r="F5236" t="str">
            <v>VB Manual reorder point planning</v>
          </cell>
          <cell r="G5236" t="str">
            <v>ERSA Spare parts</v>
          </cell>
          <cell r="H5236" t="str">
            <v>EN039     PlantEquipmentSpares</v>
          </cell>
          <cell r="I5236" t="str">
            <v>L003 Ankleshwar</v>
          </cell>
          <cell r="J5236" t="str">
            <v>99 Input/Byprodt/Scrap</v>
          </cell>
          <cell r="K5236" t="str">
            <v>10.2012</v>
          </cell>
          <cell r="L5236">
            <v>1</v>
          </cell>
          <cell r="M5236" t="str">
            <v>NO</v>
          </cell>
          <cell r="N5236">
            <v>6799.4399999999896</v>
          </cell>
          <cell r="O5236" t="str">
            <v>INR</v>
          </cell>
        </row>
        <row r="5237">
          <cell r="A5237" t="str">
            <v>L003 Ankleshwar</v>
          </cell>
          <cell r="B5237">
            <v>680235</v>
          </cell>
          <cell r="C5237" t="str">
            <v>CONTAINER SEAL GASKET(BOTTAM) 60 KG FBD</v>
          </cell>
          <cell r="D5237" t="str">
            <v>L0030151                       EnggStore</v>
          </cell>
          <cell r="E5237" t="str">
            <v>E34 E34</v>
          </cell>
          <cell r="F5237" t="str">
            <v>VB Manual reorder point planning</v>
          </cell>
          <cell r="G5237" t="str">
            <v>ERSA Spare parts</v>
          </cell>
          <cell r="H5237" t="str">
            <v>EN039     PlantEquipmentSpares</v>
          </cell>
          <cell r="I5237" t="str">
            <v>L003 Ankleshwar</v>
          </cell>
          <cell r="J5237" t="str">
            <v>99 Input/Byprodt/Scrap</v>
          </cell>
          <cell r="K5237" t="str">
            <v>10.2012</v>
          </cell>
          <cell r="L5237">
            <v>1</v>
          </cell>
          <cell r="M5237" t="str">
            <v>NO</v>
          </cell>
          <cell r="N5237">
            <v>4856.7399999999898</v>
          </cell>
          <cell r="O5237" t="str">
            <v>INR</v>
          </cell>
        </row>
        <row r="5238">
          <cell r="A5238" t="str">
            <v>L003 Ankleshwar</v>
          </cell>
          <cell r="B5238">
            <v>680236</v>
          </cell>
          <cell r="C5238" t="str">
            <v>FILTER BAG LOCK GASKET 60 KG FBD</v>
          </cell>
          <cell r="D5238" t="str">
            <v>L0030151                       EnggStore</v>
          </cell>
          <cell r="E5238" t="str">
            <v>E34 E34</v>
          </cell>
          <cell r="F5238" t="str">
            <v>VB Manual reorder point planning</v>
          </cell>
          <cell r="G5238" t="str">
            <v>ERSA Spare parts</v>
          </cell>
          <cell r="H5238" t="str">
            <v>EN039     PlantEquipmentSpares</v>
          </cell>
          <cell r="I5238" t="str">
            <v>L003 Ankleshwar</v>
          </cell>
          <cell r="J5238" t="str">
            <v>99 Input/Byprodt/Scrap</v>
          </cell>
          <cell r="K5238" t="str">
            <v>10.2012</v>
          </cell>
          <cell r="L5238">
            <v>1</v>
          </cell>
          <cell r="M5238" t="str">
            <v>NO</v>
          </cell>
          <cell r="N5238">
            <v>18765.02</v>
          </cell>
          <cell r="O5238" t="str">
            <v>INR</v>
          </cell>
        </row>
        <row r="5239">
          <cell r="A5239" t="str">
            <v>L003 Ankleshwar</v>
          </cell>
          <cell r="B5239">
            <v>680254</v>
          </cell>
          <cell r="C5239" t="str">
            <v>SINGLE ACTING ACTUATOR</v>
          </cell>
          <cell r="D5239" t="str">
            <v>L0030151                       EnggStore</v>
          </cell>
          <cell r="E5239">
            <v>0</v>
          </cell>
          <cell r="F5239" t="str">
            <v>ND No planning</v>
          </cell>
          <cell r="G5239" t="str">
            <v>ERSA Spare parts</v>
          </cell>
          <cell r="H5239" t="str">
            <v>EN017     InstrumentSpares</v>
          </cell>
          <cell r="I5239" t="str">
            <v>L003 Ankleshwar</v>
          </cell>
          <cell r="J5239" t="str">
            <v>99 Input/Byprodt/Scrap</v>
          </cell>
          <cell r="K5239" t="str">
            <v>10.2012</v>
          </cell>
          <cell r="L5239">
            <v>1</v>
          </cell>
          <cell r="M5239" t="str">
            <v>EA</v>
          </cell>
          <cell r="N5239">
            <v>7874.75</v>
          </cell>
          <cell r="O5239" t="str">
            <v>INR</v>
          </cell>
        </row>
        <row r="5240">
          <cell r="A5240" t="str">
            <v>L003 Ankleshwar</v>
          </cell>
          <cell r="B5240">
            <v>680302</v>
          </cell>
          <cell r="C5240" t="str">
            <v>PURE PTFE GASKET ID 450XOD 505X5MMTHK</v>
          </cell>
          <cell r="D5240" t="str">
            <v>L0030151                       EnggStore</v>
          </cell>
          <cell r="E5240">
            <v>0</v>
          </cell>
          <cell r="F5240" t="str">
            <v>ND No planning</v>
          </cell>
          <cell r="G5240" t="str">
            <v>ERSA Spare parts</v>
          </cell>
          <cell r="H5240" t="str">
            <v>EN024     EnggConsumables</v>
          </cell>
          <cell r="I5240" t="str">
            <v>L003 Ankleshwar</v>
          </cell>
          <cell r="J5240" t="str">
            <v>99 Input/Byprodt/Scrap</v>
          </cell>
          <cell r="K5240" t="str">
            <v>10.2012</v>
          </cell>
          <cell r="L5240">
            <v>1</v>
          </cell>
          <cell r="M5240" t="str">
            <v>EA</v>
          </cell>
          <cell r="N5240">
            <v>563</v>
          </cell>
          <cell r="O5240" t="str">
            <v>INR</v>
          </cell>
        </row>
        <row r="5241">
          <cell r="A5241" t="str">
            <v>L003 Ankleshwar</v>
          </cell>
          <cell r="B5241">
            <v>680331</v>
          </cell>
          <cell r="C5241" t="str">
            <v>SPLITA/C ID FAN MOTOR 25W,MDL KSFD-25T1</v>
          </cell>
          <cell r="D5241" t="str">
            <v>L0030151                       EnggStore</v>
          </cell>
          <cell r="E5241">
            <v>0</v>
          </cell>
          <cell r="F5241" t="str">
            <v>ND No planning</v>
          </cell>
          <cell r="G5241" t="str">
            <v>ERSA Spare parts</v>
          </cell>
          <cell r="H5241" t="str">
            <v>EN037     Refrigeration&amp;A/Cspa</v>
          </cell>
          <cell r="I5241" t="str">
            <v>L003 Ankleshwar</v>
          </cell>
          <cell r="J5241" t="str">
            <v>99 Input/Byprodt/Scrap</v>
          </cell>
          <cell r="K5241" t="str">
            <v>10.2012</v>
          </cell>
          <cell r="L5241">
            <v>1</v>
          </cell>
          <cell r="M5241" t="str">
            <v>EA</v>
          </cell>
          <cell r="N5241">
            <v>2200</v>
          </cell>
          <cell r="O5241" t="str">
            <v>INR</v>
          </cell>
        </row>
        <row r="5242">
          <cell r="A5242" t="str">
            <v>L003 Ankleshwar</v>
          </cell>
          <cell r="B5242">
            <v>680361</v>
          </cell>
          <cell r="C5242" t="str">
            <v>SPARE KIT FOR SVRA MANIK VALVE</v>
          </cell>
          <cell r="D5242" t="str">
            <v>L0030151                       EnggStore</v>
          </cell>
          <cell r="E5242">
            <v>0</v>
          </cell>
          <cell r="F5242" t="str">
            <v>ND No planning</v>
          </cell>
          <cell r="G5242" t="str">
            <v>ERSA Spare parts</v>
          </cell>
          <cell r="H5242" t="str">
            <v>EN017     InstrumentSpares</v>
          </cell>
          <cell r="I5242" t="str">
            <v>L003 Ankleshwar</v>
          </cell>
          <cell r="J5242" t="str">
            <v>99 Input/Byprodt/Scrap</v>
          </cell>
          <cell r="K5242" t="str">
            <v>10.2012</v>
          </cell>
          <cell r="L5242">
            <v>1</v>
          </cell>
          <cell r="M5242" t="str">
            <v>EA</v>
          </cell>
          <cell r="N5242">
            <v>3107.04</v>
          </cell>
          <cell r="O5242" t="str">
            <v>INR</v>
          </cell>
        </row>
        <row r="5243">
          <cell r="A5243" t="str">
            <v>L003 Ankleshwar</v>
          </cell>
          <cell r="B5243">
            <v>680365</v>
          </cell>
          <cell r="C5243" t="str">
            <v>BUTTERFLY VALVE WITH ACTUATOR: SIZE 3"</v>
          </cell>
          <cell r="D5243" t="str">
            <v>L0030151                       EnggStore</v>
          </cell>
          <cell r="E5243">
            <v>0</v>
          </cell>
          <cell r="F5243" t="str">
            <v>ND No planning</v>
          </cell>
          <cell r="G5243" t="str">
            <v>ERSA Spare parts</v>
          </cell>
          <cell r="H5243" t="str">
            <v>EN017     InstrumentSpares</v>
          </cell>
          <cell r="I5243" t="str">
            <v>L003 Ankleshwar</v>
          </cell>
          <cell r="J5243" t="str">
            <v>99 Input/Byprodt/Scrap</v>
          </cell>
          <cell r="K5243" t="str">
            <v>10.2012</v>
          </cell>
          <cell r="L5243">
            <v>3</v>
          </cell>
          <cell r="M5243" t="str">
            <v>EA</v>
          </cell>
          <cell r="N5243">
            <v>33489.620000000003</v>
          </cell>
          <cell r="O5243" t="str">
            <v>INR</v>
          </cell>
        </row>
        <row r="5244">
          <cell r="A5244" t="str">
            <v>L003 Ankleshwar</v>
          </cell>
          <cell r="B5244">
            <v>680374</v>
          </cell>
          <cell r="C5244" t="str">
            <v>CON.REDUCER-MS/HDPEL-F/T-ASA150: 80X25MM</v>
          </cell>
          <cell r="D5244" t="str">
            <v>L0030151                       EnggStore</v>
          </cell>
          <cell r="E5244">
            <v>0</v>
          </cell>
          <cell r="F5244" t="str">
            <v>ND No planning</v>
          </cell>
          <cell r="G5244" t="str">
            <v>ERSA Spare parts</v>
          </cell>
          <cell r="H5244" t="str">
            <v>EN028     Pipes&amp;pipefittings</v>
          </cell>
          <cell r="I5244" t="str">
            <v>L003 Ankleshwar</v>
          </cell>
          <cell r="J5244" t="str">
            <v>99 Input/Byprodt/Scrap</v>
          </cell>
          <cell r="K5244" t="str">
            <v>10.2012</v>
          </cell>
          <cell r="L5244">
            <v>1</v>
          </cell>
          <cell r="M5244" t="str">
            <v>EA</v>
          </cell>
          <cell r="N5244">
            <v>942.48</v>
          </cell>
          <cell r="O5244" t="str">
            <v>INR</v>
          </cell>
        </row>
        <row r="5245">
          <cell r="A5245" t="str">
            <v>L003 Ankleshwar</v>
          </cell>
          <cell r="B5245">
            <v>680407</v>
          </cell>
          <cell r="C5245" t="str">
            <v>NIDDLE ROLLER BEARING TAF 182620 OG</v>
          </cell>
          <cell r="D5245" t="str">
            <v>L0030151                       EnggStore</v>
          </cell>
          <cell r="E5245">
            <v>0</v>
          </cell>
          <cell r="F5245" t="str">
            <v>ND No planning</v>
          </cell>
          <cell r="G5245" t="str">
            <v>ERSA Spare parts</v>
          </cell>
          <cell r="H5245" t="str">
            <v>EN018     UtilityEquipmentSpar</v>
          </cell>
          <cell r="I5245" t="str">
            <v>L003 Ankleshwar</v>
          </cell>
          <cell r="J5245" t="str">
            <v>99 Input/Byprodt/Scrap</v>
          </cell>
          <cell r="K5245" t="str">
            <v>10.2012</v>
          </cell>
          <cell r="L5245">
            <v>2</v>
          </cell>
          <cell r="M5245" t="str">
            <v>EA</v>
          </cell>
          <cell r="N5245">
            <v>500</v>
          </cell>
          <cell r="O5245" t="str">
            <v>INR</v>
          </cell>
        </row>
        <row r="5246">
          <cell r="A5246" t="str">
            <v>L003 Ankleshwar</v>
          </cell>
          <cell r="B5246">
            <v>680452</v>
          </cell>
          <cell r="C5246" t="str">
            <v>TEFLON ENVELOP RING GASKET - SIZE : 10"</v>
          </cell>
          <cell r="D5246" t="str">
            <v>L0030151                       EnggStore</v>
          </cell>
          <cell r="E5246">
            <v>0</v>
          </cell>
          <cell r="F5246" t="str">
            <v>ND No planning</v>
          </cell>
          <cell r="G5246" t="str">
            <v>ERSA Spare parts</v>
          </cell>
          <cell r="H5246" t="str">
            <v>EN024     EnggConsumables</v>
          </cell>
          <cell r="I5246" t="str">
            <v>L003 Ankleshwar</v>
          </cell>
          <cell r="J5246" t="str">
            <v>99 Input/Byprodt/Scrap</v>
          </cell>
          <cell r="K5246" t="str">
            <v>10.2012</v>
          </cell>
          <cell r="L5246">
            <v>2</v>
          </cell>
          <cell r="M5246" t="str">
            <v>EA</v>
          </cell>
          <cell r="N5246">
            <v>173</v>
          </cell>
          <cell r="O5246" t="str">
            <v>INR</v>
          </cell>
        </row>
        <row r="5247">
          <cell r="A5247" t="str">
            <v>L003 Ankleshwar</v>
          </cell>
          <cell r="B5247">
            <v>680557</v>
          </cell>
          <cell r="C5247" t="str">
            <v>V-BELT : C-104</v>
          </cell>
          <cell r="D5247" t="str">
            <v>L0030151                       EnggStore</v>
          </cell>
          <cell r="E5247" t="str">
            <v>E35 E35</v>
          </cell>
          <cell r="F5247" t="str">
            <v>VB Manual reorder point planning</v>
          </cell>
          <cell r="G5247" t="str">
            <v>ERSA Spare parts</v>
          </cell>
          <cell r="H5247" t="str">
            <v>EN021     VbeltCoupling&amp;Pulley</v>
          </cell>
          <cell r="I5247" t="str">
            <v>L003 Ankleshwar</v>
          </cell>
          <cell r="J5247" t="str">
            <v>99 Input/Byprodt/Scrap</v>
          </cell>
          <cell r="K5247" t="str">
            <v>10.2012</v>
          </cell>
          <cell r="L5247">
            <v>6</v>
          </cell>
          <cell r="M5247" t="str">
            <v>EA</v>
          </cell>
          <cell r="N5247">
            <v>2942</v>
          </cell>
          <cell r="O5247" t="str">
            <v>INR</v>
          </cell>
        </row>
        <row r="5248">
          <cell r="A5248" t="str">
            <v>L003 Ankleshwar</v>
          </cell>
          <cell r="B5248">
            <v>680599</v>
          </cell>
          <cell r="C5248" t="str">
            <v>PROBE FOR RTD TEST KIT</v>
          </cell>
          <cell r="D5248" t="str">
            <v>L0030151                       EnggStore</v>
          </cell>
          <cell r="E5248" t="str">
            <v>E37 E37</v>
          </cell>
          <cell r="F5248" t="str">
            <v>VB Manual reorder point planning</v>
          </cell>
          <cell r="G5248" t="str">
            <v>ERSA Spare parts</v>
          </cell>
          <cell r="H5248" t="str">
            <v>EN017     InstrumentSpares</v>
          </cell>
          <cell r="I5248" t="str">
            <v>L003 Ankleshwar</v>
          </cell>
          <cell r="J5248" t="str">
            <v>99 Input/Byprodt/Scrap</v>
          </cell>
          <cell r="K5248" t="str">
            <v>10.2012</v>
          </cell>
          <cell r="L5248">
            <v>1</v>
          </cell>
          <cell r="M5248" t="str">
            <v>EA</v>
          </cell>
          <cell r="N5248">
            <v>196.87</v>
          </cell>
          <cell r="O5248" t="str">
            <v>INR</v>
          </cell>
        </row>
        <row r="5249">
          <cell r="A5249" t="str">
            <v>L003 Ankleshwar</v>
          </cell>
          <cell r="B5249">
            <v>680607</v>
          </cell>
          <cell r="C5249" t="str">
            <v>FAN MOTOR 1/35 HP,1280 RPM, MODLE-B-296</v>
          </cell>
          <cell r="D5249" t="str">
            <v>L0030151                       EnggStore</v>
          </cell>
          <cell r="E5249">
            <v>0</v>
          </cell>
          <cell r="F5249" t="str">
            <v>ND No planning</v>
          </cell>
          <cell r="G5249" t="str">
            <v>ERSA Spare parts</v>
          </cell>
          <cell r="H5249" t="str">
            <v>EN037     Refrigeration&amp;A/Cspa</v>
          </cell>
          <cell r="I5249" t="str">
            <v>L003 Ankleshwar</v>
          </cell>
          <cell r="J5249" t="str">
            <v>99 Input/Byprodt/Scrap</v>
          </cell>
          <cell r="K5249" t="str">
            <v>10.2012</v>
          </cell>
          <cell r="L5249">
            <v>1</v>
          </cell>
          <cell r="M5249" t="str">
            <v>EA</v>
          </cell>
          <cell r="N5249">
            <v>550</v>
          </cell>
          <cell r="O5249" t="str">
            <v>INR</v>
          </cell>
        </row>
        <row r="5250">
          <cell r="A5250" t="str">
            <v>L003 Ankleshwar</v>
          </cell>
          <cell r="B5250">
            <v>680752</v>
          </cell>
          <cell r="C5250" t="str">
            <v>PU TUBE 6 MM</v>
          </cell>
          <cell r="D5250" t="str">
            <v>L0030151                       EnggStore</v>
          </cell>
          <cell r="E5250">
            <v>0</v>
          </cell>
          <cell r="F5250" t="str">
            <v>ND No planning</v>
          </cell>
          <cell r="G5250" t="str">
            <v>ERSA Spare parts</v>
          </cell>
          <cell r="H5250" t="str">
            <v>EN017     InstrumentSpares</v>
          </cell>
          <cell r="I5250" t="str">
            <v>L003 Ankleshwar</v>
          </cell>
          <cell r="J5250" t="str">
            <v>99 Input/Byprodt/Scrap</v>
          </cell>
          <cell r="K5250" t="str">
            <v>10.2012</v>
          </cell>
          <cell r="L5250">
            <v>150</v>
          </cell>
          <cell r="M5250" t="str">
            <v>EA</v>
          </cell>
          <cell r="N5250">
            <v>2280</v>
          </cell>
          <cell r="O5250" t="str">
            <v>INR</v>
          </cell>
        </row>
        <row r="5251">
          <cell r="A5251" t="str">
            <v>L003 Ankleshwar</v>
          </cell>
          <cell r="B5251">
            <v>680783</v>
          </cell>
          <cell r="C5251" t="str">
            <v>PH METER KEY-PAD U-TECH MAKE</v>
          </cell>
          <cell r="D5251" t="str">
            <v>L0030151                       EnggStore</v>
          </cell>
          <cell r="E5251">
            <v>0</v>
          </cell>
          <cell r="F5251" t="str">
            <v>ND No planning</v>
          </cell>
          <cell r="G5251" t="str">
            <v>ERSA Spare parts</v>
          </cell>
          <cell r="H5251" t="str">
            <v>EN017     InstrumentSpares</v>
          </cell>
          <cell r="I5251" t="str">
            <v>L003 Ankleshwar</v>
          </cell>
          <cell r="J5251" t="str">
            <v>99 Input/Byprodt/Scrap</v>
          </cell>
          <cell r="K5251" t="str">
            <v>10.2012</v>
          </cell>
          <cell r="L5251">
            <v>3</v>
          </cell>
          <cell r="M5251" t="str">
            <v>EA</v>
          </cell>
          <cell r="N5251">
            <v>3060</v>
          </cell>
          <cell r="O5251" t="str">
            <v>INR</v>
          </cell>
        </row>
        <row r="5252">
          <cell r="A5252" t="str">
            <v>L003 Ankleshwar</v>
          </cell>
          <cell r="B5252">
            <v>680855</v>
          </cell>
          <cell r="C5252" t="str">
            <v>REDUCING FLANGE MS/PTFEL: 200X40MM</v>
          </cell>
          <cell r="D5252" t="str">
            <v>L0030151                       EnggStore</v>
          </cell>
          <cell r="E5252">
            <v>0</v>
          </cell>
          <cell r="F5252" t="str">
            <v>ND No planning</v>
          </cell>
          <cell r="G5252" t="str">
            <v>ERSA Spare parts</v>
          </cell>
          <cell r="H5252" t="str">
            <v>EN028     Pipes&amp;pipefittings</v>
          </cell>
          <cell r="I5252" t="str">
            <v>L003 Ankleshwar</v>
          </cell>
          <cell r="J5252" t="str">
            <v>99 Input/Byprodt/Scrap</v>
          </cell>
          <cell r="K5252" t="str">
            <v>10.2012</v>
          </cell>
          <cell r="L5252">
            <v>2</v>
          </cell>
          <cell r="M5252" t="str">
            <v>EA</v>
          </cell>
          <cell r="N5252">
            <v>7693.76</v>
          </cell>
          <cell r="O5252" t="str">
            <v>INR</v>
          </cell>
        </row>
        <row r="5253">
          <cell r="A5253" t="str">
            <v>L003 Ankleshwar</v>
          </cell>
          <cell r="B5253">
            <v>680879</v>
          </cell>
          <cell r="C5253" t="str">
            <v>1/4 MALE 6MM T TYPE PUSH FITTING</v>
          </cell>
          <cell r="D5253" t="str">
            <v>L0030151                       EnggStore</v>
          </cell>
          <cell r="E5253">
            <v>0</v>
          </cell>
          <cell r="F5253" t="str">
            <v>ND No planning</v>
          </cell>
          <cell r="G5253" t="str">
            <v>ERSA Spare parts</v>
          </cell>
          <cell r="H5253" t="str">
            <v>EN017     InstrumentSpares</v>
          </cell>
          <cell r="I5253" t="str">
            <v>L003 Ankleshwar</v>
          </cell>
          <cell r="J5253" t="str">
            <v>99 Input/Byprodt/Scrap</v>
          </cell>
          <cell r="K5253" t="str">
            <v>10.2012</v>
          </cell>
          <cell r="L5253">
            <v>2</v>
          </cell>
          <cell r="M5253" t="str">
            <v>EA</v>
          </cell>
          <cell r="N5253">
            <v>102.599999999999</v>
          </cell>
          <cell r="O5253" t="str">
            <v>INR</v>
          </cell>
        </row>
        <row r="5254">
          <cell r="A5254" t="str">
            <v>L003 Ankleshwar</v>
          </cell>
          <cell r="B5254">
            <v>680901</v>
          </cell>
          <cell r="C5254" t="str">
            <v>WORM REDUCTION GEAR BOX : 3NU - 70:1</v>
          </cell>
          <cell r="D5254" t="str">
            <v>L0030151                       EnggStore</v>
          </cell>
          <cell r="E5254">
            <v>0</v>
          </cell>
          <cell r="F5254" t="str">
            <v>ND No planning</v>
          </cell>
          <cell r="G5254" t="str">
            <v>ERSA Spare parts</v>
          </cell>
          <cell r="H5254" t="str">
            <v>EN039     PlantEquipmentSpares</v>
          </cell>
          <cell r="I5254" t="str">
            <v>L003 Ankleshwar</v>
          </cell>
          <cell r="J5254" t="str">
            <v>99 Input/Byprodt/Scrap</v>
          </cell>
          <cell r="K5254" t="str">
            <v>10.2012</v>
          </cell>
          <cell r="L5254">
            <v>1</v>
          </cell>
          <cell r="M5254" t="str">
            <v>EA</v>
          </cell>
          <cell r="N5254">
            <v>13571.1</v>
          </cell>
          <cell r="O5254" t="str">
            <v>INR</v>
          </cell>
        </row>
        <row r="5255">
          <cell r="A5255" t="str">
            <v>L003 Ankleshwar</v>
          </cell>
          <cell r="B5255">
            <v>680954</v>
          </cell>
          <cell r="C5255" t="str">
            <v>VENTURE MH LAMP 50W</v>
          </cell>
          <cell r="D5255" t="str">
            <v>L0030151                       EnggStore</v>
          </cell>
          <cell r="E5255" t="str">
            <v>E36 E36</v>
          </cell>
          <cell r="F5255" t="str">
            <v>VB Manual reorder point planning</v>
          </cell>
          <cell r="G5255" t="str">
            <v>ERSA Spare parts</v>
          </cell>
          <cell r="H5255" t="str">
            <v>EN005     Elec Lighting</v>
          </cell>
          <cell r="I5255" t="str">
            <v>L003 Ankleshwar</v>
          </cell>
          <cell r="J5255" t="str">
            <v>99 Input/Byprodt/Scrap</v>
          </cell>
          <cell r="K5255" t="str">
            <v>10.2012</v>
          </cell>
          <cell r="L5255">
            <v>2</v>
          </cell>
          <cell r="M5255" t="str">
            <v>EA</v>
          </cell>
          <cell r="N5255">
            <v>1371.44</v>
          </cell>
          <cell r="O5255" t="str">
            <v>INR</v>
          </cell>
        </row>
        <row r="5256">
          <cell r="A5256" t="str">
            <v>L003 Ankleshwar</v>
          </cell>
          <cell r="B5256">
            <v>680955</v>
          </cell>
          <cell r="C5256" t="str">
            <v>VENTURE COPPER BALLAST 50W</v>
          </cell>
          <cell r="D5256" t="str">
            <v>L0030151                       EnggStore</v>
          </cell>
          <cell r="E5256" t="str">
            <v>E36 E36</v>
          </cell>
          <cell r="F5256" t="str">
            <v>VB Manual reorder point planning</v>
          </cell>
          <cell r="G5256" t="str">
            <v>ERSA Spare parts</v>
          </cell>
          <cell r="H5256" t="str">
            <v>EN005     Elec Lighting</v>
          </cell>
          <cell r="I5256" t="str">
            <v>L003 Ankleshwar</v>
          </cell>
          <cell r="J5256" t="str">
            <v>99 Input/Byprodt/Scrap</v>
          </cell>
          <cell r="K5256" t="str">
            <v>10.2012</v>
          </cell>
          <cell r="L5256">
            <v>5</v>
          </cell>
          <cell r="M5256" t="str">
            <v>EA</v>
          </cell>
          <cell r="N5256">
            <v>2574</v>
          </cell>
          <cell r="O5256" t="str">
            <v>INR</v>
          </cell>
        </row>
        <row r="5257">
          <cell r="A5257" t="str">
            <v>L003 Ankleshwar</v>
          </cell>
          <cell r="B5257">
            <v>680956</v>
          </cell>
          <cell r="C5257" t="str">
            <v>VENTURE IGNITOR FOR 50W LAMP</v>
          </cell>
          <cell r="D5257" t="str">
            <v>L0030151                       EnggStore</v>
          </cell>
          <cell r="E5257">
            <v>0</v>
          </cell>
          <cell r="F5257" t="str">
            <v>ND No planning</v>
          </cell>
          <cell r="G5257" t="str">
            <v>ERSA Spare parts</v>
          </cell>
          <cell r="H5257" t="str">
            <v>EN005     Elec Lighting</v>
          </cell>
          <cell r="I5257" t="str">
            <v>L003 Ankleshwar</v>
          </cell>
          <cell r="J5257" t="str">
            <v>99 Input/Byprodt/Scrap</v>
          </cell>
          <cell r="K5257" t="str">
            <v>10.2012</v>
          </cell>
          <cell r="L5257">
            <v>5</v>
          </cell>
          <cell r="M5257" t="str">
            <v>EA</v>
          </cell>
          <cell r="N5257">
            <v>1540</v>
          </cell>
          <cell r="O5257" t="str">
            <v>INR</v>
          </cell>
        </row>
        <row r="5258">
          <cell r="A5258" t="str">
            <v>L003 Ankleshwar</v>
          </cell>
          <cell r="B5258">
            <v>681057</v>
          </cell>
          <cell r="C5258" t="str">
            <v>SS DOME NUT</v>
          </cell>
          <cell r="D5258" t="str">
            <v>L0030151                       EnggStore</v>
          </cell>
          <cell r="E5258">
            <v>0</v>
          </cell>
          <cell r="F5258" t="str">
            <v>ND No planning</v>
          </cell>
          <cell r="G5258" t="str">
            <v>ERSA Spare parts</v>
          </cell>
          <cell r="H5258" t="str">
            <v>EN027     Prod&amp;OtherConsumable</v>
          </cell>
          <cell r="I5258" t="str">
            <v>L003 Ankleshwar</v>
          </cell>
          <cell r="J5258" t="str">
            <v>99 Input/Byprodt/Scrap</v>
          </cell>
          <cell r="K5258" t="str">
            <v>10.2012</v>
          </cell>
          <cell r="L5258">
            <v>50</v>
          </cell>
          <cell r="M5258" t="str">
            <v>EA</v>
          </cell>
          <cell r="N5258">
            <v>2319.5999999999899</v>
          </cell>
          <cell r="O5258" t="str">
            <v>INR</v>
          </cell>
        </row>
        <row r="5259">
          <cell r="A5259" t="str">
            <v>L003 Ankleshwar</v>
          </cell>
          <cell r="B5259">
            <v>681098</v>
          </cell>
          <cell r="C5259" t="str">
            <v>SPRING-SS316: SRNUV-0400</v>
          </cell>
          <cell r="D5259" t="str">
            <v>L0030151                       EnggStore</v>
          </cell>
          <cell r="E5259">
            <v>0</v>
          </cell>
          <cell r="F5259" t="str">
            <v>ND No planning</v>
          </cell>
          <cell r="G5259" t="str">
            <v>ERSA Spare parts</v>
          </cell>
          <cell r="H5259" t="str">
            <v>EN038     MechanicalSeals&amp;Spar</v>
          </cell>
          <cell r="I5259" t="str">
            <v>L003 Ankleshwar</v>
          </cell>
          <cell r="J5259" t="str">
            <v>99 Input/Byprodt/Scrap</v>
          </cell>
          <cell r="K5259" t="str">
            <v>10.2012</v>
          </cell>
          <cell r="L5259">
            <v>1</v>
          </cell>
          <cell r="M5259" t="str">
            <v>EA</v>
          </cell>
          <cell r="N5259">
            <v>450.13999999999902</v>
          </cell>
          <cell r="O5259" t="str">
            <v>INR</v>
          </cell>
        </row>
        <row r="5260">
          <cell r="A5260" t="str">
            <v>L003 Ankleshwar</v>
          </cell>
          <cell r="B5260">
            <v>681100</v>
          </cell>
          <cell r="C5260" t="str">
            <v>'O' RING-VITON: SRNUV-0400</v>
          </cell>
          <cell r="D5260" t="str">
            <v>L0030151                       EnggStore</v>
          </cell>
          <cell r="E5260">
            <v>0</v>
          </cell>
          <cell r="F5260" t="str">
            <v>ND No planning</v>
          </cell>
          <cell r="G5260" t="str">
            <v>ERSA Spare parts</v>
          </cell>
          <cell r="H5260" t="str">
            <v>EN038     MechanicalSeals&amp;Spar</v>
          </cell>
          <cell r="I5260" t="str">
            <v>L003 Ankleshwar</v>
          </cell>
          <cell r="J5260" t="str">
            <v>99 Input/Byprodt/Scrap</v>
          </cell>
          <cell r="K5260" t="str">
            <v>10.2012</v>
          </cell>
          <cell r="L5260">
            <v>1</v>
          </cell>
          <cell r="M5260" t="str">
            <v>EA</v>
          </cell>
          <cell r="N5260">
            <v>621.42999999999904</v>
          </cell>
          <cell r="O5260" t="str">
            <v>INR</v>
          </cell>
        </row>
        <row r="5261">
          <cell r="A5261" t="str">
            <v>L003 Ankleshwar</v>
          </cell>
          <cell r="B5261">
            <v>681134</v>
          </cell>
          <cell r="C5261" t="str">
            <v>NRV SEAT -VERTICAL - VR140</v>
          </cell>
          <cell r="D5261" t="str">
            <v>L0030151                       EnggStore</v>
          </cell>
          <cell r="E5261">
            <v>0</v>
          </cell>
          <cell r="F5261" t="str">
            <v>ND No planning</v>
          </cell>
          <cell r="G5261" t="str">
            <v>ERSA Spare parts</v>
          </cell>
          <cell r="H5261" t="str">
            <v>EN032     Pumpspares</v>
          </cell>
          <cell r="I5261" t="str">
            <v>L003 Ankleshwar</v>
          </cell>
          <cell r="J5261" t="str">
            <v>99 Input/Byprodt/Scrap</v>
          </cell>
          <cell r="K5261" t="str">
            <v>10.2012</v>
          </cell>
          <cell r="L5261">
            <v>1</v>
          </cell>
          <cell r="M5261" t="str">
            <v>EA</v>
          </cell>
          <cell r="N5261">
            <v>448.5</v>
          </cell>
          <cell r="O5261" t="str">
            <v>INR</v>
          </cell>
        </row>
        <row r="5262">
          <cell r="A5262" t="str">
            <v>L003 Ankleshwar</v>
          </cell>
          <cell r="B5262">
            <v>681181</v>
          </cell>
          <cell r="C5262" t="str">
            <v>CON.REDUCER-MS/PTFEL-F/T-ASA150: 40X25MM</v>
          </cell>
          <cell r="D5262" t="str">
            <v>L0030201                       Cons StoreKP</v>
          </cell>
          <cell r="E5262">
            <v>0</v>
          </cell>
          <cell r="F5262" t="str">
            <v>ND No planning</v>
          </cell>
          <cell r="G5262" t="str">
            <v>ERSA Spare parts</v>
          </cell>
          <cell r="H5262" t="str">
            <v>EN028     Pipes&amp;pipefittings</v>
          </cell>
          <cell r="I5262" t="str">
            <v>L003 Ankleshwar</v>
          </cell>
          <cell r="J5262" t="str">
            <v>99 Input/Byprodt/Scrap</v>
          </cell>
          <cell r="K5262" t="str">
            <v>10.2012</v>
          </cell>
          <cell r="L5262">
            <v>1</v>
          </cell>
          <cell r="M5262" t="str">
            <v>EA</v>
          </cell>
          <cell r="N5262">
            <v>858.88</v>
          </cell>
          <cell r="O5262" t="str">
            <v>INR</v>
          </cell>
        </row>
        <row r="5263">
          <cell r="A5263" t="str">
            <v>L003 Ankleshwar</v>
          </cell>
          <cell r="B5263">
            <v>681222</v>
          </cell>
          <cell r="C5263" t="str">
            <v>EXPANSION VALVE MODEL: TEX2</v>
          </cell>
          <cell r="D5263" t="str">
            <v>L0030151                       EnggStore</v>
          </cell>
          <cell r="E5263">
            <v>0</v>
          </cell>
          <cell r="F5263" t="str">
            <v>ND No planning</v>
          </cell>
          <cell r="G5263" t="str">
            <v>ERSA Spare parts</v>
          </cell>
          <cell r="H5263" t="str">
            <v>EN037     Refrigeration&amp;A/Cspa</v>
          </cell>
          <cell r="I5263" t="str">
            <v>L003 Ankleshwar</v>
          </cell>
          <cell r="J5263" t="str">
            <v>99 Input/Byprodt/Scrap</v>
          </cell>
          <cell r="K5263" t="str">
            <v>10.2012</v>
          </cell>
          <cell r="L5263">
            <v>1</v>
          </cell>
          <cell r="M5263" t="str">
            <v>EA</v>
          </cell>
          <cell r="N5263">
            <v>1616.8</v>
          </cell>
          <cell r="O5263" t="str">
            <v>INR</v>
          </cell>
        </row>
        <row r="5264">
          <cell r="A5264" t="str">
            <v>L003 Ankleshwar</v>
          </cell>
          <cell r="B5264">
            <v>681495</v>
          </cell>
          <cell r="C5264" t="str">
            <v>PTFE DIAPHRAGM SET WITHOUT SCREW</v>
          </cell>
          <cell r="D5264" t="str">
            <v>L0030151                       EnggStore</v>
          </cell>
          <cell r="E5264">
            <v>0</v>
          </cell>
          <cell r="F5264" t="str">
            <v>ND No planning</v>
          </cell>
          <cell r="G5264" t="str">
            <v>ERSA Spare parts</v>
          </cell>
          <cell r="H5264" t="str">
            <v>EN032     Pumpspares</v>
          </cell>
          <cell r="I5264" t="str">
            <v>L003 Ankleshwar</v>
          </cell>
          <cell r="J5264" t="str">
            <v>99 Input/Byprodt/Scrap</v>
          </cell>
          <cell r="K5264" t="str">
            <v>10.2012</v>
          </cell>
          <cell r="L5264">
            <v>1</v>
          </cell>
          <cell r="M5264" t="str">
            <v>EA</v>
          </cell>
          <cell r="N5264">
            <v>3750</v>
          </cell>
          <cell r="O5264" t="str">
            <v>INR</v>
          </cell>
        </row>
        <row r="5265">
          <cell r="A5265" t="str">
            <v>L003 Ankleshwar</v>
          </cell>
          <cell r="B5265">
            <v>681496</v>
          </cell>
          <cell r="C5265" t="str">
            <v>PRESSURE SAFETY RELIEF VALVE</v>
          </cell>
          <cell r="D5265" t="str">
            <v>L0030151                       EnggStore</v>
          </cell>
          <cell r="E5265">
            <v>0</v>
          </cell>
          <cell r="F5265" t="str">
            <v>ND No planning</v>
          </cell>
          <cell r="G5265" t="str">
            <v>ERSA Spare parts</v>
          </cell>
          <cell r="H5265" t="str">
            <v>EN032     Pumpspares</v>
          </cell>
          <cell r="I5265" t="str">
            <v>L003 Ankleshwar</v>
          </cell>
          <cell r="J5265" t="str">
            <v>99 Input/Byprodt/Scrap</v>
          </cell>
          <cell r="K5265" t="str">
            <v>10.2012</v>
          </cell>
          <cell r="L5265">
            <v>2</v>
          </cell>
          <cell r="M5265" t="str">
            <v>EA</v>
          </cell>
          <cell r="N5265">
            <v>8400</v>
          </cell>
          <cell r="O5265" t="str">
            <v>INR</v>
          </cell>
        </row>
        <row r="5266">
          <cell r="A5266" t="str">
            <v>L003 Ankleshwar</v>
          </cell>
          <cell r="B5266">
            <v>681520</v>
          </cell>
          <cell r="C5266" t="str">
            <v>OIL SEAL : 140 X 170  15</v>
          </cell>
          <cell r="D5266" t="str">
            <v>L0030151                       EnggStore</v>
          </cell>
          <cell r="E5266" t="str">
            <v>E01 E01</v>
          </cell>
          <cell r="F5266" t="str">
            <v>ND No planning</v>
          </cell>
          <cell r="G5266" t="str">
            <v>ERSA Spare parts</v>
          </cell>
          <cell r="H5266" t="str">
            <v>EN020     RubberItems&amp;Oil Seal</v>
          </cell>
          <cell r="I5266" t="str">
            <v>L003 Ankleshwar</v>
          </cell>
          <cell r="J5266" t="str">
            <v>99 Input/Byprodt/Scrap</v>
          </cell>
          <cell r="K5266" t="str">
            <v>10.2012</v>
          </cell>
          <cell r="L5266">
            <v>1</v>
          </cell>
          <cell r="M5266" t="str">
            <v>EA</v>
          </cell>
          <cell r="N5266">
            <v>102.2</v>
          </cell>
          <cell r="O5266" t="str">
            <v>INR</v>
          </cell>
        </row>
        <row r="5267">
          <cell r="A5267" t="str">
            <v>L003 Ankleshwar</v>
          </cell>
          <cell r="B5267">
            <v>681584</v>
          </cell>
          <cell r="C5267" t="str">
            <v>UPPER ROTOR CASING UHMWPE FOR P2M PUMP</v>
          </cell>
          <cell r="D5267" t="str">
            <v>L0030151                       EnggStore</v>
          </cell>
          <cell r="E5267" t="str">
            <v>E34 E34</v>
          </cell>
          <cell r="F5267" t="str">
            <v>VB Manual reorder point planning</v>
          </cell>
          <cell r="G5267" t="str">
            <v>ERSA Spare parts</v>
          </cell>
          <cell r="H5267" t="str">
            <v>EN032     Pumpspares</v>
          </cell>
          <cell r="I5267" t="str">
            <v>L003 Ankleshwar</v>
          </cell>
          <cell r="J5267" t="str">
            <v>99 Input/Byprodt/Scrap</v>
          </cell>
          <cell r="K5267" t="str">
            <v>10.2012</v>
          </cell>
          <cell r="L5267">
            <v>1</v>
          </cell>
          <cell r="M5267" t="str">
            <v>EA</v>
          </cell>
          <cell r="N5267">
            <v>4917.26</v>
          </cell>
          <cell r="O5267" t="str">
            <v>INR</v>
          </cell>
        </row>
        <row r="5268">
          <cell r="A5268" t="str">
            <v>L003 Ankleshwar</v>
          </cell>
          <cell r="B5268">
            <v>681708</v>
          </cell>
          <cell r="C5268" t="str">
            <v>TEFLON COVER GASKET WITH INSERT 1 1/2"</v>
          </cell>
          <cell r="D5268" t="str">
            <v>L0030151                       EnggStore</v>
          </cell>
          <cell r="E5268">
            <v>0</v>
          </cell>
          <cell r="F5268" t="str">
            <v>ND No planning</v>
          </cell>
          <cell r="G5268" t="str">
            <v>ERSA Spare parts</v>
          </cell>
          <cell r="H5268" t="str">
            <v>EN024     EnggConsumables</v>
          </cell>
          <cell r="I5268" t="str">
            <v>L003 Ankleshwar</v>
          </cell>
          <cell r="J5268" t="str">
            <v>99 Input/Byprodt/Scrap</v>
          </cell>
          <cell r="K5268" t="str">
            <v>10.2012</v>
          </cell>
          <cell r="L5268">
            <v>55</v>
          </cell>
          <cell r="M5268" t="str">
            <v>EA</v>
          </cell>
          <cell r="N5268">
            <v>0</v>
          </cell>
          <cell r="O5268" t="str">
            <v>INR</v>
          </cell>
        </row>
        <row r="5269">
          <cell r="A5269" t="str">
            <v>L003 Ankleshwar</v>
          </cell>
          <cell r="B5269">
            <v>681767</v>
          </cell>
          <cell r="C5269" t="str">
            <v>SOV COIL SVRA-GP 240 V,50HZ,17.5 W</v>
          </cell>
          <cell r="D5269" t="str">
            <v>L0030151                       EnggStore</v>
          </cell>
          <cell r="E5269" t="str">
            <v>E36 E36</v>
          </cell>
          <cell r="F5269" t="str">
            <v>VB Manual reorder point planning</v>
          </cell>
          <cell r="G5269" t="str">
            <v>ERSA Spare parts</v>
          </cell>
          <cell r="H5269" t="str">
            <v>EN017     InstrumentSpares</v>
          </cell>
          <cell r="I5269" t="str">
            <v>L003 Ankleshwar</v>
          </cell>
          <cell r="J5269" t="str">
            <v>99 Input/Byprodt/Scrap</v>
          </cell>
          <cell r="K5269" t="str">
            <v>10.2012</v>
          </cell>
          <cell r="L5269">
            <v>2</v>
          </cell>
          <cell r="M5269" t="str">
            <v>EA</v>
          </cell>
          <cell r="N5269">
            <v>2177.4899999999898</v>
          </cell>
          <cell r="O5269" t="str">
            <v>INR</v>
          </cell>
        </row>
        <row r="5270">
          <cell r="A5270" t="str">
            <v>L003 Ankleshwar</v>
          </cell>
          <cell r="B5270">
            <v>681795</v>
          </cell>
          <cell r="C5270" t="str">
            <v>GRUNDFOS PUMP CRN1-3 IMPELLER P.NO 49</v>
          </cell>
          <cell r="D5270" t="str">
            <v>L0030151                       EnggStore</v>
          </cell>
          <cell r="E5270" t="str">
            <v>E34 E34</v>
          </cell>
          <cell r="F5270" t="str">
            <v>VB Manual reorder point planning</v>
          </cell>
          <cell r="G5270" t="str">
            <v>ERSA Spare parts</v>
          </cell>
          <cell r="H5270" t="str">
            <v>EN032     Pumpspares</v>
          </cell>
          <cell r="I5270" t="str">
            <v>L003 Ankleshwar</v>
          </cell>
          <cell r="J5270" t="str">
            <v>99 Input/Byprodt/Scrap</v>
          </cell>
          <cell r="K5270" t="str">
            <v>10.2012</v>
          </cell>
          <cell r="L5270">
            <v>1</v>
          </cell>
          <cell r="M5270" t="str">
            <v>EA</v>
          </cell>
          <cell r="N5270">
            <v>289</v>
          </cell>
          <cell r="O5270" t="str">
            <v>INR</v>
          </cell>
        </row>
        <row r="5271">
          <cell r="A5271" t="str">
            <v>L003 Ankleshwar</v>
          </cell>
          <cell r="B5271">
            <v>681796</v>
          </cell>
          <cell r="C5271" t="str">
            <v>GRUNDFOS PUMP CRN1-3 SHAFT SEAL HQQV</v>
          </cell>
          <cell r="D5271" t="str">
            <v>L0030151                       EnggStore</v>
          </cell>
          <cell r="E5271" t="str">
            <v>E34 E34</v>
          </cell>
          <cell r="F5271" t="str">
            <v>VB Manual reorder point planning</v>
          </cell>
          <cell r="G5271" t="str">
            <v>ERSA Spare parts</v>
          </cell>
          <cell r="H5271" t="str">
            <v>EN032     Pumpspares</v>
          </cell>
          <cell r="I5271" t="str">
            <v>L003 Ankleshwar</v>
          </cell>
          <cell r="J5271" t="str">
            <v>99 Input/Byprodt/Scrap</v>
          </cell>
          <cell r="K5271" t="str">
            <v>10.2012</v>
          </cell>
          <cell r="L5271">
            <v>1</v>
          </cell>
          <cell r="M5271" t="str">
            <v>EA</v>
          </cell>
          <cell r="N5271">
            <v>5601</v>
          </cell>
          <cell r="O5271" t="str">
            <v>INR</v>
          </cell>
        </row>
        <row r="5272">
          <cell r="A5272" t="str">
            <v>L003 Ankleshwar</v>
          </cell>
          <cell r="B5272">
            <v>681797</v>
          </cell>
          <cell r="C5272" t="str">
            <v>GRUNDFOS PUMP CRN1-3 NECK RING</v>
          </cell>
          <cell r="D5272" t="str">
            <v>L0030151                       EnggStore</v>
          </cell>
          <cell r="E5272" t="str">
            <v>E34 E34</v>
          </cell>
          <cell r="F5272" t="str">
            <v>VB Manual reorder point planning</v>
          </cell>
          <cell r="G5272" t="str">
            <v>ERSA Spare parts</v>
          </cell>
          <cell r="H5272" t="str">
            <v>EN032     Pumpspares</v>
          </cell>
          <cell r="I5272" t="str">
            <v>L003 Ankleshwar</v>
          </cell>
          <cell r="J5272" t="str">
            <v>99 Input/Byprodt/Scrap</v>
          </cell>
          <cell r="K5272" t="str">
            <v>10.2012</v>
          </cell>
          <cell r="L5272">
            <v>1</v>
          </cell>
          <cell r="M5272" t="str">
            <v>EA</v>
          </cell>
          <cell r="N5272">
            <v>28</v>
          </cell>
          <cell r="O5272" t="str">
            <v>INR</v>
          </cell>
        </row>
        <row r="5273">
          <cell r="A5273" t="str">
            <v>L003 Ankleshwar</v>
          </cell>
          <cell r="B5273">
            <v>681798</v>
          </cell>
          <cell r="C5273" t="str">
            <v>GRUNDFOS PUMP CRN1-3 NECK RING RETAINER</v>
          </cell>
          <cell r="D5273" t="str">
            <v>L0030151                       EnggStore</v>
          </cell>
          <cell r="E5273" t="str">
            <v>E34 E34</v>
          </cell>
          <cell r="F5273" t="str">
            <v>VB Manual reorder point planning</v>
          </cell>
          <cell r="G5273" t="str">
            <v>ERSA Spare parts</v>
          </cell>
          <cell r="H5273" t="str">
            <v>EN032     Pumpspares</v>
          </cell>
          <cell r="I5273" t="str">
            <v>L003 Ankleshwar</v>
          </cell>
          <cell r="J5273" t="str">
            <v>99 Input/Byprodt/Scrap</v>
          </cell>
          <cell r="K5273" t="str">
            <v>10.2012</v>
          </cell>
          <cell r="L5273">
            <v>1</v>
          </cell>
          <cell r="M5273" t="str">
            <v>EA</v>
          </cell>
          <cell r="N5273">
            <v>58</v>
          </cell>
          <cell r="O5273" t="str">
            <v>INR</v>
          </cell>
        </row>
        <row r="5274">
          <cell r="A5274" t="str">
            <v>L003 Ankleshwar</v>
          </cell>
          <cell r="B5274">
            <v>681799</v>
          </cell>
          <cell r="C5274" t="str">
            <v>GRUNDFOS PUMP CRN1-3 LOCK WASHER</v>
          </cell>
          <cell r="D5274" t="str">
            <v>L0030151                       EnggStore</v>
          </cell>
          <cell r="E5274" t="str">
            <v>E34 E34</v>
          </cell>
          <cell r="F5274" t="str">
            <v>VB Manual reorder point planning</v>
          </cell>
          <cell r="G5274" t="str">
            <v>ERSA Spare parts</v>
          </cell>
          <cell r="H5274" t="str">
            <v>EN032     Pumpspares</v>
          </cell>
          <cell r="I5274" t="str">
            <v>L003 Ankleshwar</v>
          </cell>
          <cell r="J5274" t="str">
            <v>99 Input/Byprodt/Scrap</v>
          </cell>
          <cell r="K5274" t="str">
            <v>10.2012</v>
          </cell>
          <cell r="L5274">
            <v>1</v>
          </cell>
          <cell r="M5274" t="str">
            <v>EA</v>
          </cell>
          <cell r="N5274">
            <v>367</v>
          </cell>
          <cell r="O5274" t="str">
            <v>INR</v>
          </cell>
        </row>
        <row r="5275">
          <cell r="A5275" t="str">
            <v>L003 Ankleshwar</v>
          </cell>
          <cell r="B5275">
            <v>681800</v>
          </cell>
          <cell r="C5275" t="str">
            <v>GRUNDFOS PUMP CRN1-3 BEARING RING ROTARY</v>
          </cell>
          <cell r="D5275" t="str">
            <v>L0030151                       EnggStore</v>
          </cell>
          <cell r="E5275" t="str">
            <v>E34 E34</v>
          </cell>
          <cell r="F5275" t="str">
            <v>VB Manual reorder point planning</v>
          </cell>
          <cell r="G5275" t="str">
            <v>ERSA Spare parts</v>
          </cell>
          <cell r="H5275" t="str">
            <v>EN032     Pumpspares</v>
          </cell>
          <cell r="I5275" t="str">
            <v>L003 Ankleshwar</v>
          </cell>
          <cell r="J5275" t="str">
            <v>99 Input/Byprodt/Scrap</v>
          </cell>
          <cell r="K5275" t="str">
            <v>10.2012</v>
          </cell>
          <cell r="L5275">
            <v>1</v>
          </cell>
          <cell r="M5275" t="str">
            <v>EA</v>
          </cell>
          <cell r="N5275">
            <v>525</v>
          </cell>
          <cell r="O5275" t="str">
            <v>INR</v>
          </cell>
        </row>
        <row r="5276">
          <cell r="A5276" t="str">
            <v>L003 Ankleshwar</v>
          </cell>
          <cell r="B5276">
            <v>681801</v>
          </cell>
          <cell r="C5276" t="str">
            <v>GRUNDFOS PUMP CRN1-3 CHAMBER WT BRG RING</v>
          </cell>
          <cell r="D5276" t="str">
            <v>L0030151                       EnggStore</v>
          </cell>
          <cell r="E5276" t="str">
            <v>E34 E34</v>
          </cell>
          <cell r="F5276" t="str">
            <v>VB Manual reorder point planning</v>
          </cell>
          <cell r="G5276" t="str">
            <v>ERSA Spare parts</v>
          </cell>
          <cell r="H5276" t="str">
            <v>EN032     Pumpspares</v>
          </cell>
          <cell r="I5276" t="str">
            <v>L003 Ankleshwar</v>
          </cell>
          <cell r="J5276" t="str">
            <v>99 Input/Byprodt/Scrap</v>
          </cell>
          <cell r="K5276" t="str">
            <v>10.2012</v>
          </cell>
          <cell r="L5276">
            <v>1</v>
          </cell>
          <cell r="M5276" t="str">
            <v>EA</v>
          </cell>
          <cell r="N5276">
            <v>1442</v>
          </cell>
          <cell r="O5276" t="str">
            <v>INR</v>
          </cell>
        </row>
        <row r="5277">
          <cell r="A5277" t="str">
            <v>L003 Ankleshwar</v>
          </cell>
          <cell r="B5277">
            <v>681914</v>
          </cell>
          <cell r="C5277" t="str">
            <v>ROLLER BEARING, NTN 4T-526</v>
          </cell>
          <cell r="D5277" t="str">
            <v>L0030151                       EnggStore</v>
          </cell>
          <cell r="E5277" t="str">
            <v>E31 E31</v>
          </cell>
          <cell r="F5277" t="str">
            <v>VB Manual reorder point planning</v>
          </cell>
          <cell r="G5277" t="str">
            <v>ERSA Spare parts</v>
          </cell>
          <cell r="H5277" t="str">
            <v>EN009     Bearings</v>
          </cell>
          <cell r="I5277" t="str">
            <v>L003 Ankleshwar</v>
          </cell>
          <cell r="J5277" t="str">
            <v>99 Input/Byprodt/Scrap</v>
          </cell>
          <cell r="K5277" t="str">
            <v>10.2012</v>
          </cell>
          <cell r="L5277">
            <v>2</v>
          </cell>
          <cell r="M5277" t="str">
            <v>EA</v>
          </cell>
          <cell r="N5277">
            <v>4029</v>
          </cell>
          <cell r="O5277" t="str">
            <v>INR</v>
          </cell>
        </row>
        <row r="5278">
          <cell r="A5278" t="str">
            <v>L003 Ankleshwar</v>
          </cell>
          <cell r="B5278">
            <v>681915</v>
          </cell>
          <cell r="C5278" t="str">
            <v>ROLLER BEARING, NTN 4T-6277</v>
          </cell>
          <cell r="D5278" t="str">
            <v>L0030151                       EnggStore</v>
          </cell>
          <cell r="E5278" t="str">
            <v>E31 E31</v>
          </cell>
          <cell r="F5278" t="str">
            <v>VB Manual reorder point planning</v>
          </cell>
          <cell r="G5278" t="str">
            <v>ERSA Spare parts</v>
          </cell>
          <cell r="H5278" t="str">
            <v>EN009     Bearings</v>
          </cell>
          <cell r="I5278" t="str">
            <v>L003 Ankleshwar</v>
          </cell>
          <cell r="J5278" t="str">
            <v>99 Input/Byprodt/Scrap</v>
          </cell>
          <cell r="K5278" t="str">
            <v>10.2012</v>
          </cell>
          <cell r="L5278">
            <v>2</v>
          </cell>
          <cell r="M5278" t="str">
            <v>EA</v>
          </cell>
          <cell r="N5278">
            <v>9221.5</v>
          </cell>
          <cell r="O5278" t="str">
            <v>INR</v>
          </cell>
        </row>
        <row r="5279">
          <cell r="A5279" t="str">
            <v>L003 Ankleshwar</v>
          </cell>
          <cell r="B5279">
            <v>681916</v>
          </cell>
          <cell r="C5279" t="str">
            <v>ROLLER BEARING, NTN 4T-34306</v>
          </cell>
          <cell r="D5279" t="str">
            <v>L0030151                       EnggStore</v>
          </cell>
          <cell r="E5279">
            <v>0</v>
          </cell>
          <cell r="F5279" t="str">
            <v>ND No planning</v>
          </cell>
          <cell r="G5279" t="str">
            <v>ERSA Spare parts</v>
          </cell>
          <cell r="H5279" t="str">
            <v>EN009     Bearings</v>
          </cell>
          <cell r="I5279" t="str">
            <v>L003 Ankleshwar</v>
          </cell>
          <cell r="J5279" t="str">
            <v>99 Input/Byprodt/Scrap</v>
          </cell>
          <cell r="K5279" t="str">
            <v>10.2012</v>
          </cell>
          <cell r="L5279">
            <v>2</v>
          </cell>
          <cell r="M5279" t="str">
            <v>EA</v>
          </cell>
          <cell r="N5279">
            <v>6650</v>
          </cell>
          <cell r="O5279" t="str">
            <v>INR</v>
          </cell>
        </row>
        <row r="5280">
          <cell r="A5280" t="str">
            <v>L003 Ankleshwar</v>
          </cell>
          <cell r="B5280">
            <v>681994</v>
          </cell>
          <cell r="C5280" t="str">
            <v>PU TUBE 8 MM</v>
          </cell>
          <cell r="D5280" t="str">
            <v>L0030151                       EnggStore</v>
          </cell>
          <cell r="E5280" t="str">
            <v>E37 E37</v>
          </cell>
          <cell r="F5280" t="str">
            <v>VB Manual reorder point planning</v>
          </cell>
          <cell r="G5280" t="str">
            <v>ERSA Spare parts</v>
          </cell>
          <cell r="H5280" t="str">
            <v>EN017     InstrumentSpares</v>
          </cell>
          <cell r="I5280" t="str">
            <v>L003 Ankleshwar</v>
          </cell>
          <cell r="J5280" t="str">
            <v>99 Input/Byprodt/Scrap</v>
          </cell>
          <cell r="K5280" t="str">
            <v>10.2012</v>
          </cell>
          <cell r="L5280">
            <v>140</v>
          </cell>
          <cell r="M5280" t="str">
            <v>EA</v>
          </cell>
          <cell r="N5280">
            <v>2128</v>
          </cell>
          <cell r="O5280" t="str">
            <v>INR</v>
          </cell>
        </row>
        <row r="5281">
          <cell r="A5281" t="str">
            <v>L003 Ankleshwar</v>
          </cell>
          <cell r="B5281">
            <v>682059</v>
          </cell>
          <cell r="C5281" t="str">
            <v>OILSEAL-32X16X7</v>
          </cell>
          <cell r="D5281" t="str">
            <v>L0030151                       EnggStore</v>
          </cell>
          <cell r="E5281" t="str">
            <v>E34 E34</v>
          </cell>
          <cell r="F5281" t="str">
            <v>VB Manual reorder point planning</v>
          </cell>
          <cell r="G5281" t="str">
            <v>ERSA Spare parts</v>
          </cell>
          <cell r="H5281" t="str">
            <v>EN020     RubberItems&amp;Oil Seal</v>
          </cell>
          <cell r="I5281" t="str">
            <v>L003 Ankleshwar</v>
          </cell>
          <cell r="J5281" t="str">
            <v>99 Input/Byprodt/Scrap</v>
          </cell>
          <cell r="K5281" t="str">
            <v>10.2012</v>
          </cell>
          <cell r="L5281">
            <v>1</v>
          </cell>
          <cell r="M5281" t="str">
            <v>EA</v>
          </cell>
          <cell r="N5281">
            <v>12.6</v>
          </cell>
          <cell r="O5281" t="str">
            <v>INR</v>
          </cell>
        </row>
        <row r="5282">
          <cell r="A5282" t="str">
            <v>L003 Ankleshwar</v>
          </cell>
          <cell r="B5282">
            <v>682062</v>
          </cell>
          <cell r="C5282" t="str">
            <v>HINGED FLANGE SIZE 70 VARNISHED</v>
          </cell>
          <cell r="D5282" t="str">
            <v>L0030151                       EnggStore</v>
          </cell>
          <cell r="E5282">
            <v>0</v>
          </cell>
          <cell r="F5282" t="str">
            <v>ND No planning</v>
          </cell>
          <cell r="G5282" t="str">
            <v>ERSA Spare parts</v>
          </cell>
          <cell r="H5282" t="str">
            <v>EN018     UtilityEquipmentSpar</v>
          </cell>
          <cell r="I5282" t="str">
            <v>L003 Ankleshwar</v>
          </cell>
          <cell r="J5282" t="str">
            <v>99 Input/Byprodt/Scrap</v>
          </cell>
          <cell r="K5282" t="str">
            <v>10.2012</v>
          </cell>
          <cell r="L5282">
            <v>1</v>
          </cell>
          <cell r="M5282" t="str">
            <v>NO</v>
          </cell>
          <cell r="N5282">
            <v>205004.01</v>
          </cell>
          <cell r="O5282" t="str">
            <v>INR</v>
          </cell>
        </row>
        <row r="5283">
          <cell r="A5283" t="str">
            <v>L003 Ankleshwar</v>
          </cell>
          <cell r="B5283">
            <v>682192</v>
          </cell>
          <cell r="C5283" t="str">
            <v>STANDARD WEIGHT-BRASS-20 KG-CALIBRATED</v>
          </cell>
          <cell r="D5283" t="str">
            <v>L0030151                       EnggStore</v>
          </cell>
          <cell r="E5283">
            <v>0</v>
          </cell>
          <cell r="F5283" t="str">
            <v>ND No planning</v>
          </cell>
          <cell r="G5283" t="str">
            <v>ERSA Spare parts</v>
          </cell>
          <cell r="H5283" t="str">
            <v>EN035     Measuring&amp;TestingIns</v>
          </cell>
          <cell r="I5283" t="str">
            <v>L003 Ankleshwar</v>
          </cell>
          <cell r="J5283" t="str">
            <v>99 Input/Byprodt/Scrap</v>
          </cell>
          <cell r="K5283" t="str">
            <v>10.2012</v>
          </cell>
          <cell r="L5283">
            <v>1</v>
          </cell>
          <cell r="M5283" t="str">
            <v>EA</v>
          </cell>
          <cell r="N5283">
            <v>11175</v>
          </cell>
          <cell r="O5283" t="str">
            <v>INR</v>
          </cell>
        </row>
        <row r="5284">
          <cell r="A5284" t="str">
            <v>L003 Ankleshwar</v>
          </cell>
          <cell r="B5284">
            <v>682295</v>
          </cell>
          <cell r="C5284" t="str">
            <v>COUPLING CPL.0201-004:LUTZ PUMP 41L DL</v>
          </cell>
          <cell r="D5284" t="str">
            <v>L0030151                       EnggStore</v>
          </cell>
          <cell r="E5284" t="str">
            <v>E34 E34</v>
          </cell>
          <cell r="F5284" t="str">
            <v>VB Manual reorder point planning</v>
          </cell>
          <cell r="G5284" t="str">
            <v>ERSA Spare parts</v>
          </cell>
          <cell r="H5284" t="str">
            <v>EN032     Pumpspares</v>
          </cell>
          <cell r="I5284" t="str">
            <v>L003 Ankleshwar</v>
          </cell>
          <cell r="J5284" t="str">
            <v>99 Input/Byprodt/Scrap</v>
          </cell>
          <cell r="K5284" t="str">
            <v>10.2012</v>
          </cell>
          <cell r="L5284">
            <v>1</v>
          </cell>
          <cell r="M5284" t="str">
            <v>EA</v>
          </cell>
          <cell r="N5284">
            <v>2225.8899999999899</v>
          </cell>
          <cell r="O5284" t="str">
            <v>INR</v>
          </cell>
        </row>
        <row r="5285">
          <cell r="A5285" t="str">
            <v>L003 Ankleshwar</v>
          </cell>
          <cell r="B5285">
            <v>682310</v>
          </cell>
          <cell r="C5285" t="str">
            <v>1/2 TO 8 MM PUSH FITTING</v>
          </cell>
          <cell r="D5285" t="str">
            <v>L0030151                       EnggStore</v>
          </cell>
          <cell r="E5285" t="str">
            <v>E37 E37</v>
          </cell>
          <cell r="F5285" t="str">
            <v>VB Manual reorder point planning</v>
          </cell>
          <cell r="G5285" t="str">
            <v>ERSA Spare parts</v>
          </cell>
          <cell r="H5285" t="str">
            <v>EN017     InstrumentSpares</v>
          </cell>
          <cell r="I5285" t="str">
            <v>L003 Ankleshwar</v>
          </cell>
          <cell r="J5285" t="str">
            <v>99 Input/Byprodt/Scrap</v>
          </cell>
          <cell r="K5285" t="str">
            <v>10.2012</v>
          </cell>
          <cell r="L5285">
            <v>21</v>
          </cell>
          <cell r="M5285" t="str">
            <v>EA</v>
          </cell>
          <cell r="N5285">
            <v>598.5</v>
          </cell>
          <cell r="O5285" t="str">
            <v>INR</v>
          </cell>
        </row>
        <row r="5286">
          <cell r="A5286" t="str">
            <v>L003 Ankleshwar</v>
          </cell>
          <cell r="B5286">
            <v>682391</v>
          </cell>
          <cell r="C5286" t="str">
            <v>1/2 TO 6 MM PUSH FITTING</v>
          </cell>
          <cell r="D5286" t="str">
            <v>L0030151                       EnggStore</v>
          </cell>
          <cell r="E5286">
            <v>0</v>
          </cell>
          <cell r="F5286" t="str">
            <v>ND No planning</v>
          </cell>
          <cell r="G5286" t="str">
            <v>ERSA Spare parts</v>
          </cell>
          <cell r="H5286" t="str">
            <v>EN017     InstrumentSpares</v>
          </cell>
          <cell r="I5286" t="str">
            <v>L003 Ankleshwar</v>
          </cell>
          <cell r="J5286" t="str">
            <v>99 Input/Byprodt/Scrap</v>
          </cell>
          <cell r="K5286" t="str">
            <v>10.2012</v>
          </cell>
          <cell r="L5286">
            <v>15</v>
          </cell>
          <cell r="M5286" t="str">
            <v>EA</v>
          </cell>
          <cell r="N5286">
            <v>427.5</v>
          </cell>
          <cell r="O5286" t="str">
            <v>INR</v>
          </cell>
        </row>
        <row r="5287">
          <cell r="A5287" t="str">
            <v>L003 Ankleshwar</v>
          </cell>
          <cell r="B5287">
            <v>682395</v>
          </cell>
          <cell r="C5287" t="str">
            <v>1/4 TO 6 MM PUSH FITTING</v>
          </cell>
          <cell r="D5287" t="str">
            <v>L0030151                       EnggStore</v>
          </cell>
          <cell r="E5287">
            <v>0</v>
          </cell>
          <cell r="F5287" t="str">
            <v>ND No planning</v>
          </cell>
          <cell r="G5287" t="str">
            <v>ERSA Spare parts</v>
          </cell>
          <cell r="H5287" t="str">
            <v>EN017     InstrumentSpares</v>
          </cell>
          <cell r="I5287" t="str">
            <v>L003 Ankleshwar</v>
          </cell>
          <cell r="J5287" t="str">
            <v>99 Input/Byprodt/Scrap</v>
          </cell>
          <cell r="K5287" t="str">
            <v>10.2012</v>
          </cell>
          <cell r="L5287">
            <v>10</v>
          </cell>
          <cell r="M5287" t="str">
            <v>EA</v>
          </cell>
          <cell r="N5287">
            <v>152</v>
          </cell>
          <cell r="O5287" t="str">
            <v>INR</v>
          </cell>
        </row>
        <row r="5288">
          <cell r="A5288" t="str">
            <v>L003 Ankleshwar</v>
          </cell>
          <cell r="B5288">
            <v>682404</v>
          </cell>
          <cell r="C5288" t="str">
            <v>1/2 UNION MALE S.S</v>
          </cell>
          <cell r="D5288" t="str">
            <v>L0030151                       EnggStore</v>
          </cell>
          <cell r="E5288">
            <v>0</v>
          </cell>
          <cell r="F5288" t="str">
            <v>ND No planning</v>
          </cell>
          <cell r="G5288" t="str">
            <v>ERSA Spare parts</v>
          </cell>
          <cell r="H5288" t="str">
            <v>EN017     InstrumentSpares</v>
          </cell>
          <cell r="I5288" t="str">
            <v>L003 Ankleshwar</v>
          </cell>
          <cell r="J5288" t="str">
            <v>99 Input/Byprodt/Scrap</v>
          </cell>
          <cell r="K5288" t="str">
            <v>10.2012</v>
          </cell>
          <cell r="L5288">
            <v>17</v>
          </cell>
          <cell r="M5288" t="str">
            <v>EA</v>
          </cell>
          <cell r="N5288">
            <v>2186.8699999999899</v>
          </cell>
          <cell r="O5288" t="str">
            <v>INR</v>
          </cell>
        </row>
        <row r="5289">
          <cell r="A5289" t="str">
            <v>L003 Ankleshwar</v>
          </cell>
          <cell r="B5289">
            <v>682410</v>
          </cell>
          <cell r="C5289" t="str">
            <v>8 MM TO 8 MM UNION PUSH TYPE</v>
          </cell>
          <cell r="D5289" t="str">
            <v>L0030151                       EnggStore</v>
          </cell>
          <cell r="E5289" t="str">
            <v>E36 E36</v>
          </cell>
          <cell r="F5289" t="str">
            <v>VB Manual reorder point planning</v>
          </cell>
          <cell r="G5289" t="str">
            <v>ERSA Spare parts</v>
          </cell>
          <cell r="H5289" t="str">
            <v>EN017     InstrumentSpares</v>
          </cell>
          <cell r="I5289" t="str">
            <v>L003 Ankleshwar</v>
          </cell>
          <cell r="J5289" t="str">
            <v>99 Input/Byprodt/Scrap</v>
          </cell>
          <cell r="K5289" t="str">
            <v>10.2012</v>
          </cell>
          <cell r="L5289">
            <v>20</v>
          </cell>
          <cell r="M5289" t="str">
            <v>EA</v>
          </cell>
          <cell r="N5289">
            <v>418</v>
          </cell>
          <cell r="O5289" t="str">
            <v>INR</v>
          </cell>
        </row>
        <row r="5290">
          <cell r="A5290" t="str">
            <v>L003 Ankleshwar</v>
          </cell>
          <cell r="B5290">
            <v>682417</v>
          </cell>
          <cell r="C5290" t="str">
            <v>1/4 TO 8 MM T</v>
          </cell>
          <cell r="D5290" t="str">
            <v>L0030151                       EnggStore</v>
          </cell>
          <cell r="E5290">
            <v>0</v>
          </cell>
          <cell r="F5290" t="str">
            <v>ND No planning</v>
          </cell>
          <cell r="G5290" t="str">
            <v>ERSA Spare parts</v>
          </cell>
          <cell r="H5290" t="str">
            <v>EN017     InstrumentSpares</v>
          </cell>
          <cell r="I5290" t="str">
            <v>L003 Ankleshwar</v>
          </cell>
          <cell r="J5290" t="str">
            <v>99 Input/Byprodt/Scrap</v>
          </cell>
          <cell r="K5290" t="str">
            <v>10.2012</v>
          </cell>
          <cell r="L5290">
            <v>30</v>
          </cell>
          <cell r="M5290" t="str">
            <v>EA</v>
          </cell>
          <cell r="N5290">
            <v>2553</v>
          </cell>
          <cell r="O5290" t="str">
            <v>INR</v>
          </cell>
        </row>
        <row r="5291">
          <cell r="A5291" t="str">
            <v>L003 Ankleshwar</v>
          </cell>
          <cell r="B5291">
            <v>682701</v>
          </cell>
          <cell r="C5291" t="str">
            <v>LOVEJOY COUPLING-SNAP WRAP: RRS-110/100</v>
          </cell>
          <cell r="D5291" t="str">
            <v>L0030151                       EnggStore</v>
          </cell>
          <cell r="E5291" t="str">
            <v>E35 E35</v>
          </cell>
          <cell r="F5291" t="str">
            <v>VB Manual reorder point planning</v>
          </cell>
          <cell r="G5291" t="str">
            <v>ERSA Spare parts</v>
          </cell>
          <cell r="H5291" t="str">
            <v>EN021     VbeltCoupling&amp;Pulley</v>
          </cell>
          <cell r="I5291" t="str">
            <v>L003 Ankleshwar</v>
          </cell>
          <cell r="J5291" t="str">
            <v>99 Input/Byprodt/Scrap</v>
          </cell>
          <cell r="K5291" t="str">
            <v>10.2012</v>
          </cell>
          <cell r="L5291">
            <v>2</v>
          </cell>
          <cell r="M5291" t="str">
            <v>EA</v>
          </cell>
          <cell r="N5291">
            <v>3264.6599999999899</v>
          </cell>
          <cell r="O5291" t="str">
            <v>INR</v>
          </cell>
        </row>
        <row r="5292">
          <cell r="A5292" t="str">
            <v>L003 Ankleshwar</v>
          </cell>
          <cell r="B5292">
            <v>682738</v>
          </cell>
          <cell r="C5292" t="str">
            <v>SS 316 ROUND BAR 40 MM DIA</v>
          </cell>
          <cell r="D5292" t="str">
            <v>L0030151                       EnggStore</v>
          </cell>
          <cell r="E5292">
            <v>0</v>
          </cell>
          <cell r="F5292" t="str">
            <v>ND No planning</v>
          </cell>
          <cell r="G5292" t="str">
            <v>ERSA Spare parts</v>
          </cell>
          <cell r="H5292" t="str">
            <v>EN019     Civil/Buliding Mater</v>
          </cell>
          <cell r="I5292" t="str">
            <v>L003 Ankleshwar</v>
          </cell>
          <cell r="J5292" t="str">
            <v>99 Input/Byprodt/Scrap</v>
          </cell>
          <cell r="K5292" t="str">
            <v>10.2012</v>
          </cell>
          <cell r="L5292">
            <v>8.8499999999999908</v>
          </cell>
          <cell r="M5292" t="str">
            <v>KG</v>
          </cell>
          <cell r="N5292">
            <v>2389.5</v>
          </cell>
          <cell r="O5292" t="str">
            <v>INR</v>
          </cell>
        </row>
        <row r="5293">
          <cell r="A5293" t="str">
            <v>L003 Ankleshwar</v>
          </cell>
          <cell r="B5293">
            <v>682822</v>
          </cell>
          <cell r="C5293" t="str">
            <v>COMPRESSOR KCG572HAE 5TR,EMERSION</v>
          </cell>
          <cell r="D5293" t="str">
            <v>L0030151                       EnggStore</v>
          </cell>
          <cell r="E5293">
            <v>0</v>
          </cell>
          <cell r="F5293" t="str">
            <v>ND No planning</v>
          </cell>
          <cell r="G5293" t="str">
            <v>ERSA Spare parts</v>
          </cell>
          <cell r="H5293" t="str">
            <v>EN037     Refrigeration&amp;A/Cspa</v>
          </cell>
          <cell r="I5293" t="str">
            <v>L003 Ankleshwar</v>
          </cell>
          <cell r="J5293" t="str">
            <v>99 Input/Byprodt/Scrap</v>
          </cell>
          <cell r="K5293" t="str">
            <v>10.2012</v>
          </cell>
          <cell r="L5293">
            <v>1</v>
          </cell>
          <cell r="M5293" t="str">
            <v>EA</v>
          </cell>
          <cell r="N5293">
            <v>17307.779999999901</v>
          </cell>
          <cell r="O5293" t="str">
            <v>INR</v>
          </cell>
        </row>
        <row r="5294">
          <cell r="A5294" t="str">
            <v>L003 Ankleshwar</v>
          </cell>
          <cell r="B5294">
            <v>682849</v>
          </cell>
          <cell r="C5294" t="str">
            <v>POWER ELEMENT KT43 CP-100 SPORLON MAKE</v>
          </cell>
          <cell r="D5294" t="str">
            <v>L0030151                       EnggStore</v>
          </cell>
          <cell r="E5294">
            <v>0</v>
          </cell>
          <cell r="F5294" t="str">
            <v>ND No planning</v>
          </cell>
          <cell r="G5294" t="str">
            <v>ERSA Spare parts</v>
          </cell>
          <cell r="H5294" t="str">
            <v>EN018     UtilityEquipmentSpar</v>
          </cell>
          <cell r="I5294" t="str">
            <v>L003 Ankleshwar</v>
          </cell>
          <cell r="J5294" t="str">
            <v>99 Input/Byprodt/Scrap</v>
          </cell>
          <cell r="K5294" t="str">
            <v>10.2012</v>
          </cell>
          <cell r="L5294">
            <v>3</v>
          </cell>
          <cell r="M5294" t="str">
            <v>EA</v>
          </cell>
          <cell r="N5294">
            <v>5188.8</v>
          </cell>
          <cell r="O5294" t="str">
            <v>INR</v>
          </cell>
        </row>
        <row r="5295">
          <cell r="A5295" t="str">
            <v>L003 Ankleshwar</v>
          </cell>
          <cell r="B5295">
            <v>682863</v>
          </cell>
          <cell r="C5295" t="str">
            <v>FLP SOLENOID VALVE TYPE:T10 MAKE:MANIKE</v>
          </cell>
          <cell r="D5295" t="str">
            <v>L0030151                       EnggStore</v>
          </cell>
          <cell r="E5295" t="str">
            <v>E37 E37</v>
          </cell>
          <cell r="F5295" t="str">
            <v>VB Manual reorder point planning</v>
          </cell>
          <cell r="G5295" t="str">
            <v>ERSA Spare parts</v>
          </cell>
          <cell r="H5295" t="str">
            <v>EN017     InstrumentSpares</v>
          </cell>
          <cell r="I5295" t="str">
            <v>L003 Ankleshwar</v>
          </cell>
          <cell r="J5295" t="str">
            <v>99 Input/Byprodt/Scrap</v>
          </cell>
          <cell r="K5295" t="str">
            <v>10.2012</v>
          </cell>
          <cell r="L5295">
            <v>2</v>
          </cell>
          <cell r="M5295" t="str">
            <v>EA</v>
          </cell>
          <cell r="N5295">
            <v>27881.5</v>
          </cell>
          <cell r="O5295" t="str">
            <v>INR</v>
          </cell>
        </row>
        <row r="5296">
          <cell r="A5296" t="str">
            <v>L003 Ankleshwar</v>
          </cell>
          <cell r="B5296">
            <v>682882</v>
          </cell>
          <cell r="C5296" t="str">
            <v>FLOAT COIL TYPE:FC2 VOL:24 VACMAKE:MANIK</v>
          </cell>
          <cell r="D5296" t="str">
            <v>L0030151                       EnggStore</v>
          </cell>
          <cell r="E5296" t="str">
            <v>E36 E36</v>
          </cell>
          <cell r="F5296" t="str">
            <v>VB Manual reorder point planning</v>
          </cell>
          <cell r="G5296" t="str">
            <v>ERSA Spare parts</v>
          </cell>
          <cell r="H5296" t="str">
            <v>EN017     InstrumentSpares</v>
          </cell>
          <cell r="I5296" t="str">
            <v>L003 Ankleshwar</v>
          </cell>
          <cell r="J5296" t="str">
            <v>99 Input/Byprodt/Scrap</v>
          </cell>
          <cell r="K5296" t="str">
            <v>10.2012</v>
          </cell>
          <cell r="L5296">
            <v>1</v>
          </cell>
          <cell r="M5296" t="str">
            <v>EA</v>
          </cell>
          <cell r="N5296">
            <v>1088.75</v>
          </cell>
          <cell r="O5296" t="str">
            <v>INR</v>
          </cell>
        </row>
        <row r="5297">
          <cell r="A5297" t="str">
            <v>L003 Ankleshwar</v>
          </cell>
          <cell r="B5297">
            <v>682942</v>
          </cell>
          <cell r="C5297" t="str">
            <v>MOISTURE SEPERATOR WITH AUTO DRAIN -40MM</v>
          </cell>
          <cell r="D5297" t="str">
            <v>L0030151                       EnggStore</v>
          </cell>
          <cell r="E5297">
            <v>0</v>
          </cell>
          <cell r="F5297" t="str">
            <v>ND No planning</v>
          </cell>
          <cell r="G5297" t="str">
            <v>ERSA Spare parts</v>
          </cell>
          <cell r="H5297" t="str">
            <v>EN017     InstrumentSpares</v>
          </cell>
          <cell r="I5297" t="str">
            <v>L003 Ankleshwar</v>
          </cell>
          <cell r="J5297" t="str">
            <v>99 Input/Byprodt/Scrap</v>
          </cell>
          <cell r="K5297" t="str">
            <v>10.2012</v>
          </cell>
          <cell r="L5297">
            <v>1</v>
          </cell>
          <cell r="M5297" t="str">
            <v>NO</v>
          </cell>
          <cell r="N5297">
            <v>5000</v>
          </cell>
          <cell r="O5297" t="str">
            <v>INR</v>
          </cell>
        </row>
        <row r="5298">
          <cell r="A5298" t="str">
            <v>L003 Ankleshwar</v>
          </cell>
          <cell r="B5298">
            <v>682943</v>
          </cell>
          <cell r="C5298" t="str">
            <v>AUXILLARY POWER SUPPLY 5/12VDC TE 14158</v>
          </cell>
          <cell r="D5298" t="str">
            <v>L0030151                       EnggStore</v>
          </cell>
          <cell r="E5298">
            <v>0</v>
          </cell>
          <cell r="F5298" t="str">
            <v>ND No planning</v>
          </cell>
          <cell r="G5298" t="str">
            <v>ERSA Spare parts</v>
          </cell>
          <cell r="H5298" t="str">
            <v>EN017     InstrumentSpares</v>
          </cell>
          <cell r="I5298" t="str">
            <v>L003 Ankleshwar</v>
          </cell>
          <cell r="J5298" t="str">
            <v>99 Input/Byprodt/Scrap</v>
          </cell>
          <cell r="K5298" t="str">
            <v>10.2012</v>
          </cell>
          <cell r="L5298">
            <v>1</v>
          </cell>
          <cell r="M5298" t="str">
            <v>NO</v>
          </cell>
          <cell r="N5298">
            <v>19234.48</v>
          </cell>
          <cell r="O5298" t="str">
            <v>INR</v>
          </cell>
        </row>
        <row r="5299">
          <cell r="A5299" t="str">
            <v>L003 Ankleshwar</v>
          </cell>
          <cell r="B5299">
            <v>682944</v>
          </cell>
          <cell r="C5299" t="str">
            <v>AUXILLARY POWER SUPPLY 15VDC TE 14159</v>
          </cell>
          <cell r="D5299" t="str">
            <v>L0030151                       EnggStore</v>
          </cell>
          <cell r="E5299">
            <v>0</v>
          </cell>
          <cell r="F5299" t="str">
            <v>ND No planning</v>
          </cell>
          <cell r="G5299" t="str">
            <v>ERSA Spare parts</v>
          </cell>
          <cell r="H5299" t="str">
            <v>EN017     InstrumentSpares</v>
          </cell>
          <cell r="I5299" t="str">
            <v>L003 Ankleshwar</v>
          </cell>
          <cell r="J5299" t="str">
            <v>99 Input/Byprodt/Scrap</v>
          </cell>
          <cell r="K5299" t="str">
            <v>10.2012</v>
          </cell>
          <cell r="L5299">
            <v>1</v>
          </cell>
          <cell r="M5299" t="str">
            <v>EA</v>
          </cell>
          <cell r="N5299">
            <v>12869.49</v>
          </cell>
          <cell r="O5299" t="str">
            <v>INR</v>
          </cell>
        </row>
        <row r="5300">
          <cell r="A5300" t="str">
            <v>L003 Ankleshwar</v>
          </cell>
          <cell r="B5300">
            <v>683028</v>
          </cell>
          <cell r="C5300" t="str">
            <v>SVRA N 10 SOV INTERNAL KIT MAKE MANIK</v>
          </cell>
          <cell r="D5300" t="str">
            <v>L0030151                       EnggStore</v>
          </cell>
          <cell r="E5300" t="str">
            <v>E36 E36</v>
          </cell>
          <cell r="F5300" t="str">
            <v>VB Manual reorder point planning</v>
          </cell>
          <cell r="G5300" t="str">
            <v>ERSA Spare parts</v>
          </cell>
          <cell r="H5300" t="str">
            <v>EN017     InstrumentSpares</v>
          </cell>
          <cell r="I5300" t="str">
            <v>L003 Ankleshwar</v>
          </cell>
          <cell r="J5300" t="str">
            <v>99 Input/Byprodt/Scrap</v>
          </cell>
          <cell r="K5300" t="str">
            <v>10.2012</v>
          </cell>
          <cell r="L5300">
            <v>2</v>
          </cell>
          <cell r="M5300" t="str">
            <v>EA</v>
          </cell>
          <cell r="N5300">
            <v>3377.46</v>
          </cell>
          <cell r="O5300" t="str">
            <v>INR</v>
          </cell>
        </row>
        <row r="5301">
          <cell r="A5301" t="str">
            <v>L003 Ankleshwar</v>
          </cell>
          <cell r="B5301">
            <v>683055</v>
          </cell>
          <cell r="C5301" t="str">
            <v>N.M GASKET 610X665X3MM, STYLE-20</v>
          </cell>
          <cell r="D5301" t="str">
            <v>L0030151                       EnggStore</v>
          </cell>
          <cell r="E5301" t="str">
            <v>E35 E35</v>
          </cell>
          <cell r="F5301" t="str">
            <v>VB Manual reorder point planning</v>
          </cell>
          <cell r="G5301" t="str">
            <v>ERSA Spare parts</v>
          </cell>
          <cell r="H5301" t="str">
            <v>EN024     EnggConsumables</v>
          </cell>
          <cell r="I5301" t="str">
            <v>L003 Ankleshwar</v>
          </cell>
          <cell r="J5301" t="str">
            <v>99 Input/Byprodt/Scrap</v>
          </cell>
          <cell r="K5301" t="str">
            <v>10.2012</v>
          </cell>
          <cell r="L5301">
            <v>1</v>
          </cell>
          <cell r="M5301" t="str">
            <v>EA</v>
          </cell>
          <cell r="N5301">
            <v>245.41</v>
          </cell>
          <cell r="O5301" t="str">
            <v>INR</v>
          </cell>
        </row>
        <row r="5302">
          <cell r="A5302" t="str">
            <v>L003 Ankleshwar</v>
          </cell>
          <cell r="B5302">
            <v>683056</v>
          </cell>
          <cell r="C5302" t="str">
            <v>N.M GASKET 335X410X3MM, STYLE-20</v>
          </cell>
          <cell r="D5302" t="str">
            <v>L0030151                       EnggStore</v>
          </cell>
          <cell r="E5302" t="str">
            <v>E35 E35</v>
          </cell>
          <cell r="F5302" t="str">
            <v>VB Manual reorder point planning</v>
          </cell>
          <cell r="G5302" t="str">
            <v>ERSA Spare parts</v>
          </cell>
          <cell r="H5302" t="str">
            <v>EN024     EnggConsumables</v>
          </cell>
          <cell r="I5302" t="str">
            <v>L003 Ankleshwar</v>
          </cell>
          <cell r="J5302" t="str">
            <v>99 Input/Byprodt/Scrap</v>
          </cell>
          <cell r="K5302" t="str">
            <v>10.2012</v>
          </cell>
          <cell r="L5302">
            <v>3</v>
          </cell>
          <cell r="M5302" t="str">
            <v>EA</v>
          </cell>
          <cell r="N5302">
            <v>267.72000000000003</v>
          </cell>
          <cell r="O5302" t="str">
            <v>INR</v>
          </cell>
        </row>
        <row r="5303">
          <cell r="A5303" t="str">
            <v>L003 Ankleshwar</v>
          </cell>
          <cell r="B5303">
            <v>683080</v>
          </cell>
          <cell r="C5303" t="str">
            <v>MECHANICAL SEAL: CR10-18</v>
          </cell>
          <cell r="D5303" t="str">
            <v>L0030151                       EnggStore</v>
          </cell>
          <cell r="E5303">
            <v>0</v>
          </cell>
          <cell r="F5303" t="str">
            <v>ND No planning</v>
          </cell>
          <cell r="G5303" t="str">
            <v>ERSA Spare parts</v>
          </cell>
          <cell r="H5303" t="str">
            <v>EN038     MechanicalSeals&amp;Spar</v>
          </cell>
          <cell r="I5303" t="str">
            <v>L003 Ankleshwar</v>
          </cell>
          <cell r="J5303" t="str">
            <v>99 Input/Byprodt/Scrap</v>
          </cell>
          <cell r="K5303" t="str">
            <v>10.2012</v>
          </cell>
          <cell r="L5303">
            <v>1</v>
          </cell>
          <cell r="M5303" t="str">
            <v>EA</v>
          </cell>
          <cell r="N5303">
            <v>7150</v>
          </cell>
          <cell r="O5303" t="str">
            <v>INR</v>
          </cell>
        </row>
        <row r="5304">
          <cell r="A5304" t="str">
            <v>L003 Ankleshwar</v>
          </cell>
          <cell r="B5304">
            <v>683111</v>
          </cell>
          <cell r="C5304" t="str">
            <v>DISH END O/D 512,TH-10 MM,MS SA 516GR70</v>
          </cell>
          <cell r="D5304" t="str">
            <v>L0030151                       EnggStore</v>
          </cell>
          <cell r="E5304">
            <v>0</v>
          </cell>
          <cell r="F5304" t="str">
            <v>ND No planning</v>
          </cell>
          <cell r="G5304" t="str">
            <v>ERSA Spare parts</v>
          </cell>
          <cell r="H5304" t="str">
            <v>EN037     Refrigeration&amp;A/Cspa</v>
          </cell>
          <cell r="I5304" t="str">
            <v>L003 Ankleshwar</v>
          </cell>
          <cell r="J5304" t="str">
            <v>99 Input/Byprodt/Scrap</v>
          </cell>
          <cell r="K5304" t="str">
            <v>10.2012</v>
          </cell>
          <cell r="L5304">
            <v>1</v>
          </cell>
          <cell r="M5304" t="str">
            <v>EA</v>
          </cell>
          <cell r="N5304">
            <v>4730</v>
          </cell>
          <cell r="O5304" t="str">
            <v>INR</v>
          </cell>
        </row>
        <row r="5305">
          <cell r="A5305" t="str">
            <v>L003 Ankleshwar</v>
          </cell>
          <cell r="B5305">
            <v>683181</v>
          </cell>
          <cell r="C5305" t="str">
            <v>SHAFT SEAL-HQQV:GRUNDFOS : CRN-1-5 PUMP</v>
          </cell>
          <cell r="D5305" t="str">
            <v>L0030151                       EnggStore</v>
          </cell>
          <cell r="E5305" t="str">
            <v>E34 E34</v>
          </cell>
          <cell r="F5305" t="str">
            <v>VB Manual reorder point planning</v>
          </cell>
          <cell r="G5305" t="str">
            <v>ERSA Spare parts</v>
          </cell>
          <cell r="H5305" t="str">
            <v>EN032     Pumpspares</v>
          </cell>
          <cell r="I5305" t="str">
            <v>L003 Ankleshwar</v>
          </cell>
          <cell r="J5305" t="str">
            <v>99 Input/Byprodt/Scrap</v>
          </cell>
          <cell r="K5305" t="str">
            <v>10.2012</v>
          </cell>
          <cell r="L5305">
            <v>1</v>
          </cell>
          <cell r="M5305" t="str">
            <v>EA</v>
          </cell>
          <cell r="N5305">
            <v>5901</v>
          </cell>
          <cell r="O5305" t="str">
            <v>INR</v>
          </cell>
        </row>
        <row r="5306">
          <cell r="A5306" t="str">
            <v>L003 Ankleshwar</v>
          </cell>
          <cell r="B5306">
            <v>683265</v>
          </cell>
          <cell r="C5306" t="str">
            <v>SS 304 NUTS &amp; BOLTS 5/8"X3"</v>
          </cell>
          <cell r="D5306" t="str">
            <v>L0030151                       EnggStore</v>
          </cell>
          <cell r="E5306" t="str">
            <v>E35 E35</v>
          </cell>
          <cell r="F5306" t="str">
            <v>VB Manual reorder point planning</v>
          </cell>
          <cell r="G5306" t="str">
            <v>ERSA Spare parts</v>
          </cell>
          <cell r="H5306" t="str">
            <v>EN022     Hardwareitems</v>
          </cell>
          <cell r="I5306" t="str">
            <v>L003 Ankleshwar</v>
          </cell>
          <cell r="J5306" t="str">
            <v>99 Input/Byprodt/Scrap</v>
          </cell>
          <cell r="K5306" t="str">
            <v>10.2012</v>
          </cell>
          <cell r="L5306">
            <v>10</v>
          </cell>
          <cell r="M5306" t="str">
            <v>EA</v>
          </cell>
          <cell r="N5306">
            <v>534.20000000000005</v>
          </cell>
          <cell r="O5306" t="str">
            <v>INR</v>
          </cell>
        </row>
        <row r="5307">
          <cell r="A5307" t="str">
            <v>L003 Ankleshwar</v>
          </cell>
          <cell r="B5307">
            <v>683271</v>
          </cell>
          <cell r="C5307" t="str">
            <v>ROLLER BEARING, NTN 4T-HM813844</v>
          </cell>
          <cell r="D5307" t="str">
            <v>L0030151                       EnggStore</v>
          </cell>
          <cell r="E5307">
            <v>0</v>
          </cell>
          <cell r="F5307" t="str">
            <v>ND No planning</v>
          </cell>
          <cell r="G5307" t="str">
            <v>ERSA Spare parts</v>
          </cell>
          <cell r="H5307" t="str">
            <v>EN009     Bearings</v>
          </cell>
          <cell r="I5307" t="str">
            <v>L003 Ankleshwar</v>
          </cell>
          <cell r="J5307" t="str">
            <v>99 Input/Byprodt/Scrap</v>
          </cell>
          <cell r="K5307" t="str">
            <v>10.2012</v>
          </cell>
          <cell r="L5307">
            <v>2</v>
          </cell>
          <cell r="M5307" t="str">
            <v>EA</v>
          </cell>
          <cell r="N5307">
            <v>6650</v>
          </cell>
          <cell r="O5307" t="str">
            <v>INR</v>
          </cell>
        </row>
        <row r="5308">
          <cell r="A5308" t="str">
            <v>L003 Ankleshwar</v>
          </cell>
          <cell r="B5308">
            <v>683533</v>
          </cell>
          <cell r="C5308" t="str">
            <v>SS SCREW 6x25 MM</v>
          </cell>
          <cell r="D5308" t="str">
            <v>L0030151                       EnggStore</v>
          </cell>
          <cell r="E5308">
            <v>0</v>
          </cell>
          <cell r="F5308" t="str">
            <v>ND No planning</v>
          </cell>
          <cell r="G5308" t="str">
            <v>ERSA Spare parts</v>
          </cell>
          <cell r="H5308" t="str">
            <v>EN022     Hardwareitems</v>
          </cell>
          <cell r="I5308" t="str">
            <v>L003 Ankleshwar</v>
          </cell>
          <cell r="J5308" t="str">
            <v>99 Input/Byprodt/Scrap</v>
          </cell>
          <cell r="K5308" t="str">
            <v>10.2012</v>
          </cell>
          <cell r="L5308">
            <v>74</v>
          </cell>
          <cell r="M5308" t="str">
            <v>EA</v>
          </cell>
          <cell r="N5308">
            <v>436.6</v>
          </cell>
          <cell r="O5308" t="str">
            <v>INR</v>
          </cell>
        </row>
        <row r="5309">
          <cell r="A5309" t="str">
            <v>L003 Ankleshwar</v>
          </cell>
          <cell r="B5309">
            <v>683545</v>
          </cell>
          <cell r="C5309" t="str">
            <v>SWING MOTOR FOR WINDOW AC</v>
          </cell>
          <cell r="D5309" t="str">
            <v>L0030151                       EnggStore</v>
          </cell>
          <cell r="E5309">
            <v>0</v>
          </cell>
          <cell r="F5309" t="str">
            <v>ND No planning</v>
          </cell>
          <cell r="G5309" t="str">
            <v>ERSA Spare parts</v>
          </cell>
          <cell r="H5309" t="str">
            <v>EN037     Refrigeration&amp;A/Cspa</v>
          </cell>
          <cell r="I5309" t="str">
            <v>L003 Ankleshwar</v>
          </cell>
          <cell r="J5309" t="str">
            <v>99 Input/Byprodt/Scrap</v>
          </cell>
          <cell r="K5309" t="str">
            <v>10.2012</v>
          </cell>
          <cell r="L5309">
            <v>8</v>
          </cell>
          <cell r="M5309" t="str">
            <v>EA</v>
          </cell>
          <cell r="N5309">
            <v>1020</v>
          </cell>
          <cell r="O5309" t="str">
            <v>INR</v>
          </cell>
        </row>
        <row r="5310">
          <cell r="A5310" t="str">
            <v>L003 Ankleshwar</v>
          </cell>
          <cell r="B5310">
            <v>683547</v>
          </cell>
          <cell r="C5310" t="str">
            <v>TUBE LIGHT ROD 2''X 18W</v>
          </cell>
          <cell r="D5310" t="str">
            <v>L0030151                       EnggStore</v>
          </cell>
          <cell r="E5310" t="str">
            <v>E36 E36</v>
          </cell>
          <cell r="F5310" t="str">
            <v>VB Manual reorder point planning</v>
          </cell>
          <cell r="G5310" t="str">
            <v>ERSA Spare parts</v>
          </cell>
          <cell r="H5310" t="str">
            <v>EN005     Elec Lighting</v>
          </cell>
          <cell r="I5310" t="str">
            <v>L003 Ankleshwar</v>
          </cell>
          <cell r="J5310" t="str">
            <v>99 Input/Byprodt/Scrap</v>
          </cell>
          <cell r="K5310" t="str">
            <v>10.2012</v>
          </cell>
          <cell r="L5310">
            <v>6</v>
          </cell>
          <cell r="M5310" t="str">
            <v>EA</v>
          </cell>
          <cell r="N5310">
            <v>210.009999999999</v>
          </cell>
          <cell r="O5310" t="str">
            <v>INR</v>
          </cell>
        </row>
        <row r="5311">
          <cell r="A5311" t="str">
            <v>L003 Ankleshwar</v>
          </cell>
          <cell r="B5311">
            <v>683737</v>
          </cell>
          <cell r="C5311" t="str">
            <v>SS316 THRUST RING FOR DURA 1.375"</v>
          </cell>
          <cell r="D5311" t="str">
            <v>L0030151                       EnggStore</v>
          </cell>
          <cell r="E5311">
            <v>0</v>
          </cell>
          <cell r="F5311" t="str">
            <v>ND No planning</v>
          </cell>
          <cell r="G5311" t="str">
            <v>ERSA Spare parts</v>
          </cell>
          <cell r="H5311" t="str">
            <v>EN038     MechanicalSeals&amp;Spar</v>
          </cell>
          <cell r="I5311" t="str">
            <v>L003 Ankleshwar</v>
          </cell>
          <cell r="J5311" t="str">
            <v>99 Input/Byprodt/Scrap</v>
          </cell>
          <cell r="K5311" t="str">
            <v>10.2012</v>
          </cell>
          <cell r="L5311">
            <v>1</v>
          </cell>
          <cell r="M5311" t="str">
            <v>EA</v>
          </cell>
          <cell r="N5311">
            <v>148.75</v>
          </cell>
          <cell r="O5311" t="str">
            <v>INR</v>
          </cell>
        </row>
        <row r="5312">
          <cell r="A5312" t="str">
            <v>L003 Ankleshwar</v>
          </cell>
          <cell r="B5312">
            <v>683738</v>
          </cell>
          <cell r="C5312" t="str">
            <v>SS316 SPRING FOR DURA 1.375"</v>
          </cell>
          <cell r="D5312" t="str">
            <v>L0030151                       EnggStore</v>
          </cell>
          <cell r="E5312">
            <v>0</v>
          </cell>
          <cell r="F5312" t="str">
            <v>ND No planning</v>
          </cell>
          <cell r="G5312" t="str">
            <v>ERSA Spare parts</v>
          </cell>
          <cell r="H5312" t="str">
            <v>EN038     MechanicalSeals&amp;Spar</v>
          </cell>
          <cell r="I5312" t="str">
            <v>L003 Ankleshwar</v>
          </cell>
          <cell r="J5312" t="str">
            <v>99 Input/Byprodt/Scrap</v>
          </cell>
          <cell r="K5312" t="str">
            <v>10.2012</v>
          </cell>
          <cell r="L5312">
            <v>1</v>
          </cell>
          <cell r="M5312" t="str">
            <v>SET</v>
          </cell>
          <cell r="N5312">
            <v>425</v>
          </cell>
          <cell r="O5312" t="str">
            <v>INR</v>
          </cell>
        </row>
        <row r="5313">
          <cell r="A5313" t="str">
            <v>L003 Ankleshwar</v>
          </cell>
          <cell r="B5313">
            <v>683758</v>
          </cell>
          <cell r="C5313" t="str">
            <v>BEARING HOUSING P.N.2100: CCR 32-200</v>
          </cell>
          <cell r="D5313" t="str">
            <v>L0030151                       EnggStore</v>
          </cell>
          <cell r="E5313" t="str">
            <v>E34 E34</v>
          </cell>
          <cell r="F5313" t="str">
            <v>VB Manual reorder point planning</v>
          </cell>
          <cell r="G5313" t="str">
            <v>ERSA Spare parts</v>
          </cell>
          <cell r="H5313" t="str">
            <v>EN032     Pumpspares</v>
          </cell>
          <cell r="I5313" t="str">
            <v>L003 Ankleshwar</v>
          </cell>
          <cell r="J5313" t="str">
            <v>99 Input/Byprodt/Scrap</v>
          </cell>
          <cell r="K5313" t="str">
            <v>10.2012</v>
          </cell>
          <cell r="L5313">
            <v>1</v>
          </cell>
          <cell r="M5313" t="str">
            <v>EA</v>
          </cell>
          <cell r="N5313">
            <v>3746.32</v>
          </cell>
          <cell r="O5313" t="str">
            <v>INR</v>
          </cell>
        </row>
        <row r="5314">
          <cell r="A5314" t="str">
            <v>L003 Ankleshwar</v>
          </cell>
          <cell r="B5314">
            <v>683825</v>
          </cell>
          <cell r="C5314" t="str">
            <v>DIAPHRAGM SET FOR CONTROL VALVE</v>
          </cell>
          <cell r="D5314" t="str">
            <v>L0030151                       EnggStore</v>
          </cell>
          <cell r="E5314">
            <v>0</v>
          </cell>
          <cell r="F5314" t="str">
            <v>ND No planning</v>
          </cell>
          <cell r="G5314" t="str">
            <v>ERSA Spare parts</v>
          </cell>
          <cell r="H5314" t="str">
            <v>EN017     InstrumentSpares</v>
          </cell>
          <cell r="I5314" t="str">
            <v>L003 Ankleshwar</v>
          </cell>
          <cell r="J5314" t="str">
            <v>99 Input/Byprodt/Scrap</v>
          </cell>
          <cell r="K5314" t="str">
            <v>10.2012</v>
          </cell>
          <cell r="L5314">
            <v>1</v>
          </cell>
          <cell r="M5314" t="str">
            <v>EA</v>
          </cell>
          <cell r="N5314">
            <v>817.32</v>
          </cell>
          <cell r="O5314" t="str">
            <v>INR</v>
          </cell>
        </row>
        <row r="5315">
          <cell r="A5315" t="str">
            <v>L003 Ankleshwar</v>
          </cell>
          <cell r="B5315">
            <v>683914</v>
          </cell>
          <cell r="C5315" t="str">
            <v>CAPACITOR DUTY CONTACTOR: 3TF34-00-0WPO</v>
          </cell>
          <cell r="D5315" t="str">
            <v>L0030151                       EnggStore</v>
          </cell>
          <cell r="E5315" t="str">
            <v>E36 E36</v>
          </cell>
          <cell r="F5315" t="str">
            <v>VB Manual reorder point planning</v>
          </cell>
          <cell r="G5315" t="str">
            <v>ERSA Spare parts</v>
          </cell>
          <cell r="H5315" t="str">
            <v>EN006     Elec Switchgear</v>
          </cell>
          <cell r="I5315" t="str">
            <v>L003 Ankleshwar</v>
          </cell>
          <cell r="J5315" t="str">
            <v>99 Input/Byprodt/Scrap</v>
          </cell>
          <cell r="K5315" t="str">
            <v>10.2012</v>
          </cell>
          <cell r="L5315">
            <v>2</v>
          </cell>
          <cell r="M5315" t="str">
            <v>EA</v>
          </cell>
          <cell r="N5315">
            <v>5727.6</v>
          </cell>
          <cell r="O5315" t="str">
            <v>INR</v>
          </cell>
        </row>
        <row r="5316">
          <cell r="A5316" t="str">
            <v>L003 Ankleshwar</v>
          </cell>
          <cell r="B5316">
            <v>683942</v>
          </cell>
          <cell r="C5316" t="str">
            <v>MS SHAFT KPD: 40X13 PUMP</v>
          </cell>
          <cell r="D5316" t="str">
            <v>L0030151                       EnggStore</v>
          </cell>
          <cell r="E5316">
            <v>0</v>
          </cell>
          <cell r="F5316" t="str">
            <v>ND No planning</v>
          </cell>
          <cell r="G5316" t="str">
            <v>ERSA Spare parts</v>
          </cell>
          <cell r="H5316" t="str">
            <v>EN032     Pumpspares</v>
          </cell>
          <cell r="I5316" t="str">
            <v>L003 Ankleshwar</v>
          </cell>
          <cell r="J5316" t="str">
            <v>99 Input/Byprodt/Scrap</v>
          </cell>
          <cell r="K5316" t="str">
            <v>10.2012</v>
          </cell>
          <cell r="L5316">
            <v>1</v>
          </cell>
          <cell r="M5316" t="str">
            <v>EA</v>
          </cell>
          <cell r="N5316">
            <v>2844.3699999999899</v>
          </cell>
          <cell r="O5316" t="str">
            <v>INR</v>
          </cell>
        </row>
        <row r="5317">
          <cell r="A5317" t="str">
            <v>L003 Ankleshwar</v>
          </cell>
          <cell r="B5317">
            <v>684108</v>
          </cell>
          <cell r="C5317" t="str">
            <v>ROLLER BEARING,2208 ETN9</v>
          </cell>
          <cell r="D5317" t="str">
            <v>L0030151                       EnggStore</v>
          </cell>
          <cell r="E5317">
            <v>0</v>
          </cell>
          <cell r="F5317" t="str">
            <v>ND No planning</v>
          </cell>
          <cell r="G5317" t="str">
            <v>ERSA Spare parts</v>
          </cell>
          <cell r="H5317" t="str">
            <v>EN003     ElectricalSpares</v>
          </cell>
          <cell r="I5317" t="str">
            <v>L003 Ankleshwar</v>
          </cell>
          <cell r="J5317" t="str">
            <v>99 Input/Byprodt/Scrap</v>
          </cell>
          <cell r="K5317" t="str">
            <v>10.2012</v>
          </cell>
          <cell r="L5317">
            <v>1</v>
          </cell>
          <cell r="M5317" t="str">
            <v>EA</v>
          </cell>
          <cell r="N5317">
            <v>1053.1500000000001</v>
          </cell>
          <cell r="O5317" t="str">
            <v>INR</v>
          </cell>
        </row>
        <row r="5318">
          <cell r="A5318" t="str">
            <v>L003 Ankleshwar</v>
          </cell>
          <cell r="B5318">
            <v>684125</v>
          </cell>
          <cell r="C5318" t="str">
            <v>TOP CYLINDER OIL SEAL KIT FOR 0.5KL ANF</v>
          </cell>
          <cell r="D5318" t="str">
            <v>L0030151                       EnggStore</v>
          </cell>
          <cell r="E5318">
            <v>0</v>
          </cell>
          <cell r="F5318" t="str">
            <v>ND No planning</v>
          </cell>
          <cell r="G5318" t="str">
            <v>ERSA Spare parts</v>
          </cell>
          <cell r="H5318" t="str">
            <v>EN020     RubberItems&amp;Oil Seal</v>
          </cell>
          <cell r="I5318" t="str">
            <v>L003 Ankleshwar</v>
          </cell>
          <cell r="J5318" t="str">
            <v>99 Input/Byprodt/Scrap</v>
          </cell>
          <cell r="K5318" t="str">
            <v>10.2012</v>
          </cell>
          <cell r="L5318">
            <v>4</v>
          </cell>
          <cell r="M5318" t="str">
            <v>SET</v>
          </cell>
          <cell r="N5318">
            <v>16974</v>
          </cell>
          <cell r="O5318" t="str">
            <v>INR</v>
          </cell>
        </row>
        <row r="5319">
          <cell r="A5319" t="str">
            <v>L003 Ankleshwar</v>
          </cell>
          <cell r="B5319">
            <v>684181</v>
          </cell>
          <cell r="C5319" t="str">
            <v>AIR FILTER ELEMENT 9702326 IR 8X7</v>
          </cell>
          <cell r="D5319" t="str">
            <v>L0030151                       EnggStore</v>
          </cell>
          <cell r="E5319" t="str">
            <v>E32 E32</v>
          </cell>
          <cell r="F5319" t="str">
            <v>VB Manual reorder point planning</v>
          </cell>
          <cell r="G5319" t="str">
            <v>ERSA Spare parts</v>
          </cell>
          <cell r="H5319" t="str">
            <v>EN018     UtilityEquipmentSpar</v>
          </cell>
          <cell r="I5319" t="str">
            <v>L003 Ankleshwar</v>
          </cell>
          <cell r="J5319" t="str">
            <v>99 Input/Byprodt/Scrap</v>
          </cell>
          <cell r="K5319" t="str">
            <v>10.2012</v>
          </cell>
          <cell r="L5319">
            <v>1</v>
          </cell>
          <cell r="M5319" t="str">
            <v>EA</v>
          </cell>
          <cell r="N5319">
            <v>416.25</v>
          </cell>
          <cell r="O5319" t="str">
            <v>INR</v>
          </cell>
        </row>
        <row r="5320">
          <cell r="A5320" t="str">
            <v>L003 Ankleshwar</v>
          </cell>
          <cell r="B5320">
            <v>684183</v>
          </cell>
          <cell r="C5320" t="str">
            <v>DISCHARGE VALVE 70264288 IR 8X7</v>
          </cell>
          <cell r="D5320" t="str">
            <v>L0030151                       EnggStore</v>
          </cell>
          <cell r="E5320" t="str">
            <v>E32 E32</v>
          </cell>
          <cell r="F5320" t="str">
            <v>VB Manual reorder point planning</v>
          </cell>
          <cell r="G5320" t="str">
            <v>ERSA Spare parts</v>
          </cell>
          <cell r="H5320" t="str">
            <v>EN018     UtilityEquipmentSpar</v>
          </cell>
          <cell r="I5320" t="str">
            <v>L003 Ankleshwar</v>
          </cell>
          <cell r="J5320" t="str">
            <v>99 Input/Byprodt/Scrap</v>
          </cell>
          <cell r="K5320" t="str">
            <v>10.2012</v>
          </cell>
          <cell r="L5320">
            <v>1</v>
          </cell>
          <cell r="M5320" t="str">
            <v>EA</v>
          </cell>
          <cell r="N5320">
            <v>9907.67</v>
          </cell>
          <cell r="O5320" t="str">
            <v>INR</v>
          </cell>
        </row>
        <row r="5321">
          <cell r="A5321" t="str">
            <v>L003 Ankleshwar</v>
          </cell>
          <cell r="B5321">
            <v>684224</v>
          </cell>
          <cell r="C5321" t="str">
            <v>PHASE FAILURE RELAY MODLE:HLS D2</v>
          </cell>
          <cell r="D5321" t="str">
            <v>L0030151                       EnggStore</v>
          </cell>
          <cell r="E5321" t="str">
            <v>E36 E36</v>
          </cell>
          <cell r="F5321" t="str">
            <v>VB Manual reorder point planning</v>
          </cell>
          <cell r="G5321" t="str">
            <v>ERSA Spare parts</v>
          </cell>
          <cell r="H5321" t="str">
            <v>EN003     ElectricalSpares</v>
          </cell>
          <cell r="I5321" t="str">
            <v>L003 Ankleshwar</v>
          </cell>
          <cell r="J5321" t="str">
            <v>99 Input/Byprodt/Scrap</v>
          </cell>
          <cell r="K5321" t="str">
            <v>10.2012</v>
          </cell>
          <cell r="L5321">
            <v>1</v>
          </cell>
          <cell r="M5321" t="str">
            <v>EA</v>
          </cell>
          <cell r="N5321">
            <v>1538.0999999999899</v>
          </cell>
          <cell r="O5321" t="str">
            <v>INR</v>
          </cell>
        </row>
        <row r="5322">
          <cell r="A5322" t="str">
            <v>L003 Ankleshwar</v>
          </cell>
          <cell r="B5322">
            <v>684412</v>
          </cell>
          <cell r="C5322" t="str">
            <v>OIL SEAL DHS  31.5 X 41.5 X 6</v>
          </cell>
          <cell r="D5322" t="str">
            <v>L0030151                       EnggStore</v>
          </cell>
          <cell r="E5322">
            <v>0</v>
          </cell>
          <cell r="F5322" t="str">
            <v>ND No planning</v>
          </cell>
          <cell r="G5322" t="str">
            <v>ERSA Spare parts</v>
          </cell>
          <cell r="H5322" t="str">
            <v>EN020     RubberItems&amp;Oil Seal</v>
          </cell>
          <cell r="I5322" t="str">
            <v>L003 Ankleshwar</v>
          </cell>
          <cell r="J5322" t="str">
            <v>99 Input/Byprodt/Scrap</v>
          </cell>
          <cell r="K5322" t="str">
            <v>10.2012</v>
          </cell>
          <cell r="L5322">
            <v>4</v>
          </cell>
          <cell r="M5322" t="str">
            <v>EA</v>
          </cell>
          <cell r="N5322">
            <v>600</v>
          </cell>
          <cell r="O5322" t="str">
            <v>INR</v>
          </cell>
        </row>
        <row r="5323">
          <cell r="A5323" t="str">
            <v>L003 Ankleshwar</v>
          </cell>
          <cell r="B5323">
            <v>684413</v>
          </cell>
          <cell r="C5323" t="str">
            <v>OIL SEAL- UHS 31.5 X 41.5 X 6</v>
          </cell>
          <cell r="D5323" t="str">
            <v>L0030151                       EnggStore</v>
          </cell>
          <cell r="E5323">
            <v>0</v>
          </cell>
          <cell r="F5323" t="str">
            <v>ND No planning</v>
          </cell>
          <cell r="G5323" t="str">
            <v>ERSA Spare parts</v>
          </cell>
          <cell r="H5323" t="str">
            <v>EN020     RubberItems&amp;Oil Seal</v>
          </cell>
          <cell r="I5323" t="str">
            <v>L003 Ankleshwar</v>
          </cell>
          <cell r="J5323" t="str">
            <v>99 Input/Byprodt/Scrap</v>
          </cell>
          <cell r="K5323" t="str">
            <v>10.2012</v>
          </cell>
          <cell r="L5323">
            <v>4</v>
          </cell>
          <cell r="M5323" t="str">
            <v>EA</v>
          </cell>
          <cell r="N5323">
            <v>600</v>
          </cell>
          <cell r="O5323" t="str">
            <v>INR</v>
          </cell>
        </row>
        <row r="5324">
          <cell r="A5324" t="str">
            <v>L003 Ankleshwar</v>
          </cell>
          <cell r="B5324">
            <v>684454</v>
          </cell>
          <cell r="C5324" t="str">
            <v>PRESSURE REGULATING VALVE ,F/T,1" N2</v>
          </cell>
          <cell r="D5324" t="str">
            <v>L0030151                       EnggStore</v>
          </cell>
          <cell r="E5324">
            <v>0</v>
          </cell>
          <cell r="F5324" t="str">
            <v>ND No planning</v>
          </cell>
          <cell r="G5324" t="str">
            <v>ERSA Spare parts</v>
          </cell>
          <cell r="H5324" t="str">
            <v>EN017     InstrumentSpares</v>
          </cell>
          <cell r="I5324" t="str">
            <v>L003 Ankleshwar</v>
          </cell>
          <cell r="J5324" t="str">
            <v>99 Input/Byprodt/Scrap</v>
          </cell>
          <cell r="K5324" t="str">
            <v>10.2012</v>
          </cell>
          <cell r="L5324">
            <v>1</v>
          </cell>
          <cell r="M5324" t="str">
            <v>NO</v>
          </cell>
          <cell r="N5324">
            <v>13140.57</v>
          </cell>
          <cell r="O5324" t="str">
            <v>INR</v>
          </cell>
        </row>
        <row r="5325">
          <cell r="A5325" t="str">
            <v>L003 Ankleshwar</v>
          </cell>
          <cell r="B5325">
            <v>684455</v>
          </cell>
          <cell r="C5325" t="str">
            <v>HASTELLOY-C NUT 3/4"</v>
          </cell>
          <cell r="D5325" t="str">
            <v>L0030151                       EnggStore</v>
          </cell>
          <cell r="E5325">
            <v>0</v>
          </cell>
          <cell r="F5325" t="str">
            <v>ND No planning</v>
          </cell>
          <cell r="G5325" t="str">
            <v>ERSA Spare parts</v>
          </cell>
          <cell r="H5325" t="str">
            <v>EN022     Hardwareitems</v>
          </cell>
          <cell r="I5325" t="str">
            <v>L003 Ankleshwar</v>
          </cell>
          <cell r="J5325" t="str">
            <v>99 Input/Byprodt/Scrap</v>
          </cell>
          <cell r="K5325" t="str">
            <v>10.2012</v>
          </cell>
          <cell r="L5325">
            <v>7</v>
          </cell>
          <cell r="M5325" t="str">
            <v>EA</v>
          </cell>
          <cell r="N5325">
            <v>1707.3199999999899</v>
          </cell>
          <cell r="O5325" t="str">
            <v>INR</v>
          </cell>
        </row>
        <row r="5326">
          <cell r="A5326" t="str">
            <v>L003 Ankleshwar</v>
          </cell>
          <cell r="B5326">
            <v>684633</v>
          </cell>
          <cell r="C5326" t="str">
            <v>BIG END BEARING: U/S:0.5MM</v>
          </cell>
          <cell r="D5326" t="str">
            <v>L0030151                       EnggStore</v>
          </cell>
          <cell r="E5326">
            <v>0</v>
          </cell>
          <cell r="F5326" t="str">
            <v>ND No planning</v>
          </cell>
          <cell r="G5326" t="str">
            <v>ERSA Spare parts</v>
          </cell>
          <cell r="H5326" t="str">
            <v>EN018     UtilityEquipmentSpar</v>
          </cell>
          <cell r="I5326" t="str">
            <v>L003 Ankleshwar</v>
          </cell>
          <cell r="J5326" t="str">
            <v>99 Input/Byprodt/Scrap</v>
          </cell>
          <cell r="K5326" t="str">
            <v>10.2012</v>
          </cell>
          <cell r="L5326">
            <v>7</v>
          </cell>
          <cell r="M5326" t="str">
            <v>SET</v>
          </cell>
          <cell r="N5326">
            <v>8460.85</v>
          </cell>
          <cell r="O5326" t="str">
            <v>INR</v>
          </cell>
        </row>
        <row r="5327">
          <cell r="A5327" t="str">
            <v>L003 Ankleshwar</v>
          </cell>
          <cell r="B5327">
            <v>684712</v>
          </cell>
          <cell r="C5327" t="str">
            <v>PUMP SHAFT SLEEVE-SS316: CE-65/13</v>
          </cell>
          <cell r="D5327" t="str">
            <v>L0030151                       EnggStore</v>
          </cell>
          <cell r="E5327" t="str">
            <v>E34 E34</v>
          </cell>
          <cell r="F5327" t="str">
            <v>VB Manual reorder point planning</v>
          </cell>
          <cell r="G5327" t="str">
            <v>ERSA Spare parts</v>
          </cell>
          <cell r="H5327" t="str">
            <v>EN032     Pumpspares</v>
          </cell>
          <cell r="I5327" t="str">
            <v>L003 Ankleshwar</v>
          </cell>
          <cell r="J5327" t="str">
            <v>99 Input/Byprodt/Scrap</v>
          </cell>
          <cell r="K5327" t="str">
            <v>10.2012</v>
          </cell>
          <cell r="L5327">
            <v>2</v>
          </cell>
          <cell r="M5327" t="str">
            <v>EA</v>
          </cell>
          <cell r="N5327">
            <v>4446.2799999999897</v>
          </cell>
          <cell r="O5327" t="str">
            <v>INR</v>
          </cell>
        </row>
        <row r="5328">
          <cell r="A5328" t="str">
            <v>L003 Ankleshwar</v>
          </cell>
          <cell r="B5328">
            <v>684807</v>
          </cell>
          <cell r="C5328" t="str">
            <v>BEARING : NU 319</v>
          </cell>
          <cell r="D5328" t="str">
            <v>L0030151                       EnggStore</v>
          </cell>
          <cell r="E5328">
            <v>0</v>
          </cell>
          <cell r="F5328" t="str">
            <v>ND No planning</v>
          </cell>
          <cell r="G5328" t="str">
            <v>ERSA Spare parts</v>
          </cell>
          <cell r="H5328" t="str">
            <v>EN007     Elec Motors &amp; Spares</v>
          </cell>
          <cell r="I5328" t="str">
            <v>L003 Ankleshwar</v>
          </cell>
          <cell r="J5328" t="str">
            <v>99 Input/Byprodt/Scrap</v>
          </cell>
          <cell r="K5328" t="str">
            <v>10.2012</v>
          </cell>
          <cell r="L5328">
            <v>1</v>
          </cell>
          <cell r="M5328" t="str">
            <v>EA</v>
          </cell>
          <cell r="N5328">
            <v>11374.04</v>
          </cell>
          <cell r="O5328" t="str">
            <v>INR</v>
          </cell>
        </row>
        <row r="5329">
          <cell r="A5329" t="str">
            <v>L003 Ankleshwar</v>
          </cell>
          <cell r="B5329">
            <v>684808</v>
          </cell>
          <cell r="C5329" t="str">
            <v>V OILSEAL MODEL:DHS -18 SIZE:26X18X6</v>
          </cell>
          <cell r="D5329" t="str">
            <v>L0030151                       EnggStore</v>
          </cell>
          <cell r="E5329">
            <v>0</v>
          </cell>
          <cell r="F5329" t="str">
            <v>ND No planning</v>
          </cell>
          <cell r="G5329" t="str">
            <v>ERSA Spare parts</v>
          </cell>
          <cell r="H5329" t="str">
            <v>EN020     RubberItems&amp;Oil Seal</v>
          </cell>
          <cell r="I5329" t="str">
            <v>L003 Ankleshwar</v>
          </cell>
          <cell r="J5329" t="str">
            <v>99 Input/Byprodt/Scrap</v>
          </cell>
          <cell r="K5329" t="str">
            <v>10.2012</v>
          </cell>
          <cell r="L5329">
            <v>12</v>
          </cell>
          <cell r="M5329" t="str">
            <v>EA</v>
          </cell>
          <cell r="N5329">
            <v>2280</v>
          </cell>
          <cell r="O5329" t="str">
            <v>INR</v>
          </cell>
        </row>
        <row r="5330">
          <cell r="A5330" t="str">
            <v>L003 Ankleshwar</v>
          </cell>
          <cell r="B5330">
            <v>684831</v>
          </cell>
          <cell r="C5330" t="str">
            <v>SCROLL COMP 3 PH, SR061YAA, R-22,4.25 TR</v>
          </cell>
          <cell r="D5330" t="str">
            <v>L0030151                       EnggStore</v>
          </cell>
          <cell r="E5330">
            <v>0</v>
          </cell>
          <cell r="F5330" t="str">
            <v>ND No planning</v>
          </cell>
          <cell r="G5330" t="str">
            <v>ERSA Spare parts</v>
          </cell>
          <cell r="H5330" t="str">
            <v>EN037     Refrigeration&amp;A/Cspa</v>
          </cell>
          <cell r="I5330" t="str">
            <v>L003 Ankleshwar</v>
          </cell>
          <cell r="J5330" t="str">
            <v>99 Input/Byprodt/Scrap</v>
          </cell>
          <cell r="K5330" t="str">
            <v>10.2012</v>
          </cell>
          <cell r="L5330">
            <v>2</v>
          </cell>
          <cell r="M5330" t="str">
            <v>EA</v>
          </cell>
          <cell r="N5330">
            <v>46000</v>
          </cell>
          <cell r="O5330" t="str">
            <v>INR</v>
          </cell>
        </row>
        <row r="5331">
          <cell r="A5331" t="str">
            <v>L003 Ankleshwar</v>
          </cell>
          <cell r="B5331">
            <v>684832</v>
          </cell>
          <cell r="C5331" t="str">
            <v>CS ELBOW SEAMLESS - SCH-40 NIBR 1/2"</v>
          </cell>
          <cell r="D5331" t="str">
            <v>L0030151                       EnggStore</v>
          </cell>
          <cell r="E5331">
            <v>0</v>
          </cell>
          <cell r="F5331" t="str">
            <v>ND No planning</v>
          </cell>
          <cell r="G5331" t="str">
            <v>ERSA Spare parts</v>
          </cell>
          <cell r="H5331" t="str">
            <v>EN028     Pipes&amp;pipefittings</v>
          </cell>
          <cell r="I5331" t="str">
            <v>L003 Ankleshwar</v>
          </cell>
          <cell r="J5331" t="str">
            <v>99 Input/Byprodt/Scrap</v>
          </cell>
          <cell r="K5331" t="str">
            <v>10.2012</v>
          </cell>
          <cell r="L5331">
            <v>4</v>
          </cell>
          <cell r="M5331" t="str">
            <v>EA</v>
          </cell>
          <cell r="N5331">
            <v>76.489999999999895</v>
          </cell>
          <cell r="O5331" t="str">
            <v>INR</v>
          </cell>
        </row>
        <row r="5332">
          <cell r="A5332" t="str">
            <v>L003 Ankleshwar</v>
          </cell>
          <cell r="B5332">
            <v>684884</v>
          </cell>
          <cell r="C5332" t="str">
            <v>PROXIMITY CARDS (IDC170)</v>
          </cell>
          <cell r="D5332" t="str">
            <v>L0030151                       EnggStore</v>
          </cell>
          <cell r="E5332">
            <v>0</v>
          </cell>
          <cell r="F5332" t="str">
            <v>ND No planning</v>
          </cell>
          <cell r="G5332" t="str">
            <v>ERSA Spare parts</v>
          </cell>
          <cell r="H5332" t="str">
            <v>EN017     InstrumentSpares</v>
          </cell>
          <cell r="I5332" t="str">
            <v>L003 Ankleshwar</v>
          </cell>
          <cell r="J5332" t="str">
            <v>99 Input/Byprodt/Scrap</v>
          </cell>
          <cell r="K5332" t="str">
            <v>10.2012</v>
          </cell>
          <cell r="L5332">
            <v>49</v>
          </cell>
          <cell r="M5332" t="str">
            <v>EA</v>
          </cell>
          <cell r="N5332">
            <v>8268.75</v>
          </cell>
          <cell r="O5332" t="str">
            <v>INR</v>
          </cell>
        </row>
        <row r="5333">
          <cell r="A5333" t="str">
            <v>L003 Ankleshwar</v>
          </cell>
          <cell r="B5333">
            <v>684893</v>
          </cell>
          <cell r="C5333" t="str">
            <v>SSBREDED PVC INS.FLEX. CU.CABLE 2.5MMX3C</v>
          </cell>
          <cell r="D5333" t="str">
            <v>L0030151                       EnggStore</v>
          </cell>
          <cell r="E5333">
            <v>0</v>
          </cell>
          <cell r="F5333" t="str">
            <v>ND No planning</v>
          </cell>
          <cell r="G5333" t="str">
            <v>ERSA Spare parts</v>
          </cell>
          <cell r="H5333" t="str">
            <v>EN004     Cable &amp; Cable Acc.</v>
          </cell>
          <cell r="I5333" t="str">
            <v>L003 Ankleshwar</v>
          </cell>
          <cell r="J5333" t="str">
            <v>99 Input/Byprodt/Scrap</v>
          </cell>
          <cell r="K5333" t="str">
            <v>10.2012</v>
          </cell>
          <cell r="L5333">
            <v>2</v>
          </cell>
          <cell r="M5333" t="str">
            <v>M</v>
          </cell>
          <cell r="N5333">
            <v>128.52000000000001</v>
          </cell>
          <cell r="O5333" t="str">
            <v>INR</v>
          </cell>
        </row>
        <row r="5334">
          <cell r="A5334" t="str">
            <v>L003 Ankleshwar</v>
          </cell>
          <cell r="B5334">
            <v>684897</v>
          </cell>
          <cell r="C5334" t="str">
            <v>CASING GASKET : DB 100/26</v>
          </cell>
          <cell r="D5334" t="str">
            <v>L0030151                       EnggStore</v>
          </cell>
          <cell r="E5334">
            <v>0</v>
          </cell>
          <cell r="F5334" t="str">
            <v>ND No planning</v>
          </cell>
          <cell r="G5334" t="str">
            <v>ERSA Spare parts</v>
          </cell>
          <cell r="H5334" t="str">
            <v>EN032     Pumpspares</v>
          </cell>
          <cell r="I5334" t="str">
            <v>L003 Ankleshwar</v>
          </cell>
          <cell r="J5334" t="str">
            <v>99 Input/Byprodt/Scrap</v>
          </cell>
          <cell r="K5334" t="str">
            <v>10.2012</v>
          </cell>
          <cell r="L5334">
            <v>5</v>
          </cell>
          <cell r="M5334" t="str">
            <v>EA</v>
          </cell>
          <cell r="N5334">
            <v>1734.3699999999899</v>
          </cell>
          <cell r="O5334" t="str">
            <v>INR</v>
          </cell>
        </row>
        <row r="5335">
          <cell r="A5335" t="str">
            <v>L003 Ankleshwar</v>
          </cell>
          <cell r="B5335">
            <v>684898</v>
          </cell>
          <cell r="C5335" t="str">
            <v>CASING GASKET : DB 32/26</v>
          </cell>
          <cell r="D5335" t="str">
            <v>L0030151                       EnggStore</v>
          </cell>
          <cell r="E5335">
            <v>0</v>
          </cell>
          <cell r="F5335" t="str">
            <v>ND No planning</v>
          </cell>
          <cell r="G5335" t="str">
            <v>ERSA Spare parts</v>
          </cell>
          <cell r="H5335" t="str">
            <v>EN032     Pumpspares</v>
          </cell>
          <cell r="I5335" t="str">
            <v>L003 Ankleshwar</v>
          </cell>
          <cell r="J5335" t="str">
            <v>99 Input/Byprodt/Scrap</v>
          </cell>
          <cell r="K5335" t="str">
            <v>10.2012</v>
          </cell>
          <cell r="L5335">
            <v>5</v>
          </cell>
          <cell r="M5335" t="str">
            <v>EA</v>
          </cell>
          <cell r="N5335">
            <v>1271.8699999999899</v>
          </cell>
          <cell r="O5335" t="str">
            <v>INR</v>
          </cell>
        </row>
        <row r="5336">
          <cell r="A5336" t="str">
            <v>L003 Ankleshwar</v>
          </cell>
          <cell r="B5336">
            <v>684987</v>
          </cell>
          <cell r="C5336" t="str">
            <v>SS-316 HEX BOLT &amp; NUT 3/8"X10"</v>
          </cell>
          <cell r="D5336" t="str">
            <v>L0030151                       EnggStore</v>
          </cell>
          <cell r="E5336">
            <v>0</v>
          </cell>
          <cell r="F5336" t="str">
            <v>ND No planning</v>
          </cell>
          <cell r="G5336" t="str">
            <v>ERSA Spare parts</v>
          </cell>
          <cell r="H5336" t="str">
            <v>EN022     Hardwareitems</v>
          </cell>
          <cell r="I5336" t="str">
            <v>L003 Ankleshwar</v>
          </cell>
          <cell r="J5336" t="str">
            <v>99 Input/Byprodt/Scrap</v>
          </cell>
          <cell r="K5336" t="str">
            <v>10.2012</v>
          </cell>
          <cell r="L5336">
            <v>8</v>
          </cell>
          <cell r="M5336" t="str">
            <v>EA</v>
          </cell>
          <cell r="N5336">
            <v>1185.5999999999899</v>
          </cell>
          <cell r="O5336" t="str">
            <v>INR</v>
          </cell>
        </row>
        <row r="5337">
          <cell r="A5337" t="str">
            <v>L003 Ankleshwar</v>
          </cell>
          <cell r="B5337">
            <v>685032</v>
          </cell>
          <cell r="C5337" t="str">
            <v>NM GASKET: 380X315X3MM (TOP BONNET-MEE1)</v>
          </cell>
          <cell r="D5337" t="str">
            <v>L0030151                       EnggStore</v>
          </cell>
          <cell r="E5337" t="str">
            <v>E34 E34</v>
          </cell>
          <cell r="F5337" t="str">
            <v>VB Manual reorder point planning</v>
          </cell>
          <cell r="G5337" t="str">
            <v>ERSA Spare parts</v>
          </cell>
          <cell r="H5337" t="str">
            <v>EN024     EnggConsumables</v>
          </cell>
          <cell r="I5337" t="str">
            <v>L003 Ankleshwar</v>
          </cell>
          <cell r="J5337" t="str">
            <v>99 Input/Byprodt/Scrap</v>
          </cell>
          <cell r="K5337" t="str">
            <v>10.2012</v>
          </cell>
          <cell r="L5337">
            <v>1</v>
          </cell>
          <cell r="M5337" t="str">
            <v>EA</v>
          </cell>
          <cell r="N5337">
            <v>65</v>
          </cell>
          <cell r="O5337" t="str">
            <v>INR</v>
          </cell>
        </row>
        <row r="5338">
          <cell r="A5338" t="str">
            <v>L003 Ankleshwar</v>
          </cell>
          <cell r="B5338">
            <v>685152</v>
          </cell>
          <cell r="C5338" t="str">
            <v>REPAIRE KIT FOR SVRA N 10</v>
          </cell>
          <cell r="D5338" t="str">
            <v>L0030151                       EnggStore</v>
          </cell>
          <cell r="E5338">
            <v>0</v>
          </cell>
          <cell r="F5338" t="str">
            <v>ND No planning</v>
          </cell>
          <cell r="G5338" t="str">
            <v>ERSA Spare parts</v>
          </cell>
          <cell r="H5338" t="str">
            <v>EN017     InstrumentSpares</v>
          </cell>
          <cell r="I5338" t="str">
            <v>L003 Ankleshwar</v>
          </cell>
          <cell r="J5338" t="str">
            <v>99 Input/Byprodt/Scrap</v>
          </cell>
          <cell r="K5338" t="str">
            <v>10.2012</v>
          </cell>
          <cell r="L5338">
            <v>1</v>
          </cell>
          <cell r="M5338" t="str">
            <v>EA</v>
          </cell>
          <cell r="N5338">
            <v>2161.5</v>
          </cell>
          <cell r="O5338" t="str">
            <v>INR</v>
          </cell>
        </row>
        <row r="5339">
          <cell r="A5339" t="str">
            <v>L003 Ankleshwar</v>
          </cell>
          <cell r="B5339">
            <v>685219</v>
          </cell>
          <cell r="C5339" t="str">
            <v>CONVERTER MODULE FOR CFL-10 P/N TE15392</v>
          </cell>
          <cell r="D5339" t="str">
            <v>L0030151                       EnggStore</v>
          </cell>
          <cell r="E5339" t="str">
            <v>E01 E01</v>
          </cell>
          <cell r="F5339" t="str">
            <v>ND No planning</v>
          </cell>
          <cell r="G5339" t="str">
            <v>ERSA Spare parts</v>
          </cell>
          <cell r="H5339" t="str">
            <v>EN017     InstrumentSpares</v>
          </cell>
          <cell r="I5339" t="str">
            <v>L003 Ankleshwar</v>
          </cell>
          <cell r="J5339" t="str">
            <v>99 Input/Byprodt/Scrap</v>
          </cell>
          <cell r="K5339" t="str">
            <v>10.2012</v>
          </cell>
          <cell r="L5339">
            <v>1</v>
          </cell>
          <cell r="M5339" t="str">
            <v>NO</v>
          </cell>
          <cell r="N5339">
            <v>981102.07999999903</v>
          </cell>
          <cell r="O5339" t="str">
            <v>INR</v>
          </cell>
        </row>
        <row r="5340">
          <cell r="A5340" t="str">
            <v>L003 Ankleshwar</v>
          </cell>
          <cell r="B5340">
            <v>685261</v>
          </cell>
          <cell r="C5340" t="str">
            <v>OIL SEAL 115X140X13</v>
          </cell>
          <cell r="D5340" t="str">
            <v>L0030151                       EnggStore</v>
          </cell>
          <cell r="E5340" t="str">
            <v>E33 E33</v>
          </cell>
          <cell r="F5340" t="str">
            <v>VB Manual reorder point planning</v>
          </cell>
          <cell r="G5340" t="str">
            <v>ERSA Spare parts</v>
          </cell>
          <cell r="H5340" t="str">
            <v>EN020     RubberItems&amp;Oil Seal</v>
          </cell>
          <cell r="I5340" t="str">
            <v>L003 Ankleshwar</v>
          </cell>
          <cell r="J5340" t="str">
            <v>99 Input/Byprodt/Scrap</v>
          </cell>
          <cell r="K5340" t="str">
            <v>10.2012</v>
          </cell>
          <cell r="L5340">
            <v>7</v>
          </cell>
          <cell r="M5340" t="str">
            <v>EA</v>
          </cell>
          <cell r="N5340">
            <v>475.3</v>
          </cell>
          <cell r="O5340" t="str">
            <v>INR</v>
          </cell>
        </row>
        <row r="5341">
          <cell r="A5341" t="str">
            <v>L003 Ankleshwar</v>
          </cell>
          <cell r="B5341">
            <v>685341</v>
          </cell>
          <cell r="C5341" t="str">
            <v>FLP POWER SOCKET MALE-FEMALE 63A,3PIN</v>
          </cell>
          <cell r="D5341" t="str">
            <v>L0030151                       EnggStore</v>
          </cell>
          <cell r="E5341">
            <v>0</v>
          </cell>
          <cell r="F5341" t="str">
            <v>ND No planning</v>
          </cell>
          <cell r="G5341" t="str">
            <v>ERSA Spare parts</v>
          </cell>
          <cell r="H5341" t="str">
            <v>EN003     ElectricalSpares</v>
          </cell>
          <cell r="I5341" t="str">
            <v>L003 Ankleshwar</v>
          </cell>
          <cell r="J5341" t="str">
            <v>99 Input/Byprodt/Scrap</v>
          </cell>
          <cell r="K5341" t="str">
            <v>10.2012</v>
          </cell>
          <cell r="L5341">
            <v>1</v>
          </cell>
          <cell r="M5341" t="str">
            <v>EA</v>
          </cell>
          <cell r="N5341">
            <v>12550.2</v>
          </cell>
          <cell r="O5341" t="str">
            <v>INR</v>
          </cell>
        </row>
        <row r="5342">
          <cell r="A5342" t="str">
            <v>L003 Ankleshwar</v>
          </cell>
          <cell r="B5342">
            <v>685381</v>
          </cell>
          <cell r="C5342" t="str">
            <v>HDPE END CAP 110MM OD</v>
          </cell>
          <cell r="D5342" t="str">
            <v>L0030151                       EnggStore</v>
          </cell>
          <cell r="E5342">
            <v>0</v>
          </cell>
          <cell r="F5342" t="str">
            <v>ND No planning</v>
          </cell>
          <cell r="G5342" t="str">
            <v>ERSA Spare parts</v>
          </cell>
          <cell r="H5342" t="str">
            <v>EN028     Pipes&amp;pipefittings</v>
          </cell>
          <cell r="I5342" t="str">
            <v>L003 Ankleshwar</v>
          </cell>
          <cell r="J5342" t="str">
            <v>99 Input/Byprodt/Scrap</v>
          </cell>
          <cell r="K5342" t="str">
            <v>10.2012</v>
          </cell>
          <cell r="L5342">
            <v>6</v>
          </cell>
          <cell r="M5342" t="str">
            <v>EA</v>
          </cell>
          <cell r="N5342">
            <v>305.39999999999901</v>
          </cell>
          <cell r="O5342" t="str">
            <v>INR</v>
          </cell>
        </row>
        <row r="5343">
          <cell r="A5343" t="str">
            <v>L003 Ankleshwar</v>
          </cell>
          <cell r="B5343">
            <v>685399</v>
          </cell>
          <cell r="C5343" t="str">
            <v>WFE TEFLON WIPER</v>
          </cell>
          <cell r="D5343" t="str">
            <v>L0030151                       EnggStore</v>
          </cell>
          <cell r="E5343">
            <v>0</v>
          </cell>
          <cell r="F5343" t="str">
            <v>ND No planning</v>
          </cell>
          <cell r="G5343" t="str">
            <v>ERSA Spare parts</v>
          </cell>
          <cell r="H5343" t="str">
            <v>EN039     PlantEquipmentSpares</v>
          </cell>
          <cell r="I5343" t="str">
            <v>L003 Ankleshwar</v>
          </cell>
          <cell r="J5343" t="str">
            <v>99 Input/Byprodt/Scrap</v>
          </cell>
          <cell r="K5343" t="str">
            <v>10.2012</v>
          </cell>
          <cell r="L5343">
            <v>6</v>
          </cell>
          <cell r="M5343" t="str">
            <v>EA</v>
          </cell>
          <cell r="N5343">
            <v>14691.43</v>
          </cell>
          <cell r="O5343" t="str">
            <v>INR</v>
          </cell>
        </row>
        <row r="5344">
          <cell r="A5344" t="str">
            <v>L003 Ankleshwar</v>
          </cell>
          <cell r="B5344">
            <v>685657</v>
          </cell>
          <cell r="C5344" t="str">
            <v>CABLE JOINTING KIT : 3Cx2.5 Sq.MM.</v>
          </cell>
          <cell r="D5344" t="str">
            <v>L0030151                       EnggStore</v>
          </cell>
          <cell r="E5344">
            <v>0</v>
          </cell>
          <cell r="F5344" t="str">
            <v>ND No planning</v>
          </cell>
          <cell r="G5344" t="str">
            <v>ERSA Spare parts</v>
          </cell>
          <cell r="H5344" t="str">
            <v>EN004     Cable &amp; Cable Acc.</v>
          </cell>
          <cell r="I5344" t="str">
            <v>L003 Ankleshwar</v>
          </cell>
          <cell r="J5344" t="str">
            <v>99 Input/Byprodt/Scrap</v>
          </cell>
          <cell r="K5344" t="str">
            <v>10.2012</v>
          </cell>
          <cell r="L5344">
            <v>3</v>
          </cell>
          <cell r="M5344" t="str">
            <v>EA</v>
          </cell>
          <cell r="N5344">
            <v>1284</v>
          </cell>
          <cell r="O5344" t="str">
            <v>INR</v>
          </cell>
        </row>
        <row r="5345">
          <cell r="A5345" t="str">
            <v>L003 Ankleshwar</v>
          </cell>
          <cell r="B5345">
            <v>685671</v>
          </cell>
          <cell r="C5345" t="str">
            <v>DIGITAL MULTIMETER</v>
          </cell>
          <cell r="D5345" t="str">
            <v>L0030151                       EnggStore</v>
          </cell>
          <cell r="E5345">
            <v>0</v>
          </cell>
          <cell r="F5345" t="str">
            <v>ND No planning</v>
          </cell>
          <cell r="G5345" t="str">
            <v>ERSA Spare parts</v>
          </cell>
          <cell r="H5345" t="str">
            <v>EN017     InstrumentSpares</v>
          </cell>
          <cell r="I5345" t="str">
            <v>L003 Ankleshwar</v>
          </cell>
          <cell r="J5345" t="str">
            <v>99 Input/Byprodt/Scrap</v>
          </cell>
          <cell r="K5345" t="str">
            <v>10.2012</v>
          </cell>
          <cell r="L5345">
            <v>2</v>
          </cell>
          <cell r="M5345" t="str">
            <v>EA</v>
          </cell>
          <cell r="N5345">
            <v>3774</v>
          </cell>
          <cell r="O5345" t="str">
            <v>INR</v>
          </cell>
        </row>
        <row r="5346">
          <cell r="A5346" t="str">
            <v>L003 Ankleshwar</v>
          </cell>
          <cell r="B5346">
            <v>685723</v>
          </cell>
          <cell r="C5346" t="str">
            <v>VITON O RING-HI-FAB:DSBC(0444)PT NO.1</v>
          </cell>
          <cell r="D5346" t="str">
            <v>L0030151                       EnggStore</v>
          </cell>
          <cell r="E5346" t="str">
            <v>E01 E01</v>
          </cell>
          <cell r="F5346" t="str">
            <v>VB Manual reorder point planning</v>
          </cell>
          <cell r="G5346" t="str">
            <v>ERSA Spare parts</v>
          </cell>
          <cell r="H5346" t="str">
            <v>EN038     MechanicalSeals&amp;Spar</v>
          </cell>
          <cell r="I5346" t="str">
            <v>L003 Ankleshwar</v>
          </cell>
          <cell r="J5346" t="str">
            <v>99 Input/Byprodt/Scrap</v>
          </cell>
          <cell r="K5346" t="str">
            <v>10.2012</v>
          </cell>
          <cell r="L5346">
            <v>2</v>
          </cell>
          <cell r="M5346" t="str">
            <v>EA</v>
          </cell>
          <cell r="N5346">
            <v>926.1</v>
          </cell>
          <cell r="O5346" t="str">
            <v>INR</v>
          </cell>
        </row>
        <row r="5347">
          <cell r="A5347" t="str">
            <v>L003 Ankleshwar</v>
          </cell>
          <cell r="B5347">
            <v>685724</v>
          </cell>
          <cell r="C5347" t="str">
            <v>VITON O RING-HI-FAB:DSBC(0444)PT NO.2</v>
          </cell>
          <cell r="D5347" t="str">
            <v>L0030151                       EnggStore</v>
          </cell>
          <cell r="E5347" t="str">
            <v>E01 E01</v>
          </cell>
          <cell r="F5347" t="str">
            <v>VB Manual reorder point planning</v>
          </cell>
          <cell r="G5347" t="str">
            <v>ERSA Spare parts</v>
          </cell>
          <cell r="H5347" t="str">
            <v>EN038     MechanicalSeals&amp;Spar</v>
          </cell>
          <cell r="I5347" t="str">
            <v>L003 Ankleshwar</v>
          </cell>
          <cell r="J5347" t="str">
            <v>99 Input/Byprodt/Scrap</v>
          </cell>
          <cell r="K5347" t="str">
            <v>10.2012</v>
          </cell>
          <cell r="L5347">
            <v>4</v>
          </cell>
          <cell r="M5347" t="str">
            <v>EA</v>
          </cell>
          <cell r="N5347">
            <v>2315.2399999999898</v>
          </cell>
          <cell r="O5347" t="str">
            <v>INR</v>
          </cell>
        </row>
        <row r="5348">
          <cell r="A5348" t="str">
            <v>L003 Ankleshwar</v>
          </cell>
          <cell r="B5348">
            <v>685727</v>
          </cell>
          <cell r="C5348" t="str">
            <v>SS 316 SLEEVE-HI-FAB:DSBC(0444)</v>
          </cell>
          <cell r="D5348" t="str">
            <v>L0030151                       EnggStore</v>
          </cell>
          <cell r="E5348" t="str">
            <v>E01 E01</v>
          </cell>
          <cell r="F5348" t="str">
            <v>VB Manual reorder point planning</v>
          </cell>
          <cell r="G5348" t="str">
            <v>ERSA Spare parts</v>
          </cell>
          <cell r="H5348" t="str">
            <v>EN038     MechanicalSeals&amp;Spar</v>
          </cell>
          <cell r="I5348" t="str">
            <v>L003 Ankleshwar</v>
          </cell>
          <cell r="J5348" t="str">
            <v>99 Input/Byprodt/Scrap</v>
          </cell>
          <cell r="K5348" t="str">
            <v>10.2012</v>
          </cell>
          <cell r="L5348">
            <v>2</v>
          </cell>
          <cell r="M5348" t="str">
            <v>EA</v>
          </cell>
          <cell r="N5348">
            <v>4516.8999999999896</v>
          </cell>
          <cell r="O5348" t="str">
            <v>INR</v>
          </cell>
        </row>
        <row r="5349">
          <cell r="A5349" t="str">
            <v>L003 Ankleshwar</v>
          </cell>
          <cell r="B5349">
            <v>685729</v>
          </cell>
          <cell r="C5349" t="str">
            <v>GFT SUPPORT RING-HI-FAB:DSBC(0444)</v>
          </cell>
          <cell r="D5349" t="str">
            <v>L0030151                       EnggStore</v>
          </cell>
          <cell r="E5349" t="str">
            <v>E01 E01</v>
          </cell>
          <cell r="F5349" t="str">
            <v>VB Manual reorder point planning</v>
          </cell>
          <cell r="G5349" t="str">
            <v>ERSA Spare parts</v>
          </cell>
          <cell r="H5349" t="str">
            <v>EN038     MechanicalSeals&amp;Spar</v>
          </cell>
          <cell r="I5349" t="str">
            <v>L003 Ankleshwar</v>
          </cell>
          <cell r="J5349" t="str">
            <v>99 Input/Byprodt/Scrap</v>
          </cell>
          <cell r="K5349" t="str">
            <v>10.2012</v>
          </cell>
          <cell r="L5349">
            <v>3</v>
          </cell>
          <cell r="M5349" t="str">
            <v>EA</v>
          </cell>
          <cell r="N5349">
            <v>961.03999999999905</v>
          </cell>
          <cell r="O5349" t="str">
            <v>INR</v>
          </cell>
        </row>
        <row r="5350">
          <cell r="A5350" t="str">
            <v>L003 Ankleshwar</v>
          </cell>
          <cell r="B5350">
            <v>685730</v>
          </cell>
          <cell r="C5350" t="str">
            <v>SS 316 SPRING-HI-FAB:DSBC(0444)</v>
          </cell>
          <cell r="D5350" t="str">
            <v>L0030151                       EnggStore</v>
          </cell>
          <cell r="E5350" t="str">
            <v>E01 E01</v>
          </cell>
          <cell r="F5350" t="str">
            <v>VB Manual reorder point planning</v>
          </cell>
          <cell r="G5350" t="str">
            <v>ERSA Spare parts</v>
          </cell>
          <cell r="H5350" t="str">
            <v>EN038     MechanicalSeals&amp;Spar</v>
          </cell>
          <cell r="I5350" t="str">
            <v>L003 Ankleshwar</v>
          </cell>
          <cell r="J5350" t="str">
            <v>99 Input/Byprodt/Scrap</v>
          </cell>
          <cell r="K5350" t="str">
            <v>10.2012</v>
          </cell>
          <cell r="L5350">
            <v>1</v>
          </cell>
          <cell r="M5350" t="str">
            <v>SET</v>
          </cell>
          <cell r="N5350">
            <v>754.27999999999895</v>
          </cell>
          <cell r="O5350" t="str">
            <v>INR</v>
          </cell>
        </row>
        <row r="5351">
          <cell r="A5351" t="str">
            <v>L003 Ankleshwar</v>
          </cell>
          <cell r="B5351">
            <v>685731</v>
          </cell>
          <cell r="C5351" t="str">
            <v>VITON O RING-HI-FAB:DSBC(0444)PT NO.9</v>
          </cell>
          <cell r="D5351" t="str">
            <v>L0030151                       EnggStore</v>
          </cell>
          <cell r="E5351" t="str">
            <v>E01 E01</v>
          </cell>
          <cell r="F5351" t="str">
            <v>VB Manual reorder point planning</v>
          </cell>
          <cell r="G5351" t="str">
            <v>ERSA Spare parts</v>
          </cell>
          <cell r="H5351" t="str">
            <v>EN038     MechanicalSeals&amp;Spar</v>
          </cell>
          <cell r="I5351" t="str">
            <v>L003 Ankleshwar</v>
          </cell>
          <cell r="J5351" t="str">
            <v>99 Input/Byprodt/Scrap</v>
          </cell>
          <cell r="K5351" t="str">
            <v>10.2012</v>
          </cell>
          <cell r="L5351">
            <v>1</v>
          </cell>
          <cell r="M5351" t="str">
            <v>EA</v>
          </cell>
          <cell r="N5351">
            <v>926.09</v>
          </cell>
          <cell r="O5351" t="str">
            <v>INR</v>
          </cell>
        </row>
        <row r="5352">
          <cell r="A5352" t="str">
            <v>L003 Ankleshwar</v>
          </cell>
          <cell r="B5352">
            <v>685733</v>
          </cell>
          <cell r="C5352" t="str">
            <v>SS316 THRUST WASHER-SP-HIFAB:DSBC(0444)</v>
          </cell>
          <cell r="D5352" t="str">
            <v>L0030151                       EnggStore</v>
          </cell>
          <cell r="E5352" t="str">
            <v>E01 E01</v>
          </cell>
          <cell r="F5352" t="str">
            <v>VB Manual reorder point planning</v>
          </cell>
          <cell r="G5352" t="str">
            <v>ERSA Spare parts</v>
          </cell>
          <cell r="H5352" t="str">
            <v>EN038     MechanicalSeals&amp;Spar</v>
          </cell>
          <cell r="I5352" t="str">
            <v>L003 Ankleshwar</v>
          </cell>
          <cell r="J5352" t="str">
            <v>99 Input/Byprodt/Scrap</v>
          </cell>
          <cell r="K5352" t="str">
            <v>10.2012</v>
          </cell>
          <cell r="L5352">
            <v>2</v>
          </cell>
          <cell r="M5352" t="str">
            <v>EA</v>
          </cell>
          <cell r="N5352">
            <v>1159.0999999999899</v>
          </cell>
          <cell r="O5352" t="str">
            <v>INR</v>
          </cell>
        </row>
        <row r="5353">
          <cell r="A5353" t="str">
            <v>L003 Ankleshwar</v>
          </cell>
          <cell r="B5353">
            <v>685734</v>
          </cell>
          <cell r="C5353" t="str">
            <v>VITON O RING-HI-FAB:DSBC(0444)PT NO12</v>
          </cell>
          <cell r="D5353" t="str">
            <v>L0030151                       EnggStore</v>
          </cell>
          <cell r="E5353" t="str">
            <v>E01 E01</v>
          </cell>
          <cell r="F5353" t="str">
            <v>VB Manual reorder point planning</v>
          </cell>
          <cell r="G5353" t="str">
            <v>ERSA Spare parts</v>
          </cell>
          <cell r="H5353" t="str">
            <v>EN038     MechanicalSeals&amp;Spar</v>
          </cell>
          <cell r="I5353" t="str">
            <v>L003 Ankleshwar</v>
          </cell>
          <cell r="J5353" t="str">
            <v>99 Input/Byprodt/Scrap</v>
          </cell>
          <cell r="K5353" t="str">
            <v>10.2012</v>
          </cell>
          <cell r="L5353">
            <v>2</v>
          </cell>
          <cell r="M5353" t="str">
            <v>EA</v>
          </cell>
          <cell r="N5353">
            <v>1112.3199999999899</v>
          </cell>
          <cell r="O5353" t="str">
            <v>INR</v>
          </cell>
        </row>
        <row r="5354">
          <cell r="A5354" t="str">
            <v>L003 Ankleshwar</v>
          </cell>
          <cell r="B5354">
            <v>685737</v>
          </cell>
          <cell r="C5354" t="str">
            <v>VITON O RING-HI-FAB:DSBC(0444)PT NO15</v>
          </cell>
          <cell r="D5354" t="str">
            <v>L0030151                       EnggStore</v>
          </cell>
          <cell r="E5354" t="str">
            <v>E01 E01</v>
          </cell>
          <cell r="F5354" t="str">
            <v>VB Manual reorder point planning</v>
          </cell>
          <cell r="G5354" t="str">
            <v>ERSA Spare parts</v>
          </cell>
          <cell r="H5354" t="str">
            <v>EN038     MechanicalSeals&amp;Spar</v>
          </cell>
          <cell r="I5354" t="str">
            <v>L003 Ankleshwar</v>
          </cell>
          <cell r="J5354" t="str">
            <v>99 Input/Byprodt/Scrap</v>
          </cell>
          <cell r="K5354" t="str">
            <v>10.2012</v>
          </cell>
          <cell r="L5354">
            <v>2</v>
          </cell>
          <cell r="M5354" t="str">
            <v>EA</v>
          </cell>
          <cell r="N5354">
            <v>1201.4000000000001</v>
          </cell>
          <cell r="O5354" t="str">
            <v>INR</v>
          </cell>
        </row>
        <row r="5355">
          <cell r="A5355" t="str">
            <v>L003 Ankleshwar</v>
          </cell>
          <cell r="B5355">
            <v>685738</v>
          </cell>
          <cell r="C5355" t="str">
            <v>VITON O RING-HI-FAB:DSBC(0444)PT NO16</v>
          </cell>
          <cell r="D5355" t="str">
            <v>L0030151                       EnggStore</v>
          </cell>
          <cell r="E5355" t="str">
            <v>E01 E01</v>
          </cell>
          <cell r="F5355" t="str">
            <v>VB Manual reorder point planning</v>
          </cell>
          <cell r="G5355" t="str">
            <v>ERSA Spare parts</v>
          </cell>
          <cell r="H5355" t="str">
            <v>EN038     MechanicalSeals&amp;Spar</v>
          </cell>
          <cell r="I5355" t="str">
            <v>L003 Ankleshwar</v>
          </cell>
          <cell r="J5355" t="str">
            <v>99 Input/Byprodt/Scrap</v>
          </cell>
          <cell r="K5355" t="str">
            <v>10.2012</v>
          </cell>
          <cell r="L5355">
            <v>4</v>
          </cell>
          <cell r="M5355" t="str">
            <v>EA</v>
          </cell>
          <cell r="N5355">
            <v>1735.76</v>
          </cell>
          <cell r="O5355" t="str">
            <v>INR</v>
          </cell>
        </row>
        <row r="5356">
          <cell r="A5356" t="str">
            <v>L003 Ankleshwar</v>
          </cell>
          <cell r="B5356">
            <v>685739</v>
          </cell>
          <cell r="C5356" t="str">
            <v>HTS GRUB SCREW-HI-FAB:DSBC(0444)</v>
          </cell>
          <cell r="D5356" t="str">
            <v>L0030151                       EnggStore</v>
          </cell>
          <cell r="E5356" t="str">
            <v>E01 E01</v>
          </cell>
          <cell r="F5356" t="str">
            <v>VB Manual reorder point planning</v>
          </cell>
          <cell r="G5356" t="str">
            <v>ERSA Spare parts</v>
          </cell>
          <cell r="H5356" t="str">
            <v>EN038     MechanicalSeals&amp;Spar</v>
          </cell>
          <cell r="I5356" t="str">
            <v>L003 Ankleshwar</v>
          </cell>
          <cell r="J5356" t="str">
            <v>99 Input/Byprodt/Scrap</v>
          </cell>
          <cell r="K5356" t="str">
            <v>10.2012</v>
          </cell>
          <cell r="L5356">
            <v>2</v>
          </cell>
          <cell r="M5356" t="str">
            <v>SET</v>
          </cell>
          <cell r="N5356">
            <v>817.7</v>
          </cell>
          <cell r="O5356" t="str">
            <v>INR</v>
          </cell>
        </row>
        <row r="5357">
          <cell r="A5357" t="str">
            <v>L003 Ankleshwar</v>
          </cell>
          <cell r="B5357">
            <v>685741</v>
          </cell>
          <cell r="C5357" t="str">
            <v>SS316 DOG POINT SCREW-HI-FAB:DSBC(0444)</v>
          </cell>
          <cell r="D5357" t="str">
            <v>L0030151                       EnggStore</v>
          </cell>
          <cell r="E5357" t="str">
            <v>E01 E01</v>
          </cell>
          <cell r="F5357" t="str">
            <v>VB Manual reorder point planning</v>
          </cell>
          <cell r="G5357" t="str">
            <v>ERSA Spare parts</v>
          </cell>
          <cell r="H5357" t="str">
            <v>EN038     MechanicalSeals&amp;Spar</v>
          </cell>
          <cell r="I5357" t="str">
            <v>L003 Ankleshwar</v>
          </cell>
          <cell r="J5357" t="str">
            <v>99 Input/Byprodt/Scrap</v>
          </cell>
          <cell r="K5357" t="str">
            <v>10.2012</v>
          </cell>
          <cell r="L5357">
            <v>1</v>
          </cell>
          <cell r="M5357" t="str">
            <v>SET</v>
          </cell>
          <cell r="N5357">
            <v>522.38</v>
          </cell>
          <cell r="O5357" t="str">
            <v>INR</v>
          </cell>
        </row>
        <row r="5358">
          <cell r="A5358" t="str">
            <v>L003 Ankleshwar</v>
          </cell>
          <cell r="B5358">
            <v>685743</v>
          </cell>
          <cell r="C5358" t="str">
            <v>PTFE GASKET-HI-FAB:DSBC(0444)</v>
          </cell>
          <cell r="D5358" t="str">
            <v>L0030151                       EnggStore</v>
          </cell>
          <cell r="E5358" t="str">
            <v>E01 E01</v>
          </cell>
          <cell r="F5358" t="str">
            <v>VB Manual reorder point planning</v>
          </cell>
          <cell r="G5358" t="str">
            <v>ERSA Spare parts</v>
          </cell>
          <cell r="H5358" t="str">
            <v>EN038     MechanicalSeals&amp;Spar</v>
          </cell>
          <cell r="I5358" t="str">
            <v>L003 Ankleshwar</v>
          </cell>
          <cell r="J5358" t="str">
            <v>99 Input/Byprodt/Scrap</v>
          </cell>
          <cell r="K5358" t="str">
            <v>10.2012</v>
          </cell>
          <cell r="L5358">
            <v>2</v>
          </cell>
          <cell r="M5358" t="str">
            <v>EA</v>
          </cell>
          <cell r="N5358">
            <v>720.17999999999904</v>
          </cell>
          <cell r="O5358" t="str">
            <v>INR</v>
          </cell>
        </row>
        <row r="5359">
          <cell r="A5359" t="str">
            <v>L003 Ankleshwar</v>
          </cell>
          <cell r="B5359">
            <v>685748</v>
          </cell>
          <cell r="C5359" t="str">
            <v>TC ROTARY FACE-CS-HIFAB:DSBC(0600)</v>
          </cell>
          <cell r="D5359" t="str">
            <v>L0030151                       EnggStore</v>
          </cell>
          <cell r="E5359" t="str">
            <v>E01 E01</v>
          </cell>
          <cell r="F5359" t="str">
            <v>ND No planning</v>
          </cell>
          <cell r="G5359" t="str">
            <v>ERSA Spare parts</v>
          </cell>
          <cell r="H5359" t="str">
            <v>EN038     MechanicalSeals&amp;Spar</v>
          </cell>
          <cell r="I5359" t="str">
            <v>L003 Ankleshwar</v>
          </cell>
          <cell r="J5359" t="str">
            <v>99 Input/Byprodt/Scrap</v>
          </cell>
          <cell r="K5359" t="str">
            <v>10.2012</v>
          </cell>
          <cell r="L5359">
            <v>2</v>
          </cell>
          <cell r="M5359" t="str">
            <v>EA</v>
          </cell>
          <cell r="N5359">
            <v>27604.57</v>
          </cell>
          <cell r="O5359" t="str">
            <v>INR</v>
          </cell>
        </row>
        <row r="5360">
          <cell r="A5360" t="str">
            <v>L003 Ankleshwar</v>
          </cell>
          <cell r="B5360">
            <v>685750</v>
          </cell>
          <cell r="C5360" t="str">
            <v>SS 316 SLEEVE-HI-FAB:DSBC(0600)</v>
          </cell>
          <cell r="D5360" t="str">
            <v>L0030151                       EnggStore</v>
          </cell>
          <cell r="E5360" t="str">
            <v>E01 E01</v>
          </cell>
          <cell r="F5360" t="str">
            <v>VB Manual reorder point planning</v>
          </cell>
          <cell r="G5360" t="str">
            <v>ERSA Spare parts</v>
          </cell>
          <cell r="H5360" t="str">
            <v>EN038     MechanicalSeals&amp;Spar</v>
          </cell>
          <cell r="I5360" t="str">
            <v>L003 Ankleshwar</v>
          </cell>
          <cell r="J5360" t="str">
            <v>99 Input/Byprodt/Scrap</v>
          </cell>
          <cell r="K5360" t="str">
            <v>10.2012</v>
          </cell>
          <cell r="L5360">
            <v>1</v>
          </cell>
          <cell r="M5360" t="str">
            <v>EA</v>
          </cell>
          <cell r="N5360">
            <v>5028.54</v>
          </cell>
          <cell r="O5360" t="str">
            <v>INR</v>
          </cell>
        </row>
        <row r="5361">
          <cell r="A5361" t="str">
            <v>L003 Ankleshwar</v>
          </cell>
          <cell r="B5361">
            <v>685756</v>
          </cell>
          <cell r="C5361" t="str">
            <v>SS316 THRUST WASHER-SP-HIFAB:DSBC(0600)</v>
          </cell>
          <cell r="D5361" t="str">
            <v>L0030151                       EnggStore</v>
          </cell>
          <cell r="E5361" t="str">
            <v>E01 E01</v>
          </cell>
          <cell r="F5361" t="str">
            <v>VB Manual reorder point planning</v>
          </cell>
          <cell r="G5361" t="str">
            <v>ERSA Spare parts</v>
          </cell>
          <cell r="H5361" t="str">
            <v>EN038     MechanicalSeals&amp;Spar</v>
          </cell>
          <cell r="I5361" t="str">
            <v>L003 Ankleshwar</v>
          </cell>
          <cell r="J5361" t="str">
            <v>99 Input/Byprodt/Scrap</v>
          </cell>
          <cell r="K5361" t="str">
            <v>10.2012</v>
          </cell>
          <cell r="L5361">
            <v>2</v>
          </cell>
          <cell r="M5361" t="str">
            <v>EA</v>
          </cell>
          <cell r="N5361">
            <v>1713.43</v>
          </cell>
          <cell r="O5361" t="str">
            <v>INR</v>
          </cell>
        </row>
        <row r="5362">
          <cell r="A5362" t="str">
            <v>L003 Ankleshwar</v>
          </cell>
          <cell r="B5362">
            <v>685759</v>
          </cell>
          <cell r="C5362" t="str">
            <v>TC ROTARY FACE-CS-HI-FAB:DSBC(0600)</v>
          </cell>
          <cell r="D5362" t="str">
            <v>L0030151                       EnggStore</v>
          </cell>
          <cell r="E5362" t="str">
            <v>E01 E01</v>
          </cell>
          <cell r="F5362" t="str">
            <v>VB Manual reorder point planning</v>
          </cell>
          <cell r="G5362" t="str">
            <v>ERSA Spare parts</v>
          </cell>
          <cell r="H5362" t="str">
            <v>EN038     MechanicalSeals&amp;Spar</v>
          </cell>
          <cell r="I5362" t="str">
            <v>L003 Ankleshwar</v>
          </cell>
          <cell r="J5362" t="str">
            <v>99 Input/Byprodt/Scrap</v>
          </cell>
          <cell r="K5362" t="str">
            <v>10.2012</v>
          </cell>
          <cell r="L5362">
            <v>1</v>
          </cell>
          <cell r="M5362" t="str">
            <v>EA</v>
          </cell>
          <cell r="N5362">
            <v>13871.209999999901</v>
          </cell>
          <cell r="O5362" t="str">
            <v>INR</v>
          </cell>
        </row>
        <row r="5363">
          <cell r="A5363" t="str">
            <v>L003 Ankleshwar</v>
          </cell>
          <cell r="B5363">
            <v>685764</v>
          </cell>
          <cell r="C5363" t="str">
            <v>SS316 DOG POINT SCREW-HI-FAB:DSBC(0600)</v>
          </cell>
          <cell r="D5363" t="str">
            <v>L0030151                       EnggStore</v>
          </cell>
          <cell r="E5363" t="str">
            <v>E01 E01</v>
          </cell>
          <cell r="F5363" t="str">
            <v>VB Manual reorder point planning</v>
          </cell>
          <cell r="G5363" t="str">
            <v>ERSA Spare parts</v>
          </cell>
          <cell r="H5363" t="str">
            <v>EN038     MechanicalSeals&amp;Spar</v>
          </cell>
          <cell r="I5363" t="str">
            <v>L003 Ankleshwar</v>
          </cell>
          <cell r="J5363" t="str">
            <v>99 Input/Byprodt/Scrap</v>
          </cell>
          <cell r="K5363" t="str">
            <v>10.2012</v>
          </cell>
          <cell r="L5363">
            <v>2</v>
          </cell>
          <cell r="M5363" t="str">
            <v>SET</v>
          </cell>
          <cell r="N5363">
            <v>1096.17</v>
          </cell>
          <cell r="O5363" t="str">
            <v>INR</v>
          </cell>
        </row>
        <row r="5364">
          <cell r="A5364" t="str">
            <v>L003 Ankleshwar</v>
          </cell>
          <cell r="B5364">
            <v>685765</v>
          </cell>
          <cell r="C5364" t="str">
            <v>SS304 ALLEN SCREW-HI-FAB:DSBC(0600)</v>
          </cell>
          <cell r="D5364" t="str">
            <v>L0030151                       EnggStore</v>
          </cell>
          <cell r="E5364" t="str">
            <v>E01 E01</v>
          </cell>
          <cell r="F5364" t="str">
            <v>VB Manual reorder point planning</v>
          </cell>
          <cell r="G5364" t="str">
            <v>ERSA Spare parts</v>
          </cell>
          <cell r="H5364" t="str">
            <v>EN038     MechanicalSeals&amp;Spar</v>
          </cell>
          <cell r="I5364" t="str">
            <v>L003 Ankleshwar</v>
          </cell>
          <cell r="J5364" t="str">
            <v>99 Input/Byprodt/Scrap</v>
          </cell>
          <cell r="K5364" t="str">
            <v>10.2012</v>
          </cell>
          <cell r="L5364">
            <v>1</v>
          </cell>
          <cell r="M5364" t="str">
            <v>SET</v>
          </cell>
          <cell r="N5364">
            <v>425.12</v>
          </cell>
          <cell r="O5364" t="str">
            <v>INR</v>
          </cell>
        </row>
        <row r="5365">
          <cell r="A5365" t="str">
            <v>L003 Ankleshwar</v>
          </cell>
          <cell r="B5365">
            <v>685766</v>
          </cell>
          <cell r="C5365" t="str">
            <v>PTFE GASKET-HI-FAB:DSBC(0600)</v>
          </cell>
          <cell r="D5365" t="str">
            <v>L0030151                       EnggStore</v>
          </cell>
          <cell r="E5365" t="str">
            <v>E01 E01</v>
          </cell>
          <cell r="F5365" t="str">
            <v>VB Manual reorder point planning</v>
          </cell>
          <cell r="G5365" t="str">
            <v>ERSA Spare parts</v>
          </cell>
          <cell r="H5365" t="str">
            <v>EN038     MechanicalSeals&amp;Spar</v>
          </cell>
          <cell r="I5365" t="str">
            <v>L003 Ankleshwar</v>
          </cell>
          <cell r="J5365" t="str">
            <v>99 Input/Byprodt/Scrap</v>
          </cell>
          <cell r="K5365" t="str">
            <v>10.2012</v>
          </cell>
          <cell r="L5365">
            <v>1</v>
          </cell>
          <cell r="M5365" t="str">
            <v>EA</v>
          </cell>
          <cell r="N5365">
            <v>426.58999999999901</v>
          </cell>
          <cell r="O5365" t="str">
            <v>INR</v>
          </cell>
        </row>
        <row r="5366">
          <cell r="A5366" t="str">
            <v>L003 Ankleshwar</v>
          </cell>
          <cell r="B5366">
            <v>685767</v>
          </cell>
          <cell r="C5366" t="str">
            <v>ALU. SETTING CLAMP-HI-FAB:DSBC(0600)</v>
          </cell>
          <cell r="D5366" t="str">
            <v>L0030151                       EnggStore</v>
          </cell>
          <cell r="E5366" t="str">
            <v>E01 E01</v>
          </cell>
          <cell r="F5366" t="str">
            <v>VB Manual reorder point planning</v>
          </cell>
          <cell r="G5366" t="str">
            <v>ERSA Spare parts</v>
          </cell>
          <cell r="H5366" t="str">
            <v>EN038     MechanicalSeals&amp;Spar</v>
          </cell>
          <cell r="I5366" t="str">
            <v>L003 Ankleshwar</v>
          </cell>
          <cell r="J5366" t="str">
            <v>99 Input/Byprodt/Scrap</v>
          </cell>
          <cell r="K5366" t="str">
            <v>10.2012</v>
          </cell>
          <cell r="L5366">
            <v>2</v>
          </cell>
          <cell r="M5366" t="str">
            <v>EA</v>
          </cell>
          <cell r="N5366">
            <v>160.63</v>
          </cell>
          <cell r="O5366" t="str">
            <v>INR</v>
          </cell>
        </row>
        <row r="5367">
          <cell r="A5367" t="str">
            <v>L003 Ankleshwar</v>
          </cell>
          <cell r="B5367">
            <v>685768</v>
          </cell>
          <cell r="C5367" t="str">
            <v>SS304 ALLEN CAP SCREW-HI-FAB:DSBC(0600)</v>
          </cell>
          <cell r="D5367" t="str">
            <v>L0030151                       EnggStore</v>
          </cell>
          <cell r="E5367" t="str">
            <v>E01 E01</v>
          </cell>
          <cell r="F5367" t="str">
            <v>VB Manual reorder point planning</v>
          </cell>
          <cell r="G5367" t="str">
            <v>ERSA Spare parts</v>
          </cell>
          <cell r="H5367" t="str">
            <v>EN038     MechanicalSeals&amp;Spar</v>
          </cell>
          <cell r="I5367" t="str">
            <v>L003 Ankleshwar</v>
          </cell>
          <cell r="J5367" t="str">
            <v>99 Input/Byprodt/Scrap</v>
          </cell>
          <cell r="K5367" t="str">
            <v>10.2012</v>
          </cell>
          <cell r="L5367">
            <v>2</v>
          </cell>
          <cell r="M5367" t="str">
            <v>EA</v>
          </cell>
          <cell r="N5367">
            <v>134.09</v>
          </cell>
          <cell r="O5367" t="str">
            <v>INR</v>
          </cell>
        </row>
        <row r="5368">
          <cell r="A5368" t="str">
            <v>L003 Ankleshwar</v>
          </cell>
          <cell r="B5368">
            <v>685770</v>
          </cell>
          <cell r="C5368" t="str">
            <v>PTFE GASKET-HI-FAB:DSBC(0600)</v>
          </cell>
          <cell r="D5368" t="str">
            <v>L0030151                       EnggStore</v>
          </cell>
          <cell r="E5368" t="str">
            <v>E01 E01</v>
          </cell>
          <cell r="F5368" t="str">
            <v>VB Manual reorder point planning</v>
          </cell>
          <cell r="G5368" t="str">
            <v>ERSA Spare parts</v>
          </cell>
          <cell r="H5368" t="str">
            <v>EN038     MechanicalSeals&amp;Spar</v>
          </cell>
          <cell r="I5368" t="str">
            <v>L003 Ankleshwar</v>
          </cell>
          <cell r="J5368" t="str">
            <v>99 Input/Byprodt/Scrap</v>
          </cell>
          <cell r="K5368" t="str">
            <v>10.2012</v>
          </cell>
          <cell r="L5368">
            <v>2</v>
          </cell>
          <cell r="M5368" t="str">
            <v>EA</v>
          </cell>
          <cell r="N5368">
            <v>869.71</v>
          </cell>
          <cell r="O5368" t="str">
            <v>INR</v>
          </cell>
        </row>
        <row r="5369">
          <cell r="A5369" t="str">
            <v>L003 Ankleshwar</v>
          </cell>
          <cell r="B5369">
            <v>685771</v>
          </cell>
          <cell r="C5369" t="str">
            <v>HTS ALLEN CAP SCREW-HI-FAB:DSBC(0600)</v>
          </cell>
          <cell r="D5369" t="str">
            <v>L0030151                       EnggStore</v>
          </cell>
          <cell r="E5369" t="str">
            <v>E01 E01</v>
          </cell>
          <cell r="F5369" t="str">
            <v>VB Manual reorder point planning</v>
          </cell>
          <cell r="G5369" t="str">
            <v>ERSA Spare parts</v>
          </cell>
          <cell r="H5369" t="str">
            <v>EN038     MechanicalSeals&amp;Spar</v>
          </cell>
          <cell r="I5369" t="str">
            <v>L003 Ankleshwar</v>
          </cell>
          <cell r="J5369" t="str">
            <v>99 Input/Byprodt/Scrap</v>
          </cell>
          <cell r="K5369" t="str">
            <v>10.2012</v>
          </cell>
          <cell r="L5369">
            <v>2</v>
          </cell>
          <cell r="M5369" t="str">
            <v>EA</v>
          </cell>
          <cell r="N5369">
            <v>194.16</v>
          </cell>
          <cell r="O5369" t="str">
            <v>INR</v>
          </cell>
        </row>
        <row r="5370">
          <cell r="A5370" t="str">
            <v>L003 Ankleshwar</v>
          </cell>
          <cell r="B5370">
            <v>685789</v>
          </cell>
          <cell r="C5370" t="str">
            <v>SS EARTHING U CLAMP:1X25 MM,14MM HOLE</v>
          </cell>
          <cell r="D5370" t="str">
            <v>L0030151                       EnggStore</v>
          </cell>
          <cell r="E5370">
            <v>0</v>
          </cell>
          <cell r="F5370" t="str">
            <v>ND No planning</v>
          </cell>
          <cell r="G5370" t="str">
            <v>ERSA Spare parts</v>
          </cell>
          <cell r="H5370" t="str">
            <v>PS003     Electricals</v>
          </cell>
          <cell r="I5370" t="str">
            <v>L003 Ankleshwar</v>
          </cell>
          <cell r="J5370" t="str">
            <v>99 Input/Byprodt/Scrap</v>
          </cell>
          <cell r="K5370" t="str">
            <v>10.2012</v>
          </cell>
          <cell r="L5370">
            <v>249</v>
          </cell>
          <cell r="M5370" t="str">
            <v>EA</v>
          </cell>
          <cell r="N5370">
            <v>3237</v>
          </cell>
          <cell r="O5370" t="str">
            <v>INR</v>
          </cell>
        </row>
        <row r="5371">
          <cell r="A5371" t="str">
            <v>L003 Ankleshwar</v>
          </cell>
          <cell r="B5371">
            <v>685872</v>
          </cell>
          <cell r="C5371" t="str">
            <v>Nylon coiled hose</v>
          </cell>
          <cell r="D5371" t="str">
            <v>L0030151                       EnggStore</v>
          </cell>
          <cell r="E5371">
            <v>0</v>
          </cell>
          <cell r="F5371" t="str">
            <v>ND No planning</v>
          </cell>
          <cell r="G5371" t="str">
            <v>ERSA Spare parts</v>
          </cell>
          <cell r="H5371" t="str">
            <v>EN017     InstrumentSpares</v>
          </cell>
          <cell r="I5371" t="str">
            <v>L003 Ankleshwar</v>
          </cell>
          <cell r="J5371" t="str">
            <v>99 Input/Byprodt/Scrap</v>
          </cell>
          <cell r="K5371" t="str">
            <v>10.2012</v>
          </cell>
          <cell r="L5371">
            <v>9</v>
          </cell>
          <cell r="M5371" t="str">
            <v>M</v>
          </cell>
          <cell r="N5371">
            <v>1075.8</v>
          </cell>
          <cell r="O5371" t="str">
            <v>INR</v>
          </cell>
        </row>
        <row r="5372">
          <cell r="A5372" t="str">
            <v>L003 Ankleshwar</v>
          </cell>
          <cell r="B5372">
            <v>685912</v>
          </cell>
          <cell r="C5372" t="str">
            <v>SILICON SEAT 6" BUTTER FLY VALVE</v>
          </cell>
          <cell r="D5372" t="str">
            <v>L0030151                       EnggStore</v>
          </cell>
          <cell r="E5372" t="str">
            <v>E37 E37</v>
          </cell>
          <cell r="F5372" t="str">
            <v>VB Manual reorder point planning</v>
          </cell>
          <cell r="G5372" t="str">
            <v>ERSA Spare parts</v>
          </cell>
          <cell r="H5372" t="str">
            <v>EN023     Valves&amp;spares</v>
          </cell>
          <cell r="I5372" t="str">
            <v>L003 Ankleshwar</v>
          </cell>
          <cell r="J5372" t="str">
            <v>99 Input/Byprodt/Scrap</v>
          </cell>
          <cell r="K5372" t="str">
            <v>10.2012</v>
          </cell>
          <cell r="L5372">
            <v>1</v>
          </cell>
          <cell r="M5372" t="str">
            <v>EA</v>
          </cell>
          <cell r="N5372">
            <v>3531.19</v>
          </cell>
          <cell r="O5372" t="str">
            <v>INR</v>
          </cell>
        </row>
        <row r="5373">
          <cell r="A5373" t="str">
            <v>L003 Ankleshwar</v>
          </cell>
          <cell r="B5373">
            <v>686458</v>
          </cell>
          <cell r="C5373" t="str">
            <v>PIPE SS304 ERW SCH-10 SIZE-1"</v>
          </cell>
          <cell r="D5373" t="str">
            <v>L0030201                       Cons StoreKP</v>
          </cell>
          <cell r="E5373">
            <v>0</v>
          </cell>
          <cell r="F5373" t="str">
            <v>ND No planning</v>
          </cell>
          <cell r="G5373" t="str">
            <v>ERSA Spare parts</v>
          </cell>
          <cell r="H5373" t="str">
            <v>EN028     Pipes&amp;pipefittings</v>
          </cell>
          <cell r="I5373" t="str">
            <v>L003 Ankleshwar</v>
          </cell>
          <cell r="J5373" t="str">
            <v>99 Input/Byprodt/Scrap</v>
          </cell>
          <cell r="K5373" t="str">
            <v>10.2012</v>
          </cell>
          <cell r="L5373">
            <v>18.68</v>
          </cell>
          <cell r="M5373" t="str">
            <v>M</v>
          </cell>
          <cell r="N5373">
            <v>6724.8</v>
          </cell>
          <cell r="O5373" t="str">
            <v>INR</v>
          </cell>
        </row>
        <row r="5374">
          <cell r="A5374" t="str">
            <v>L003 Ankleshwar</v>
          </cell>
          <cell r="B5374">
            <v>686459</v>
          </cell>
          <cell r="C5374" t="str">
            <v>SS304 LONG STUBEND ERW SCH-10 SIZE-1"</v>
          </cell>
          <cell r="D5374" t="str">
            <v>L0030151                       EnggStore</v>
          </cell>
          <cell r="E5374">
            <v>0</v>
          </cell>
          <cell r="F5374" t="str">
            <v>ND No planning</v>
          </cell>
          <cell r="G5374" t="str">
            <v>ERSA Spare parts</v>
          </cell>
          <cell r="H5374" t="str">
            <v>EN028     Pipes&amp;pipefittings</v>
          </cell>
          <cell r="I5374" t="str">
            <v>L003 Ankleshwar</v>
          </cell>
          <cell r="J5374" t="str">
            <v>99 Input/Byprodt/Scrap</v>
          </cell>
          <cell r="K5374" t="str">
            <v>10.2012</v>
          </cell>
          <cell r="L5374">
            <v>20</v>
          </cell>
          <cell r="M5374" t="str">
            <v>EA</v>
          </cell>
          <cell r="N5374">
            <v>925</v>
          </cell>
          <cell r="O5374" t="str">
            <v>INR</v>
          </cell>
        </row>
        <row r="5375">
          <cell r="A5375" t="str">
            <v>L003 Ankleshwar</v>
          </cell>
          <cell r="B5375">
            <v>686519</v>
          </cell>
          <cell r="C5375" t="str">
            <v>ELBOW SS304 ERW SCH-10 90DEG SIZE-25NB</v>
          </cell>
          <cell r="D5375" t="str">
            <v>L0030151                       EnggStore</v>
          </cell>
          <cell r="E5375">
            <v>0</v>
          </cell>
          <cell r="F5375" t="str">
            <v>ND No planning</v>
          </cell>
          <cell r="G5375" t="str">
            <v>ERSA Spare parts</v>
          </cell>
          <cell r="H5375" t="str">
            <v>EN028     Pipes&amp;pipefittings</v>
          </cell>
          <cell r="I5375" t="str">
            <v>L003 Ankleshwar</v>
          </cell>
          <cell r="J5375" t="str">
            <v>99 Input/Byprodt/Scrap</v>
          </cell>
          <cell r="K5375" t="str">
            <v>10.2012</v>
          </cell>
          <cell r="L5375">
            <v>10</v>
          </cell>
          <cell r="M5375" t="str">
            <v>EA</v>
          </cell>
          <cell r="N5375">
            <v>422.5</v>
          </cell>
          <cell r="O5375" t="str">
            <v>INR</v>
          </cell>
        </row>
        <row r="5376">
          <cell r="A5376" t="str">
            <v>L003 Ankleshwar</v>
          </cell>
          <cell r="B5376">
            <v>686622</v>
          </cell>
          <cell r="C5376" t="str">
            <v>BOILER SERVO MOTOR SQM48.497A9</v>
          </cell>
          <cell r="D5376" t="str">
            <v>L0030151                       EnggStore</v>
          </cell>
          <cell r="E5376">
            <v>0</v>
          </cell>
          <cell r="F5376" t="str">
            <v>ND No planning</v>
          </cell>
          <cell r="G5376" t="str">
            <v>ERSA Spare parts</v>
          </cell>
          <cell r="H5376" t="str">
            <v>EN017     InstrumentSpares</v>
          </cell>
          <cell r="I5376" t="str">
            <v>L003 Ankleshwar</v>
          </cell>
          <cell r="J5376" t="str">
            <v>99 Input/Byprodt/Scrap</v>
          </cell>
          <cell r="K5376" t="str">
            <v>10.2012</v>
          </cell>
          <cell r="L5376">
            <v>1</v>
          </cell>
          <cell r="M5376" t="str">
            <v>NO</v>
          </cell>
          <cell r="N5376">
            <v>62536.25</v>
          </cell>
          <cell r="O5376" t="str">
            <v>INR</v>
          </cell>
        </row>
        <row r="5377">
          <cell r="A5377" t="str">
            <v>L003 Ankleshwar</v>
          </cell>
          <cell r="B5377">
            <v>686698</v>
          </cell>
          <cell r="C5377" t="str">
            <v>NM GASKET-CL1&amp;2(BOTTOM):715MMX615MM</v>
          </cell>
          <cell r="D5377" t="str">
            <v>L0030151                       EnggStore</v>
          </cell>
          <cell r="E5377" t="str">
            <v>E35 E35</v>
          </cell>
          <cell r="F5377" t="str">
            <v>VB Manual reorder point planning</v>
          </cell>
          <cell r="G5377" t="str">
            <v>ERSA Spare parts</v>
          </cell>
          <cell r="H5377" t="str">
            <v>EN024     EnggConsumables</v>
          </cell>
          <cell r="I5377" t="str">
            <v>L003 Ankleshwar</v>
          </cell>
          <cell r="J5377" t="str">
            <v>99 Input/Byprodt/Scrap</v>
          </cell>
          <cell r="K5377" t="str">
            <v>10.2012</v>
          </cell>
          <cell r="L5377">
            <v>4</v>
          </cell>
          <cell r="M5377" t="str">
            <v>EA</v>
          </cell>
          <cell r="N5377">
            <v>1028.2</v>
          </cell>
          <cell r="O5377" t="str">
            <v>INR</v>
          </cell>
        </row>
        <row r="5378">
          <cell r="A5378" t="str">
            <v>L003 Ankleshwar</v>
          </cell>
          <cell r="B5378">
            <v>686709</v>
          </cell>
          <cell r="C5378" t="str">
            <v>SS-316 HEX NUTBOLT 12X150 WITH TWOWASHER</v>
          </cell>
          <cell r="D5378" t="str">
            <v>L0030151                       EnggStore</v>
          </cell>
          <cell r="E5378">
            <v>0</v>
          </cell>
          <cell r="F5378" t="str">
            <v>ND No planning</v>
          </cell>
          <cell r="G5378" t="str">
            <v>ERSA Spare parts</v>
          </cell>
          <cell r="H5378" t="str">
            <v>EN022     Hardwareitems</v>
          </cell>
          <cell r="I5378" t="str">
            <v>L003 Ankleshwar</v>
          </cell>
          <cell r="J5378" t="str">
            <v>99 Input/Byprodt/Scrap</v>
          </cell>
          <cell r="K5378" t="str">
            <v>10.2012</v>
          </cell>
          <cell r="L5378">
            <v>20</v>
          </cell>
          <cell r="M5378" t="str">
            <v>SET</v>
          </cell>
          <cell r="N5378">
            <v>1376.4</v>
          </cell>
          <cell r="O5378" t="str">
            <v>INR</v>
          </cell>
        </row>
        <row r="5379">
          <cell r="A5379" t="str">
            <v>L003 Ankleshwar</v>
          </cell>
          <cell r="B5379">
            <v>686721</v>
          </cell>
          <cell r="C5379" t="str">
            <v>BEARING HOLDER DE FOR 10UPH2 P.NO:240</v>
          </cell>
          <cell r="D5379" t="str">
            <v>L0030151                       EnggStore</v>
          </cell>
          <cell r="E5379" t="str">
            <v>E34 E34</v>
          </cell>
          <cell r="F5379" t="str">
            <v>VB Manual reorder point planning</v>
          </cell>
          <cell r="G5379" t="str">
            <v>ERSA Spare parts</v>
          </cell>
          <cell r="H5379" t="str">
            <v>EN032     Pumpspares</v>
          </cell>
          <cell r="I5379" t="str">
            <v>L003 Ankleshwar</v>
          </cell>
          <cell r="J5379" t="str">
            <v>99 Input/Byprodt/Scrap</v>
          </cell>
          <cell r="K5379" t="str">
            <v>10.2012</v>
          </cell>
          <cell r="L5379">
            <v>1</v>
          </cell>
          <cell r="M5379" t="str">
            <v>EA</v>
          </cell>
          <cell r="N5379">
            <v>443.62</v>
          </cell>
          <cell r="O5379" t="str">
            <v>INR</v>
          </cell>
        </row>
        <row r="5380">
          <cell r="A5380" t="str">
            <v>L003 Ankleshwar</v>
          </cell>
          <cell r="B5380">
            <v>686722</v>
          </cell>
          <cell r="C5380" t="str">
            <v>BEARING HOLDER NDE FOR 10UPH2 P.NO:253</v>
          </cell>
          <cell r="D5380" t="str">
            <v>L0030151                       EnggStore</v>
          </cell>
          <cell r="E5380" t="str">
            <v>E34 E34</v>
          </cell>
          <cell r="F5380" t="str">
            <v>VB Manual reorder point planning</v>
          </cell>
          <cell r="G5380" t="str">
            <v>ERSA Spare parts</v>
          </cell>
          <cell r="H5380" t="str">
            <v>EN032     Pumpspares</v>
          </cell>
          <cell r="I5380" t="str">
            <v>L003 Ankleshwar</v>
          </cell>
          <cell r="J5380" t="str">
            <v>99 Input/Byprodt/Scrap</v>
          </cell>
          <cell r="K5380" t="str">
            <v>10.2012</v>
          </cell>
          <cell r="L5380">
            <v>1</v>
          </cell>
          <cell r="M5380" t="str">
            <v>EA</v>
          </cell>
          <cell r="N5380">
            <v>443.63</v>
          </cell>
          <cell r="O5380" t="str">
            <v>INR</v>
          </cell>
        </row>
        <row r="5381">
          <cell r="A5381" t="str">
            <v>L003 Ankleshwar</v>
          </cell>
          <cell r="B5381">
            <v>686723</v>
          </cell>
          <cell r="C5381" t="str">
            <v>BEARING COVER DE FOR 10UPH2 P.NO:270</v>
          </cell>
          <cell r="D5381" t="str">
            <v>L0030151                       EnggStore</v>
          </cell>
          <cell r="E5381">
            <v>0</v>
          </cell>
          <cell r="F5381" t="str">
            <v>ND No planning</v>
          </cell>
          <cell r="G5381" t="str">
            <v>ERSA Spare parts</v>
          </cell>
          <cell r="H5381" t="str">
            <v>EN032     Pumpspares</v>
          </cell>
          <cell r="I5381" t="str">
            <v>L003 Ankleshwar</v>
          </cell>
          <cell r="J5381" t="str">
            <v>99 Input/Byprodt/Scrap</v>
          </cell>
          <cell r="K5381" t="str">
            <v>10.2012</v>
          </cell>
          <cell r="L5381">
            <v>1</v>
          </cell>
          <cell r="M5381" t="str">
            <v>EA</v>
          </cell>
          <cell r="N5381">
            <v>1179.3699999999899</v>
          </cell>
          <cell r="O5381" t="str">
            <v>INR</v>
          </cell>
        </row>
        <row r="5382">
          <cell r="A5382" t="str">
            <v>L003 Ankleshwar</v>
          </cell>
          <cell r="B5382">
            <v>686724</v>
          </cell>
          <cell r="C5382" t="str">
            <v>BEARING COVER NDE FOR 10UPH2 P.NO:271</v>
          </cell>
          <cell r="D5382" t="str">
            <v>L0030151                       EnggStore</v>
          </cell>
          <cell r="E5382">
            <v>0</v>
          </cell>
          <cell r="F5382" t="str">
            <v>ND No planning</v>
          </cell>
          <cell r="G5382" t="str">
            <v>ERSA Spare parts</v>
          </cell>
          <cell r="H5382" t="str">
            <v>EN032     Pumpspares</v>
          </cell>
          <cell r="I5382" t="str">
            <v>L003 Ankleshwar</v>
          </cell>
          <cell r="J5382" t="str">
            <v>99 Input/Byprodt/Scrap</v>
          </cell>
          <cell r="K5382" t="str">
            <v>10.2012</v>
          </cell>
          <cell r="L5382">
            <v>1</v>
          </cell>
          <cell r="M5382" t="str">
            <v>EA</v>
          </cell>
          <cell r="N5382">
            <v>1179.3699999999899</v>
          </cell>
          <cell r="O5382" t="str">
            <v>INR</v>
          </cell>
        </row>
        <row r="5383">
          <cell r="A5383" t="str">
            <v>L003 Ankleshwar</v>
          </cell>
          <cell r="B5383">
            <v>686725</v>
          </cell>
          <cell r="C5383" t="str">
            <v>BEARING NUT FOR 10UPH2 P.NO:335</v>
          </cell>
          <cell r="D5383" t="str">
            <v>L0030151                       EnggStore</v>
          </cell>
          <cell r="E5383">
            <v>0</v>
          </cell>
          <cell r="F5383" t="str">
            <v>ND No planning</v>
          </cell>
          <cell r="G5383" t="str">
            <v>ERSA Spare parts</v>
          </cell>
          <cell r="H5383" t="str">
            <v>EN032     Pumpspares</v>
          </cell>
          <cell r="I5383" t="str">
            <v>L003 Ankleshwar</v>
          </cell>
          <cell r="J5383" t="str">
            <v>99 Input/Byprodt/Scrap</v>
          </cell>
          <cell r="K5383" t="str">
            <v>10.2012</v>
          </cell>
          <cell r="L5383">
            <v>2</v>
          </cell>
          <cell r="M5383" t="str">
            <v>EA</v>
          </cell>
          <cell r="N5383">
            <v>2386.5</v>
          </cell>
          <cell r="O5383" t="str">
            <v>INR</v>
          </cell>
        </row>
        <row r="5384">
          <cell r="A5384" t="str">
            <v>L003 Ankleshwar</v>
          </cell>
          <cell r="B5384">
            <v>686726</v>
          </cell>
          <cell r="C5384" t="str">
            <v>BEARING LOCK NUT FOR 10UPH2 P.NO:336</v>
          </cell>
          <cell r="D5384" t="str">
            <v>L0030151                       EnggStore</v>
          </cell>
          <cell r="E5384">
            <v>0</v>
          </cell>
          <cell r="F5384" t="str">
            <v>ND No planning</v>
          </cell>
          <cell r="G5384" t="str">
            <v>ERSA Spare parts</v>
          </cell>
          <cell r="H5384" t="str">
            <v>EN032     Pumpspares</v>
          </cell>
          <cell r="I5384" t="str">
            <v>L003 Ankleshwar</v>
          </cell>
          <cell r="J5384" t="str">
            <v>99 Input/Byprodt/Scrap</v>
          </cell>
          <cell r="K5384" t="str">
            <v>10.2012</v>
          </cell>
          <cell r="L5384">
            <v>2</v>
          </cell>
          <cell r="M5384" t="str">
            <v>EA</v>
          </cell>
          <cell r="N5384">
            <v>2386.5</v>
          </cell>
          <cell r="O5384" t="str">
            <v>INR</v>
          </cell>
        </row>
        <row r="5385">
          <cell r="A5385" t="str">
            <v>L003 Ankleshwar</v>
          </cell>
          <cell r="B5385">
            <v>686729</v>
          </cell>
          <cell r="C5385" t="str">
            <v>VITON O RING-SSPL:52BS/52U PT NO2</v>
          </cell>
          <cell r="D5385" t="str">
            <v>L0030151                       EnggStore</v>
          </cell>
          <cell r="E5385" t="str">
            <v>E34 E34</v>
          </cell>
          <cell r="F5385" t="str">
            <v>VB Manual reorder point planning</v>
          </cell>
          <cell r="G5385" t="str">
            <v>ERSA Spare parts</v>
          </cell>
          <cell r="H5385" t="str">
            <v>EN038     MechanicalSeals&amp;Spar</v>
          </cell>
          <cell r="I5385" t="str">
            <v>L003 Ankleshwar</v>
          </cell>
          <cell r="J5385" t="str">
            <v>99 Input/Byprodt/Scrap</v>
          </cell>
          <cell r="K5385" t="str">
            <v>10.2012</v>
          </cell>
          <cell r="L5385">
            <v>2</v>
          </cell>
          <cell r="M5385" t="str">
            <v>EA</v>
          </cell>
          <cell r="N5385">
            <v>1080</v>
          </cell>
          <cell r="O5385" t="str">
            <v>INR</v>
          </cell>
        </row>
        <row r="5386">
          <cell r="A5386" t="str">
            <v>L003 Ankleshwar</v>
          </cell>
          <cell r="B5386">
            <v>686732</v>
          </cell>
          <cell r="C5386" t="str">
            <v>VITON STN.O RING(IB+OB)-SSPL:52BS/52U</v>
          </cell>
          <cell r="D5386" t="str">
            <v>L0030151                       EnggStore</v>
          </cell>
          <cell r="E5386" t="str">
            <v>E34 E34</v>
          </cell>
          <cell r="F5386" t="str">
            <v>VB Manual reorder point planning</v>
          </cell>
          <cell r="G5386" t="str">
            <v>ERSA Spare parts</v>
          </cell>
          <cell r="H5386" t="str">
            <v>EN038     MechanicalSeals&amp;Spar</v>
          </cell>
          <cell r="I5386" t="str">
            <v>L003 Ankleshwar</v>
          </cell>
          <cell r="J5386" t="str">
            <v>99 Input/Byprodt/Scrap</v>
          </cell>
          <cell r="K5386" t="str">
            <v>10.2012</v>
          </cell>
          <cell r="L5386">
            <v>2</v>
          </cell>
          <cell r="M5386" t="str">
            <v>EA</v>
          </cell>
          <cell r="N5386">
            <v>1072</v>
          </cell>
          <cell r="O5386" t="str">
            <v>INR</v>
          </cell>
        </row>
        <row r="5387">
          <cell r="A5387" t="str">
            <v>L003 Ankleshwar</v>
          </cell>
          <cell r="B5387">
            <v>686762</v>
          </cell>
          <cell r="C5387" t="str">
            <v>NM GASKET-CL1&amp;2TOP BONNET-BOTTOM:665X600</v>
          </cell>
          <cell r="D5387" t="str">
            <v>L0030151                       EnggStore</v>
          </cell>
          <cell r="E5387" t="str">
            <v>E34 E34</v>
          </cell>
          <cell r="F5387" t="str">
            <v>VB Manual reorder point planning</v>
          </cell>
          <cell r="G5387" t="str">
            <v>ERSA Spare parts</v>
          </cell>
          <cell r="H5387" t="str">
            <v>EN024     EnggConsumables</v>
          </cell>
          <cell r="I5387" t="str">
            <v>L003 Ankleshwar</v>
          </cell>
          <cell r="J5387" t="str">
            <v>99 Input/Byprodt/Scrap</v>
          </cell>
          <cell r="K5387" t="str">
            <v>10.2012</v>
          </cell>
          <cell r="L5387">
            <v>1</v>
          </cell>
          <cell r="M5387" t="str">
            <v>EA</v>
          </cell>
          <cell r="N5387">
            <v>266.75</v>
          </cell>
          <cell r="O5387" t="str">
            <v>INR</v>
          </cell>
        </row>
        <row r="5388">
          <cell r="A5388" t="str">
            <v>L003 Ankleshwar</v>
          </cell>
          <cell r="B5388">
            <v>686763</v>
          </cell>
          <cell r="C5388" t="str">
            <v>NM GASKET-CL1&amp;2TOP BONNET-(SIDE):715X615</v>
          </cell>
          <cell r="D5388" t="str">
            <v>L0030151                       EnggStore</v>
          </cell>
          <cell r="E5388" t="str">
            <v>E35 E35</v>
          </cell>
          <cell r="F5388" t="str">
            <v>VB Manual reorder point planning</v>
          </cell>
          <cell r="G5388" t="str">
            <v>ERSA Spare parts</v>
          </cell>
          <cell r="H5388" t="str">
            <v>EN024     EnggConsumables</v>
          </cell>
          <cell r="I5388" t="str">
            <v>L003 Ankleshwar</v>
          </cell>
          <cell r="J5388" t="str">
            <v>99 Input/Byprodt/Scrap</v>
          </cell>
          <cell r="K5388" t="str">
            <v>10.2012</v>
          </cell>
          <cell r="L5388">
            <v>4</v>
          </cell>
          <cell r="M5388" t="str">
            <v>EA</v>
          </cell>
          <cell r="N5388">
            <v>1028.2</v>
          </cell>
          <cell r="O5388" t="str">
            <v>INR</v>
          </cell>
        </row>
        <row r="5389">
          <cell r="A5389" t="str">
            <v>L003 Ankleshwar</v>
          </cell>
          <cell r="B5389">
            <v>686764</v>
          </cell>
          <cell r="C5389" t="str">
            <v>NM GASKET-CL1&amp;2TOP BONNET-(SIDE):510X410</v>
          </cell>
          <cell r="D5389" t="str">
            <v>L0030151                       EnggStore</v>
          </cell>
          <cell r="E5389" t="str">
            <v>E35 E35</v>
          </cell>
          <cell r="F5389" t="str">
            <v>VB Manual reorder point planning</v>
          </cell>
          <cell r="G5389" t="str">
            <v>ERSA Spare parts</v>
          </cell>
          <cell r="H5389" t="str">
            <v>EN024     EnggConsumables</v>
          </cell>
          <cell r="I5389" t="str">
            <v>L003 Ankleshwar</v>
          </cell>
          <cell r="J5389" t="str">
            <v>99 Input/Byprodt/Scrap</v>
          </cell>
          <cell r="K5389" t="str">
            <v>10.2012</v>
          </cell>
          <cell r="L5389">
            <v>4</v>
          </cell>
          <cell r="M5389" t="str">
            <v>EA</v>
          </cell>
          <cell r="N5389">
            <v>640.20000000000005</v>
          </cell>
          <cell r="O5389" t="str">
            <v>INR</v>
          </cell>
        </row>
        <row r="5390">
          <cell r="A5390" t="str">
            <v>L003 Ankleshwar</v>
          </cell>
          <cell r="B5390">
            <v>686825</v>
          </cell>
          <cell r="C5390" t="str">
            <v>AC AXIAL FAN SIZE:8"</v>
          </cell>
          <cell r="D5390" t="str">
            <v>L0030151                       EnggStore</v>
          </cell>
          <cell r="E5390" t="str">
            <v>E37 E37</v>
          </cell>
          <cell r="F5390" t="str">
            <v>VB Manual reorder point planning</v>
          </cell>
          <cell r="G5390" t="str">
            <v>ERSA Spare parts</v>
          </cell>
          <cell r="H5390" t="str">
            <v>EN017     InstrumentSpares</v>
          </cell>
          <cell r="I5390" t="str">
            <v>L003 Ankleshwar</v>
          </cell>
          <cell r="J5390" t="str">
            <v>99 Input/Byprodt/Scrap</v>
          </cell>
          <cell r="K5390" t="str">
            <v>10.2012</v>
          </cell>
          <cell r="L5390">
            <v>2</v>
          </cell>
          <cell r="M5390" t="str">
            <v>NO</v>
          </cell>
          <cell r="N5390">
            <v>2199.98</v>
          </cell>
          <cell r="O5390" t="str">
            <v>INR</v>
          </cell>
        </row>
        <row r="5391">
          <cell r="A5391" t="str">
            <v>L003 Ankleshwar</v>
          </cell>
          <cell r="B5391">
            <v>686996</v>
          </cell>
          <cell r="C5391" t="str">
            <v>BALL BEARING 6305 2RS</v>
          </cell>
          <cell r="D5391" t="str">
            <v>L0030151                       EnggStore</v>
          </cell>
          <cell r="E5391" t="str">
            <v>E31 E31</v>
          </cell>
          <cell r="F5391" t="str">
            <v>VB Manual reorder point planning</v>
          </cell>
          <cell r="G5391" t="str">
            <v>ERSA Spare parts</v>
          </cell>
          <cell r="H5391" t="str">
            <v>EN009     Bearings</v>
          </cell>
          <cell r="I5391" t="str">
            <v>L003 Ankleshwar</v>
          </cell>
          <cell r="J5391" t="str">
            <v>99 Input/Byprodt/Scrap</v>
          </cell>
          <cell r="K5391" t="str">
            <v>10.2012</v>
          </cell>
          <cell r="L5391">
            <v>1</v>
          </cell>
          <cell r="M5391" t="str">
            <v>EA</v>
          </cell>
          <cell r="N5391">
            <v>195.069999999999</v>
          </cell>
          <cell r="O5391" t="str">
            <v>INR</v>
          </cell>
        </row>
        <row r="5392">
          <cell r="A5392" t="str">
            <v>L003 Ankleshwar</v>
          </cell>
          <cell r="B5392">
            <v>686996</v>
          </cell>
          <cell r="C5392" t="str">
            <v>BALL BEARING 6305 2RS</v>
          </cell>
          <cell r="D5392" t="str">
            <v>L0030201                       Cons StoreKP</v>
          </cell>
          <cell r="E5392" t="str">
            <v>E31 E31</v>
          </cell>
          <cell r="F5392" t="str">
            <v>VB Manual reorder point planning</v>
          </cell>
          <cell r="G5392" t="str">
            <v>ERSA Spare parts</v>
          </cell>
          <cell r="H5392" t="str">
            <v>EN009     Bearings</v>
          </cell>
          <cell r="I5392" t="str">
            <v>L003 Ankleshwar</v>
          </cell>
          <cell r="J5392" t="str">
            <v>99 Input/Byprodt/Scrap</v>
          </cell>
          <cell r="K5392" t="str">
            <v>10.2012</v>
          </cell>
          <cell r="L5392">
            <v>1</v>
          </cell>
          <cell r="M5392" t="str">
            <v>EA</v>
          </cell>
          <cell r="N5392">
            <v>195.069999999999</v>
          </cell>
          <cell r="O5392" t="str">
            <v>INR</v>
          </cell>
        </row>
        <row r="5393">
          <cell r="A5393" t="str">
            <v>L003 Ankleshwar</v>
          </cell>
          <cell r="B5393">
            <v>687019</v>
          </cell>
          <cell r="C5393" t="str">
            <v>STELLITE INSERT  IB DURA:DBRT4.5' PT.2A</v>
          </cell>
          <cell r="D5393" t="str">
            <v>L0030151                       EnggStore</v>
          </cell>
          <cell r="E5393">
            <v>0</v>
          </cell>
          <cell r="F5393" t="str">
            <v>ND No planning</v>
          </cell>
          <cell r="G5393" t="str">
            <v>ERSA Spare parts</v>
          </cell>
          <cell r="H5393" t="str">
            <v>EN038     MechanicalSeals&amp;Spar</v>
          </cell>
          <cell r="I5393" t="str">
            <v>L003 Ankleshwar</v>
          </cell>
          <cell r="J5393" t="str">
            <v>99 Input/Byprodt/Scrap</v>
          </cell>
          <cell r="K5393" t="str">
            <v>10.2012</v>
          </cell>
          <cell r="L5393">
            <v>1</v>
          </cell>
          <cell r="M5393" t="str">
            <v>EA</v>
          </cell>
          <cell r="N5393">
            <v>27836.63</v>
          </cell>
          <cell r="O5393" t="str">
            <v>INR</v>
          </cell>
        </row>
        <row r="5394">
          <cell r="A5394" t="str">
            <v>L003 Ankleshwar</v>
          </cell>
          <cell r="B5394">
            <v>687020</v>
          </cell>
          <cell r="C5394" t="str">
            <v>SS 18.8 CAP SCREW DURA:DBRT 4.5" PT.K</v>
          </cell>
          <cell r="D5394" t="str">
            <v>L0030151                       EnggStore</v>
          </cell>
          <cell r="E5394">
            <v>0</v>
          </cell>
          <cell r="F5394" t="str">
            <v>ND No planning</v>
          </cell>
          <cell r="G5394" t="str">
            <v>ERSA Spare parts</v>
          </cell>
          <cell r="H5394" t="str">
            <v>EN038     MechanicalSeals&amp;Spar</v>
          </cell>
          <cell r="I5394" t="str">
            <v>L003 Ankleshwar</v>
          </cell>
          <cell r="J5394" t="str">
            <v>99 Input/Byprodt/Scrap</v>
          </cell>
          <cell r="K5394" t="str">
            <v>10.2012</v>
          </cell>
          <cell r="L5394">
            <v>2</v>
          </cell>
          <cell r="M5394" t="str">
            <v>SET</v>
          </cell>
          <cell r="N5394">
            <v>6911.79</v>
          </cell>
          <cell r="O5394" t="str">
            <v>INR</v>
          </cell>
        </row>
        <row r="5395">
          <cell r="A5395" t="str">
            <v>L003 Ankleshwar</v>
          </cell>
          <cell r="B5395">
            <v>687051</v>
          </cell>
          <cell r="C5395" t="str">
            <v>SS  HARD SET SCREW DURA:DBRT 4.5"PT.13</v>
          </cell>
          <cell r="D5395" t="str">
            <v>L0030151                       EnggStore</v>
          </cell>
          <cell r="E5395">
            <v>0</v>
          </cell>
          <cell r="F5395" t="str">
            <v>ND No planning</v>
          </cell>
          <cell r="G5395" t="str">
            <v>ERSA Spare parts</v>
          </cell>
          <cell r="H5395" t="str">
            <v>EN038     MechanicalSeals&amp;Spar</v>
          </cell>
          <cell r="I5395" t="str">
            <v>L003 Ankleshwar</v>
          </cell>
          <cell r="J5395" t="str">
            <v>99 Input/Byprodt/Scrap</v>
          </cell>
          <cell r="K5395" t="str">
            <v>10.2012</v>
          </cell>
          <cell r="L5395">
            <v>1</v>
          </cell>
          <cell r="M5395" t="str">
            <v>SET</v>
          </cell>
          <cell r="N5395">
            <v>4493.18</v>
          </cell>
          <cell r="O5395" t="str">
            <v>INR</v>
          </cell>
        </row>
        <row r="5396">
          <cell r="A5396" t="str">
            <v>L003 Ankleshwar</v>
          </cell>
          <cell r="B5396">
            <v>687202</v>
          </cell>
          <cell r="C5396" t="str">
            <v>TG : 0 TO 150°C , 450MM, 4"DIAL,1/2"BSP</v>
          </cell>
          <cell r="D5396" t="str">
            <v>L0030151                       EnggStore</v>
          </cell>
          <cell r="E5396">
            <v>0</v>
          </cell>
          <cell r="F5396" t="str">
            <v>ND No planning</v>
          </cell>
          <cell r="G5396" t="str">
            <v>ERSA Spare parts</v>
          </cell>
          <cell r="H5396" t="str">
            <v>EN017     InstrumentSpares</v>
          </cell>
          <cell r="I5396" t="str">
            <v>L003 Ankleshwar</v>
          </cell>
          <cell r="J5396" t="str">
            <v>99 Input/Byprodt/Scrap</v>
          </cell>
          <cell r="K5396" t="str">
            <v>10.2012</v>
          </cell>
          <cell r="L5396">
            <v>1</v>
          </cell>
          <cell r="M5396" t="str">
            <v>NO</v>
          </cell>
          <cell r="N5396">
            <v>425</v>
          </cell>
          <cell r="O5396" t="str">
            <v>INR</v>
          </cell>
        </row>
        <row r="5397">
          <cell r="A5397" t="str">
            <v>L003 Ankleshwar</v>
          </cell>
          <cell r="B5397">
            <v>687270</v>
          </cell>
          <cell r="C5397" t="str">
            <v>SUCTION &amp;  DISCHARGE VALVE GASKET</v>
          </cell>
          <cell r="D5397" t="str">
            <v>L0030151                       EnggStore</v>
          </cell>
          <cell r="E5397">
            <v>0</v>
          </cell>
          <cell r="F5397" t="str">
            <v>ND No planning</v>
          </cell>
          <cell r="G5397" t="str">
            <v>ERSA Spare parts</v>
          </cell>
          <cell r="H5397" t="str">
            <v>EN018     UtilityEquipmentSpar</v>
          </cell>
          <cell r="I5397" t="str">
            <v>L003 Ankleshwar</v>
          </cell>
          <cell r="J5397" t="str">
            <v>99 Input/Byprodt/Scrap</v>
          </cell>
          <cell r="K5397" t="str">
            <v>10.2012</v>
          </cell>
          <cell r="L5397">
            <v>7</v>
          </cell>
          <cell r="M5397" t="str">
            <v>EA</v>
          </cell>
          <cell r="N5397">
            <v>288.39999999999901</v>
          </cell>
          <cell r="O5397" t="str">
            <v>INR</v>
          </cell>
        </row>
        <row r="5398">
          <cell r="A5398" t="str">
            <v>L003 Ankleshwar</v>
          </cell>
          <cell r="B5398">
            <v>687307</v>
          </cell>
          <cell r="C5398" t="str">
            <v>MS TUBE. SA179, SIZE 3/4"X14SWG</v>
          </cell>
          <cell r="D5398" t="str">
            <v>L0030151                       EnggStore</v>
          </cell>
          <cell r="E5398">
            <v>0</v>
          </cell>
          <cell r="F5398" t="str">
            <v>ND No planning</v>
          </cell>
          <cell r="G5398" t="str">
            <v>ERSA Spare parts</v>
          </cell>
          <cell r="H5398" t="str">
            <v>EN031     Fabricationitems</v>
          </cell>
          <cell r="I5398" t="str">
            <v>L003 Ankleshwar</v>
          </cell>
          <cell r="J5398" t="str">
            <v>99 Input/Byprodt/Scrap</v>
          </cell>
          <cell r="K5398" t="str">
            <v>10.2012</v>
          </cell>
          <cell r="L5398">
            <v>9.0749999999999904</v>
          </cell>
          <cell r="M5398" t="str">
            <v>M</v>
          </cell>
          <cell r="N5398">
            <v>575.78999999999905</v>
          </cell>
          <cell r="O5398" t="str">
            <v>INR</v>
          </cell>
        </row>
        <row r="5399">
          <cell r="A5399" t="str">
            <v>L003 Ankleshwar</v>
          </cell>
          <cell r="B5399">
            <v>687402</v>
          </cell>
          <cell r="C5399" t="str">
            <v>WORM REDUCTION GEAR BOX : 4SNU - 60:1</v>
          </cell>
          <cell r="D5399" t="str">
            <v>L0030151                       EnggStore</v>
          </cell>
          <cell r="E5399">
            <v>0</v>
          </cell>
          <cell r="F5399" t="str">
            <v>ND No planning</v>
          </cell>
          <cell r="G5399" t="str">
            <v>ERSA Spare parts</v>
          </cell>
          <cell r="H5399" t="str">
            <v>EN039     PlantEquipmentSpares</v>
          </cell>
          <cell r="I5399" t="str">
            <v>L003 Ankleshwar</v>
          </cell>
          <cell r="J5399" t="str">
            <v>99 Input/Byprodt/Scrap</v>
          </cell>
          <cell r="K5399" t="str">
            <v>10.2012</v>
          </cell>
          <cell r="L5399">
            <v>1</v>
          </cell>
          <cell r="M5399" t="str">
            <v>EA</v>
          </cell>
          <cell r="N5399">
            <v>24436.549999999901</v>
          </cell>
          <cell r="O5399" t="str">
            <v>INR</v>
          </cell>
        </row>
        <row r="5400">
          <cell r="A5400" t="str">
            <v>L003 Ankleshwar</v>
          </cell>
          <cell r="B5400">
            <v>687426</v>
          </cell>
          <cell r="C5400" t="str">
            <v>PISTON BLOCK CAP - AOD: 30 PTT</v>
          </cell>
          <cell r="D5400" t="str">
            <v>L0030151                       EnggStore</v>
          </cell>
          <cell r="E5400">
            <v>0</v>
          </cell>
          <cell r="F5400" t="str">
            <v>ND No planning</v>
          </cell>
          <cell r="G5400" t="str">
            <v>ERSA Spare parts</v>
          </cell>
          <cell r="H5400" t="str">
            <v>EN032     Pumpspares</v>
          </cell>
          <cell r="I5400" t="str">
            <v>L003 Ankleshwar</v>
          </cell>
          <cell r="J5400" t="str">
            <v>99 Input/Byprodt/Scrap</v>
          </cell>
          <cell r="K5400" t="str">
            <v>10.2012</v>
          </cell>
          <cell r="L5400">
            <v>1</v>
          </cell>
          <cell r="M5400" t="str">
            <v>EA</v>
          </cell>
          <cell r="N5400">
            <v>51.299999999999898</v>
          </cell>
          <cell r="O5400" t="str">
            <v>INR</v>
          </cell>
        </row>
        <row r="5401">
          <cell r="A5401" t="str">
            <v>L003 Ankleshwar</v>
          </cell>
          <cell r="B5401">
            <v>687431</v>
          </cell>
          <cell r="C5401" t="str">
            <v>SEAT O-RING, VITON - AOD 30 PTT</v>
          </cell>
          <cell r="D5401" t="str">
            <v>L0030151                       EnggStore</v>
          </cell>
          <cell r="E5401" t="str">
            <v>E34 E34</v>
          </cell>
          <cell r="F5401" t="str">
            <v>VB Manual reorder point planning</v>
          </cell>
          <cell r="G5401" t="str">
            <v>ERSA Spare parts</v>
          </cell>
          <cell r="H5401" t="str">
            <v>EN032     Pumpspares</v>
          </cell>
          <cell r="I5401" t="str">
            <v>L003 Ankleshwar</v>
          </cell>
          <cell r="J5401" t="str">
            <v>99 Input/Byprodt/Scrap</v>
          </cell>
          <cell r="K5401" t="str">
            <v>10.2012</v>
          </cell>
          <cell r="L5401">
            <v>4</v>
          </cell>
          <cell r="M5401" t="str">
            <v>SET</v>
          </cell>
          <cell r="N5401">
            <v>779</v>
          </cell>
          <cell r="O5401" t="str">
            <v>INR</v>
          </cell>
        </row>
        <row r="5402">
          <cell r="A5402" t="str">
            <v>L003 Ankleshwar</v>
          </cell>
          <cell r="B5402">
            <v>687502</v>
          </cell>
          <cell r="C5402" t="str">
            <v>CAPACITOR,370VAC,2 µF,PN RMES-37H2020UE</v>
          </cell>
          <cell r="D5402" t="str">
            <v>L0030151                       EnggStore</v>
          </cell>
          <cell r="E5402">
            <v>0</v>
          </cell>
          <cell r="F5402" t="str">
            <v>ND No planning</v>
          </cell>
          <cell r="G5402" t="str">
            <v>ERSA Spare parts</v>
          </cell>
          <cell r="H5402" t="str">
            <v>EN037     Refrigeration&amp;A/Cspa</v>
          </cell>
          <cell r="I5402" t="str">
            <v>L003 Ankleshwar</v>
          </cell>
          <cell r="J5402" t="str">
            <v>99 Input/Byprodt/Scrap</v>
          </cell>
          <cell r="K5402" t="str">
            <v>10.2012</v>
          </cell>
          <cell r="L5402">
            <v>3</v>
          </cell>
          <cell r="M5402" t="str">
            <v>EA</v>
          </cell>
          <cell r="N5402">
            <v>390</v>
          </cell>
          <cell r="O5402" t="str">
            <v>INR</v>
          </cell>
        </row>
        <row r="5403">
          <cell r="A5403" t="str">
            <v>L003 Ankleshwar</v>
          </cell>
          <cell r="B5403">
            <v>687503</v>
          </cell>
          <cell r="C5403" t="str">
            <v>COPPER TUBE U BEND: 5/8"ODX1"RX20G</v>
          </cell>
          <cell r="D5403" t="str">
            <v>L0030151                       EnggStore</v>
          </cell>
          <cell r="E5403">
            <v>0</v>
          </cell>
          <cell r="F5403" t="str">
            <v>ND No planning</v>
          </cell>
          <cell r="G5403" t="str">
            <v>ERSA Spare parts</v>
          </cell>
          <cell r="H5403" t="str">
            <v>EN037     Refrigeration&amp;A/Cspa</v>
          </cell>
          <cell r="I5403" t="str">
            <v>L003 Ankleshwar</v>
          </cell>
          <cell r="J5403" t="str">
            <v>99 Input/Byprodt/Scrap</v>
          </cell>
          <cell r="K5403" t="str">
            <v>10.2012</v>
          </cell>
          <cell r="L5403">
            <v>7</v>
          </cell>
          <cell r="M5403" t="str">
            <v>EA</v>
          </cell>
          <cell r="N5403">
            <v>42</v>
          </cell>
          <cell r="O5403" t="str">
            <v>INR</v>
          </cell>
        </row>
        <row r="5404">
          <cell r="A5404" t="str">
            <v>L003 Ankleshwar</v>
          </cell>
          <cell r="B5404">
            <v>687504</v>
          </cell>
          <cell r="C5404" t="str">
            <v>COPPER TUBE U BEND: 1/2"ODX1"RX20G</v>
          </cell>
          <cell r="D5404" t="str">
            <v>L0030151                       EnggStore</v>
          </cell>
          <cell r="E5404">
            <v>0</v>
          </cell>
          <cell r="F5404" t="str">
            <v>ND No planning</v>
          </cell>
          <cell r="G5404" t="str">
            <v>ERSA Spare parts</v>
          </cell>
          <cell r="H5404" t="str">
            <v>EN037     Refrigeration&amp;A/Cspa</v>
          </cell>
          <cell r="I5404" t="str">
            <v>L003 Ankleshwar</v>
          </cell>
          <cell r="J5404" t="str">
            <v>99 Input/Byprodt/Scrap</v>
          </cell>
          <cell r="K5404" t="str">
            <v>10.2012</v>
          </cell>
          <cell r="L5404">
            <v>6</v>
          </cell>
          <cell r="M5404" t="str">
            <v>EA</v>
          </cell>
          <cell r="N5404">
            <v>0</v>
          </cell>
          <cell r="O5404" t="str">
            <v>INR</v>
          </cell>
        </row>
        <row r="5405">
          <cell r="A5405" t="str">
            <v>L003 Ankleshwar</v>
          </cell>
          <cell r="B5405">
            <v>687584</v>
          </cell>
          <cell r="C5405" t="str">
            <v>SICOP CONTACOTR TYPE:3TF33 00-0A 42V</v>
          </cell>
          <cell r="D5405" t="str">
            <v>L0030151                       EnggStore</v>
          </cell>
          <cell r="E5405">
            <v>0</v>
          </cell>
          <cell r="F5405" t="str">
            <v>ND No planning</v>
          </cell>
          <cell r="G5405" t="str">
            <v>ERSA Spare parts</v>
          </cell>
          <cell r="H5405" t="str">
            <v>EN006     Elec Switchgear</v>
          </cell>
          <cell r="I5405" t="str">
            <v>L003 Ankleshwar</v>
          </cell>
          <cell r="J5405" t="str">
            <v>99 Input/Byprodt/Scrap</v>
          </cell>
          <cell r="K5405" t="str">
            <v>10.2012</v>
          </cell>
          <cell r="L5405">
            <v>2</v>
          </cell>
          <cell r="M5405" t="str">
            <v>EA</v>
          </cell>
          <cell r="N5405">
            <v>1399.3299999999899</v>
          </cell>
          <cell r="O5405" t="str">
            <v>INR</v>
          </cell>
        </row>
        <row r="5406">
          <cell r="A5406" t="str">
            <v>L003 Ankleshwar</v>
          </cell>
          <cell r="B5406">
            <v>687589</v>
          </cell>
          <cell r="C5406" t="str">
            <v>TAPER ROLLER BEARING 32317 U</v>
          </cell>
          <cell r="D5406" t="str">
            <v>L0030151                       EnggStore</v>
          </cell>
          <cell r="E5406" t="str">
            <v>E34 E34</v>
          </cell>
          <cell r="F5406" t="str">
            <v>VB Manual reorder point planning</v>
          </cell>
          <cell r="G5406" t="str">
            <v>ERSA Spare parts</v>
          </cell>
          <cell r="H5406" t="str">
            <v>EN009     Bearings</v>
          </cell>
          <cell r="I5406" t="str">
            <v>L003 Ankleshwar</v>
          </cell>
          <cell r="J5406" t="str">
            <v>99 Input/Byprodt/Scrap</v>
          </cell>
          <cell r="K5406" t="str">
            <v>10.2012</v>
          </cell>
          <cell r="L5406">
            <v>1</v>
          </cell>
          <cell r="M5406" t="str">
            <v>EA</v>
          </cell>
          <cell r="N5406">
            <v>11518.16</v>
          </cell>
          <cell r="O5406" t="str">
            <v>INR</v>
          </cell>
        </row>
        <row r="5407">
          <cell r="A5407" t="str">
            <v>L003 Ankleshwar</v>
          </cell>
          <cell r="B5407">
            <v>687603</v>
          </cell>
          <cell r="C5407" t="str">
            <v>EQUAL CROSS-MS/PTFEL-F/T - ASA150 : 25MM</v>
          </cell>
          <cell r="D5407" t="str">
            <v>L0030201                       Cons StoreKP</v>
          </cell>
          <cell r="E5407">
            <v>0</v>
          </cell>
          <cell r="F5407" t="str">
            <v>ND No planning</v>
          </cell>
          <cell r="G5407" t="str">
            <v>ERSA Spare parts</v>
          </cell>
          <cell r="H5407" t="str">
            <v>EN028     Pipes&amp;pipefittings</v>
          </cell>
          <cell r="I5407" t="str">
            <v>L003 Ankleshwar</v>
          </cell>
          <cell r="J5407" t="str">
            <v>99 Input/Byprodt/Scrap</v>
          </cell>
          <cell r="K5407" t="str">
            <v>10.2012</v>
          </cell>
          <cell r="L5407">
            <v>1</v>
          </cell>
          <cell r="M5407" t="str">
            <v>EA</v>
          </cell>
          <cell r="N5407">
            <v>1503.04</v>
          </cell>
          <cell r="O5407" t="str">
            <v>INR</v>
          </cell>
        </row>
        <row r="5408">
          <cell r="A5408" t="str">
            <v>L003 Ankleshwar</v>
          </cell>
          <cell r="B5408">
            <v>687708</v>
          </cell>
          <cell r="C5408" t="str">
            <v>TG BACK MOUNTED,4"DIAL,0-150°C,2MTR</v>
          </cell>
          <cell r="D5408" t="str">
            <v>L0030151                       EnggStore</v>
          </cell>
          <cell r="E5408" t="str">
            <v>E37 E37</v>
          </cell>
          <cell r="F5408" t="str">
            <v>VB Manual reorder point planning</v>
          </cell>
          <cell r="G5408" t="str">
            <v>ERSA Spare parts</v>
          </cell>
          <cell r="H5408" t="str">
            <v>EN017     InstrumentSpares</v>
          </cell>
          <cell r="I5408" t="str">
            <v>L003 Ankleshwar</v>
          </cell>
          <cell r="J5408" t="str">
            <v>99 Input/Byprodt/Scrap</v>
          </cell>
          <cell r="K5408" t="str">
            <v>10.2012</v>
          </cell>
          <cell r="L5408">
            <v>2</v>
          </cell>
          <cell r="M5408" t="str">
            <v>EA</v>
          </cell>
          <cell r="N5408">
            <v>3880</v>
          </cell>
          <cell r="O5408" t="str">
            <v>INR</v>
          </cell>
        </row>
        <row r="5409">
          <cell r="A5409" t="str">
            <v>L003 Ankleshwar</v>
          </cell>
          <cell r="B5409">
            <v>687709</v>
          </cell>
          <cell r="C5409" t="str">
            <v>VG BACK MOUNTED,4"DIAL,0-760MMHG</v>
          </cell>
          <cell r="D5409" t="str">
            <v>L0030151                       EnggStore</v>
          </cell>
          <cell r="E5409" t="str">
            <v>E36 E36</v>
          </cell>
          <cell r="F5409" t="str">
            <v>VB Manual reorder point planning</v>
          </cell>
          <cell r="G5409" t="str">
            <v>ERSA Spare parts</v>
          </cell>
          <cell r="H5409" t="str">
            <v>EN017     InstrumentSpares</v>
          </cell>
          <cell r="I5409" t="str">
            <v>L003 Ankleshwar</v>
          </cell>
          <cell r="J5409" t="str">
            <v>99 Input/Byprodt/Scrap</v>
          </cell>
          <cell r="K5409" t="str">
            <v>10.2012</v>
          </cell>
          <cell r="L5409">
            <v>2</v>
          </cell>
          <cell r="M5409" t="str">
            <v>EA</v>
          </cell>
          <cell r="N5409">
            <v>1091.8699999999899</v>
          </cell>
          <cell r="O5409" t="str">
            <v>INR</v>
          </cell>
        </row>
        <row r="5410">
          <cell r="A5410" t="str">
            <v>L003 Ankleshwar</v>
          </cell>
          <cell r="B5410">
            <v>687731</v>
          </cell>
          <cell r="C5410" t="str">
            <v>V-BELT B-162</v>
          </cell>
          <cell r="D5410" t="str">
            <v>L0030151                       EnggStore</v>
          </cell>
          <cell r="E5410" t="str">
            <v>E35 E35</v>
          </cell>
          <cell r="F5410" t="str">
            <v>VB Manual reorder point planning</v>
          </cell>
          <cell r="G5410" t="str">
            <v>ERSA Spare parts</v>
          </cell>
          <cell r="H5410" t="str">
            <v>EN021     VbeltCoupling&amp;Pulley</v>
          </cell>
          <cell r="I5410" t="str">
            <v>L003 Ankleshwar</v>
          </cell>
          <cell r="J5410" t="str">
            <v>99 Input/Byprodt/Scrap</v>
          </cell>
          <cell r="K5410" t="str">
            <v>10.2012</v>
          </cell>
          <cell r="L5410">
            <v>4</v>
          </cell>
          <cell r="M5410" t="str">
            <v>EA</v>
          </cell>
          <cell r="N5410">
            <v>2030.4</v>
          </cell>
          <cell r="O5410" t="str">
            <v>INR</v>
          </cell>
        </row>
        <row r="5411">
          <cell r="A5411" t="str">
            <v>L003 Ankleshwar</v>
          </cell>
          <cell r="B5411">
            <v>687737</v>
          </cell>
          <cell r="C5411" t="str">
            <v>DIGITAL OL RELAY, RANGE : 2-300AMP</v>
          </cell>
          <cell r="D5411" t="str">
            <v>L0030151                       EnggStore</v>
          </cell>
          <cell r="E5411">
            <v>0</v>
          </cell>
          <cell r="F5411" t="str">
            <v>ND No planning</v>
          </cell>
          <cell r="G5411" t="str">
            <v>ERSA Spare parts</v>
          </cell>
          <cell r="H5411" t="str">
            <v>EN003     ElectricalSpares</v>
          </cell>
          <cell r="I5411" t="str">
            <v>L003 Ankleshwar</v>
          </cell>
          <cell r="J5411" t="str">
            <v>99 Input/Byprodt/Scrap</v>
          </cell>
          <cell r="K5411" t="str">
            <v>10.2012</v>
          </cell>
          <cell r="L5411">
            <v>1</v>
          </cell>
          <cell r="M5411" t="str">
            <v>EA</v>
          </cell>
          <cell r="N5411">
            <v>3360</v>
          </cell>
          <cell r="O5411" t="str">
            <v>INR</v>
          </cell>
        </row>
        <row r="5412">
          <cell r="A5412" t="str">
            <v>L003 Ankleshwar</v>
          </cell>
          <cell r="B5412">
            <v>687738</v>
          </cell>
          <cell r="C5412" t="str">
            <v>RTD PT-100,FLP,DUPLEX,3W,6MMX500MM C-B</v>
          </cell>
          <cell r="D5412" t="str">
            <v>L0030151                       EnggStore</v>
          </cell>
          <cell r="E5412" t="str">
            <v>E37 E37</v>
          </cell>
          <cell r="F5412" t="str">
            <v>VB Manual reorder point planning</v>
          </cell>
          <cell r="G5412" t="str">
            <v>ERSA Spare parts</v>
          </cell>
          <cell r="H5412" t="str">
            <v>EN017     InstrumentSpares</v>
          </cell>
          <cell r="I5412" t="str">
            <v>L003 Ankleshwar</v>
          </cell>
          <cell r="J5412" t="str">
            <v>99 Input/Byprodt/Scrap</v>
          </cell>
          <cell r="K5412" t="str">
            <v>10.2012</v>
          </cell>
          <cell r="L5412">
            <v>3</v>
          </cell>
          <cell r="M5412" t="str">
            <v>EA</v>
          </cell>
          <cell r="N5412">
            <v>3090.5999999999899</v>
          </cell>
          <cell r="O5412" t="str">
            <v>INR</v>
          </cell>
        </row>
        <row r="5413">
          <cell r="A5413" t="str">
            <v>L003 Ankleshwar</v>
          </cell>
          <cell r="B5413">
            <v>687757</v>
          </cell>
          <cell r="C5413" t="str">
            <v>LIMIT SWITCH-LONG LEVER TYPE(FLOOR)</v>
          </cell>
          <cell r="D5413" t="str">
            <v>L0030151                       EnggStore</v>
          </cell>
          <cell r="E5413">
            <v>0</v>
          </cell>
          <cell r="F5413" t="str">
            <v>ND No planning</v>
          </cell>
          <cell r="G5413" t="str">
            <v>ERSA Spare parts</v>
          </cell>
          <cell r="H5413" t="str">
            <v>EN003     ElectricalSpares</v>
          </cell>
          <cell r="I5413" t="str">
            <v>L003 Ankleshwar</v>
          </cell>
          <cell r="J5413" t="str">
            <v>99 Input/Byprodt/Scrap</v>
          </cell>
          <cell r="K5413" t="str">
            <v>10.2012</v>
          </cell>
          <cell r="L5413">
            <v>3</v>
          </cell>
          <cell r="M5413" t="str">
            <v>EA</v>
          </cell>
          <cell r="N5413">
            <v>16701</v>
          </cell>
          <cell r="O5413" t="str">
            <v>INR</v>
          </cell>
        </row>
        <row r="5414">
          <cell r="A5414" t="str">
            <v>L003 Ankleshwar</v>
          </cell>
          <cell r="B5414">
            <v>687760</v>
          </cell>
          <cell r="C5414" t="str">
            <v>LIFT BRAKE COIL  SET</v>
          </cell>
          <cell r="D5414" t="str">
            <v>L0030151                       EnggStore</v>
          </cell>
          <cell r="E5414">
            <v>0</v>
          </cell>
          <cell r="F5414" t="str">
            <v>ND No planning</v>
          </cell>
          <cell r="G5414" t="str">
            <v>ERSA Spare parts</v>
          </cell>
          <cell r="H5414" t="str">
            <v>EN024     EnggConsumables</v>
          </cell>
          <cell r="I5414" t="str">
            <v>L003 Ankleshwar</v>
          </cell>
          <cell r="J5414" t="str">
            <v>99 Input/Byprodt/Scrap</v>
          </cell>
          <cell r="K5414" t="str">
            <v>10.2012</v>
          </cell>
          <cell r="L5414">
            <v>6</v>
          </cell>
          <cell r="M5414" t="str">
            <v>EA</v>
          </cell>
          <cell r="N5414">
            <v>5795.9399999999896</v>
          </cell>
          <cell r="O5414" t="str">
            <v>INR</v>
          </cell>
        </row>
        <row r="5415">
          <cell r="A5415" t="str">
            <v>L003 Ankleshwar</v>
          </cell>
          <cell r="B5415">
            <v>687761</v>
          </cell>
          <cell r="C5415" t="str">
            <v>LIFT BRAKE DISC</v>
          </cell>
          <cell r="D5415" t="str">
            <v>L0030151                       EnggStore</v>
          </cell>
          <cell r="E5415">
            <v>0</v>
          </cell>
          <cell r="F5415" t="str">
            <v>ND No planning</v>
          </cell>
          <cell r="G5415" t="str">
            <v>ERSA Spare parts</v>
          </cell>
          <cell r="H5415" t="str">
            <v>EN024     EnggConsumables</v>
          </cell>
          <cell r="I5415" t="str">
            <v>L003 Ankleshwar</v>
          </cell>
          <cell r="J5415" t="str">
            <v>99 Input/Byprodt/Scrap</v>
          </cell>
          <cell r="K5415" t="str">
            <v>10.2012</v>
          </cell>
          <cell r="L5415">
            <v>2</v>
          </cell>
          <cell r="M5415" t="str">
            <v>EA</v>
          </cell>
          <cell r="N5415">
            <v>4150</v>
          </cell>
          <cell r="O5415" t="str">
            <v>INR</v>
          </cell>
        </row>
        <row r="5416">
          <cell r="A5416" t="str">
            <v>L003 Ankleshwar</v>
          </cell>
          <cell r="B5416">
            <v>687827</v>
          </cell>
          <cell r="C5416" t="str">
            <v>TEMPERATURE CONTROLLER ,MODEL T-991 A</v>
          </cell>
          <cell r="D5416" t="str">
            <v>L0030151                       EnggStore</v>
          </cell>
          <cell r="E5416">
            <v>0</v>
          </cell>
          <cell r="F5416" t="str">
            <v>ND No planning</v>
          </cell>
          <cell r="G5416" t="str">
            <v>ERSA Spare parts</v>
          </cell>
          <cell r="H5416" t="str">
            <v>EN017     InstrumentSpares</v>
          </cell>
          <cell r="I5416" t="str">
            <v>L003 Ankleshwar</v>
          </cell>
          <cell r="J5416" t="str">
            <v>99 Input/Byprodt/Scrap</v>
          </cell>
          <cell r="K5416" t="str">
            <v>10.2012</v>
          </cell>
          <cell r="L5416">
            <v>1</v>
          </cell>
          <cell r="M5416" t="str">
            <v>EA</v>
          </cell>
          <cell r="N5416">
            <v>6175</v>
          </cell>
          <cell r="O5416" t="str">
            <v>INR</v>
          </cell>
        </row>
        <row r="5417">
          <cell r="A5417" t="str">
            <v>L003 Ankleshwar</v>
          </cell>
          <cell r="B5417">
            <v>687991</v>
          </cell>
          <cell r="C5417" t="str">
            <v>SELECTOR SWITCH 4 WAY</v>
          </cell>
          <cell r="D5417" t="str">
            <v>L0030151                       EnggStore</v>
          </cell>
          <cell r="E5417">
            <v>0</v>
          </cell>
          <cell r="F5417" t="str">
            <v>ND No planning</v>
          </cell>
          <cell r="G5417" t="str">
            <v>ERSA Spare parts</v>
          </cell>
          <cell r="H5417" t="str">
            <v>EN017     InstrumentSpares</v>
          </cell>
          <cell r="I5417" t="str">
            <v>L003 Ankleshwar</v>
          </cell>
          <cell r="J5417" t="str">
            <v>99 Input/Byprodt/Scrap</v>
          </cell>
          <cell r="K5417" t="str">
            <v>10.2012</v>
          </cell>
          <cell r="L5417">
            <v>1</v>
          </cell>
          <cell r="M5417" t="str">
            <v>EA</v>
          </cell>
          <cell r="N5417">
            <v>308.75</v>
          </cell>
          <cell r="O5417" t="str">
            <v>INR</v>
          </cell>
        </row>
        <row r="5418">
          <cell r="A5418" t="str">
            <v>L003 Ankleshwar</v>
          </cell>
          <cell r="B5418">
            <v>687992</v>
          </cell>
          <cell r="C5418" t="str">
            <v>NIPPOLOG CONVERTER RS-232 TO 485</v>
          </cell>
          <cell r="D5418" t="str">
            <v>L0030151                       EnggStore</v>
          </cell>
          <cell r="E5418" t="str">
            <v>E37 E37</v>
          </cell>
          <cell r="F5418" t="str">
            <v>VB Manual reorder point planning</v>
          </cell>
          <cell r="G5418" t="str">
            <v>ERSA Spare parts</v>
          </cell>
          <cell r="H5418" t="str">
            <v>EN017     InstrumentSpares</v>
          </cell>
          <cell r="I5418" t="str">
            <v>L003 Ankleshwar</v>
          </cell>
          <cell r="J5418" t="str">
            <v>99 Input/Byprodt/Scrap</v>
          </cell>
          <cell r="K5418" t="str">
            <v>10.2012</v>
          </cell>
          <cell r="L5418">
            <v>1</v>
          </cell>
          <cell r="M5418" t="str">
            <v>EA</v>
          </cell>
          <cell r="N5418">
            <v>1989</v>
          </cell>
          <cell r="O5418" t="str">
            <v>INR</v>
          </cell>
        </row>
        <row r="5419">
          <cell r="A5419" t="str">
            <v>L003 Ankleshwar</v>
          </cell>
          <cell r="B5419">
            <v>687993</v>
          </cell>
          <cell r="C5419" t="str">
            <v>PG , -760 TO 16 KG/CM2 AMMONIA SERVICE</v>
          </cell>
          <cell r="D5419" t="str">
            <v>L0030151                       EnggStore</v>
          </cell>
          <cell r="E5419" t="str">
            <v>E37 E37</v>
          </cell>
          <cell r="F5419" t="str">
            <v>VB Manual reorder point planning</v>
          </cell>
          <cell r="G5419" t="str">
            <v>ERSA Spare parts</v>
          </cell>
          <cell r="H5419" t="str">
            <v>EN017     InstrumentSpares</v>
          </cell>
          <cell r="I5419" t="str">
            <v>L003 Ankleshwar</v>
          </cell>
          <cell r="J5419" t="str">
            <v>99 Input/Byprodt/Scrap</v>
          </cell>
          <cell r="K5419" t="str">
            <v>10.2012</v>
          </cell>
          <cell r="L5419">
            <v>1</v>
          </cell>
          <cell r="M5419" t="str">
            <v>EA</v>
          </cell>
          <cell r="N5419">
            <v>1039.0799999999899</v>
          </cell>
          <cell r="O5419" t="str">
            <v>INR</v>
          </cell>
        </row>
        <row r="5420">
          <cell r="A5420" t="str">
            <v>L003 Ankleshwar</v>
          </cell>
          <cell r="B5420">
            <v>688031</v>
          </cell>
          <cell r="C5420" t="str">
            <v>REPAIR KIT FOR SA17 SOLENOID VALVE</v>
          </cell>
          <cell r="D5420" t="str">
            <v>L0030151                       EnggStore</v>
          </cell>
          <cell r="E5420">
            <v>0</v>
          </cell>
          <cell r="F5420" t="str">
            <v>ND No planning</v>
          </cell>
          <cell r="G5420" t="str">
            <v>ERSA Spare parts</v>
          </cell>
          <cell r="H5420" t="str">
            <v>EN017     InstrumentSpares</v>
          </cell>
          <cell r="I5420" t="str">
            <v>L003 Ankleshwar</v>
          </cell>
          <cell r="J5420" t="str">
            <v>99 Input/Byprodt/Scrap</v>
          </cell>
          <cell r="K5420" t="str">
            <v>10.2012</v>
          </cell>
          <cell r="L5420">
            <v>1</v>
          </cell>
          <cell r="M5420" t="str">
            <v>EA</v>
          </cell>
          <cell r="N5420">
            <v>2649.3499999999899</v>
          </cell>
          <cell r="O5420" t="str">
            <v>INR</v>
          </cell>
        </row>
        <row r="5421">
          <cell r="A5421" t="str">
            <v>L003 Ankleshwar</v>
          </cell>
          <cell r="B5421">
            <v>688032</v>
          </cell>
          <cell r="C5421" t="str">
            <v>SOLENOID COIL HYDAC , 220VAC</v>
          </cell>
          <cell r="D5421" t="str">
            <v>L0030151                       EnggStore</v>
          </cell>
          <cell r="E5421">
            <v>0</v>
          </cell>
          <cell r="F5421" t="str">
            <v>ND No planning</v>
          </cell>
          <cell r="G5421" t="str">
            <v>ERSA Spare parts</v>
          </cell>
          <cell r="H5421" t="str">
            <v>EN017     InstrumentSpares</v>
          </cell>
          <cell r="I5421" t="str">
            <v>L003 Ankleshwar</v>
          </cell>
          <cell r="J5421" t="str">
            <v>99 Input/Byprodt/Scrap</v>
          </cell>
          <cell r="K5421" t="str">
            <v>10.2012</v>
          </cell>
          <cell r="L5421">
            <v>1</v>
          </cell>
          <cell r="M5421" t="str">
            <v>EA</v>
          </cell>
          <cell r="N5421">
            <v>693.75</v>
          </cell>
          <cell r="O5421" t="str">
            <v>INR</v>
          </cell>
        </row>
        <row r="5422">
          <cell r="A5422" t="str">
            <v>L003 Ankleshwar</v>
          </cell>
          <cell r="B5422">
            <v>688033</v>
          </cell>
          <cell r="C5422" t="str">
            <v>POLYHYDRON DIRECTIONAL CONTROL VALVE</v>
          </cell>
          <cell r="D5422" t="str">
            <v>L0030151                       EnggStore</v>
          </cell>
          <cell r="E5422">
            <v>0</v>
          </cell>
          <cell r="F5422" t="str">
            <v>ND No planning</v>
          </cell>
          <cell r="G5422" t="str">
            <v>ERSA Spare parts</v>
          </cell>
          <cell r="H5422" t="str">
            <v>EN017     InstrumentSpares</v>
          </cell>
          <cell r="I5422" t="str">
            <v>L003 Ankleshwar</v>
          </cell>
          <cell r="J5422" t="str">
            <v>99 Input/Byprodt/Scrap</v>
          </cell>
          <cell r="K5422" t="str">
            <v>10.2012</v>
          </cell>
          <cell r="L5422">
            <v>1</v>
          </cell>
          <cell r="M5422" t="str">
            <v>EA</v>
          </cell>
          <cell r="N5422">
            <v>2543.75</v>
          </cell>
          <cell r="O5422" t="str">
            <v>INR</v>
          </cell>
        </row>
        <row r="5423">
          <cell r="A5423" t="str">
            <v>L003 Ankleshwar</v>
          </cell>
          <cell r="B5423">
            <v>688043</v>
          </cell>
          <cell r="C5423" t="str">
            <v>HEX NIPPLE, SS-304, 3/8" X 1/2"</v>
          </cell>
          <cell r="D5423" t="str">
            <v>L0030151                       EnggStore</v>
          </cell>
          <cell r="E5423">
            <v>0</v>
          </cell>
          <cell r="F5423" t="str">
            <v>ND No planning</v>
          </cell>
          <cell r="G5423" t="str">
            <v>ERSA Spare parts</v>
          </cell>
          <cell r="H5423" t="str">
            <v>EN022     Hardwareitems</v>
          </cell>
          <cell r="I5423" t="str">
            <v>L003 Ankleshwar</v>
          </cell>
          <cell r="J5423" t="str">
            <v>99 Input/Byprodt/Scrap</v>
          </cell>
          <cell r="K5423" t="str">
            <v>10.2012</v>
          </cell>
          <cell r="L5423">
            <v>15</v>
          </cell>
          <cell r="M5423" t="str">
            <v>EA</v>
          </cell>
          <cell r="N5423">
            <v>750</v>
          </cell>
          <cell r="O5423" t="str">
            <v>INR</v>
          </cell>
        </row>
        <row r="5424">
          <cell r="A5424" t="str">
            <v>L003 Ankleshwar</v>
          </cell>
          <cell r="B5424">
            <v>688046</v>
          </cell>
          <cell r="C5424" t="str">
            <v>SORF FLANGE:SS-304-ASA 150: 25MM</v>
          </cell>
          <cell r="D5424" t="str">
            <v>L0030151                       EnggStore</v>
          </cell>
          <cell r="E5424">
            <v>0</v>
          </cell>
          <cell r="F5424" t="str">
            <v>ND No planning</v>
          </cell>
          <cell r="G5424" t="str">
            <v>ERSA Spare parts</v>
          </cell>
          <cell r="H5424" t="str">
            <v>EN028     Pipes&amp;pipefittings</v>
          </cell>
          <cell r="I5424" t="str">
            <v>L003 Ankleshwar</v>
          </cell>
          <cell r="J5424" t="str">
            <v>99 Input/Byprodt/Scrap</v>
          </cell>
          <cell r="K5424" t="str">
            <v>10.2012</v>
          </cell>
          <cell r="L5424">
            <v>9</v>
          </cell>
          <cell r="M5424" t="str">
            <v>EA</v>
          </cell>
          <cell r="N5424">
            <v>1436.4</v>
          </cell>
          <cell r="O5424" t="str">
            <v>INR</v>
          </cell>
        </row>
        <row r="5425">
          <cell r="A5425" t="str">
            <v>L003 Ankleshwar</v>
          </cell>
          <cell r="B5425">
            <v>688096</v>
          </cell>
          <cell r="C5425" t="str">
            <v>ECF150E SINGLE ACTING ACTUATOR:ROTEX</v>
          </cell>
          <cell r="D5425" t="str">
            <v>L0030151                       EnggStore</v>
          </cell>
          <cell r="E5425">
            <v>0</v>
          </cell>
          <cell r="F5425" t="str">
            <v>ND No planning</v>
          </cell>
          <cell r="G5425" t="str">
            <v>ERSA Spare parts</v>
          </cell>
          <cell r="H5425" t="str">
            <v>EN017     InstrumentSpares</v>
          </cell>
          <cell r="I5425" t="str">
            <v>L003 Ankleshwar</v>
          </cell>
          <cell r="J5425" t="str">
            <v>99 Input/Byprodt/Scrap</v>
          </cell>
          <cell r="K5425" t="str">
            <v>10.2012</v>
          </cell>
          <cell r="L5425">
            <v>1</v>
          </cell>
          <cell r="M5425" t="str">
            <v>NO</v>
          </cell>
          <cell r="N5425">
            <v>10926.959999999901</v>
          </cell>
          <cell r="O5425" t="str">
            <v>INR</v>
          </cell>
        </row>
        <row r="5426">
          <cell r="A5426" t="str">
            <v>L003 Ankleshwar</v>
          </cell>
          <cell r="B5426">
            <v>688165</v>
          </cell>
          <cell r="C5426" t="str">
            <v>NM NON ASBESTOS GASKET 3MM THK 3/4"</v>
          </cell>
          <cell r="D5426" t="str">
            <v>L0030151                       EnggStore</v>
          </cell>
          <cell r="E5426" t="str">
            <v>E01 E01</v>
          </cell>
          <cell r="F5426" t="str">
            <v>ND No planning</v>
          </cell>
          <cell r="G5426" t="str">
            <v>ERSA Spare parts</v>
          </cell>
          <cell r="H5426" t="str">
            <v>EN024     EnggConsumables</v>
          </cell>
          <cell r="I5426" t="str">
            <v>L003 Ankleshwar</v>
          </cell>
          <cell r="J5426" t="str">
            <v>99 Input/Byprodt/Scrap</v>
          </cell>
          <cell r="K5426" t="str">
            <v>10.2012</v>
          </cell>
          <cell r="L5426">
            <v>520</v>
          </cell>
          <cell r="M5426" t="str">
            <v>EA</v>
          </cell>
          <cell r="N5426">
            <v>575.97</v>
          </cell>
          <cell r="O5426" t="str">
            <v>INR</v>
          </cell>
        </row>
        <row r="5427">
          <cell r="A5427" t="str">
            <v>L003 Ankleshwar</v>
          </cell>
          <cell r="B5427">
            <v>688166</v>
          </cell>
          <cell r="C5427" t="str">
            <v>NM NON ASBESTOS GASKET 3MM THK 1 1/4"</v>
          </cell>
          <cell r="D5427" t="str">
            <v>L0030151                       EnggStore</v>
          </cell>
          <cell r="E5427" t="str">
            <v>E35 E35</v>
          </cell>
          <cell r="F5427" t="str">
            <v>VB Manual reorder point planning</v>
          </cell>
          <cell r="G5427" t="str">
            <v>ERSA Spare parts</v>
          </cell>
          <cell r="H5427" t="str">
            <v>EN024     EnggConsumables</v>
          </cell>
          <cell r="I5427" t="str">
            <v>L003 Ankleshwar</v>
          </cell>
          <cell r="J5427" t="str">
            <v>99 Input/Byprodt/Scrap</v>
          </cell>
          <cell r="K5427" t="str">
            <v>10.2012</v>
          </cell>
          <cell r="L5427">
            <v>269</v>
          </cell>
          <cell r="M5427" t="str">
            <v>EA</v>
          </cell>
          <cell r="N5427">
            <v>1253.54</v>
          </cell>
          <cell r="O5427" t="str">
            <v>INR</v>
          </cell>
        </row>
        <row r="5428">
          <cell r="A5428" t="str">
            <v>L003 Ankleshwar</v>
          </cell>
          <cell r="B5428">
            <v>688173</v>
          </cell>
          <cell r="C5428" t="str">
            <v>NM NON ASBESTOS GASKET 3MM THK 10"</v>
          </cell>
          <cell r="D5428" t="str">
            <v>L0030151                       EnggStore</v>
          </cell>
          <cell r="E5428" t="str">
            <v>E01 E01</v>
          </cell>
          <cell r="F5428" t="str">
            <v>ND No planning</v>
          </cell>
          <cell r="G5428" t="str">
            <v>ERSA Spare parts</v>
          </cell>
          <cell r="H5428" t="str">
            <v>EN024     EnggConsumables</v>
          </cell>
          <cell r="I5428" t="str">
            <v>L003 Ankleshwar</v>
          </cell>
          <cell r="J5428" t="str">
            <v>99 Input/Byprodt/Scrap</v>
          </cell>
          <cell r="K5428" t="str">
            <v>10.2012</v>
          </cell>
          <cell r="L5428">
            <v>17</v>
          </cell>
          <cell r="M5428" t="str">
            <v>EA</v>
          </cell>
          <cell r="N5428">
            <v>807.66999999999905</v>
          </cell>
          <cell r="O5428" t="str">
            <v>INR</v>
          </cell>
        </row>
        <row r="5429">
          <cell r="A5429" t="str">
            <v>L003 Ankleshwar</v>
          </cell>
          <cell r="B5429">
            <v>688174</v>
          </cell>
          <cell r="C5429" t="str">
            <v>NM NON ASBESTOS GASKET 3MM THK 12"</v>
          </cell>
          <cell r="D5429" t="str">
            <v>L0030151                       EnggStore</v>
          </cell>
          <cell r="E5429" t="str">
            <v>E01 E01</v>
          </cell>
          <cell r="F5429" t="str">
            <v>ND No planning</v>
          </cell>
          <cell r="G5429" t="str">
            <v>ERSA Spare parts</v>
          </cell>
          <cell r="H5429" t="str">
            <v>EN022     Hardwareitems</v>
          </cell>
          <cell r="I5429" t="str">
            <v>L003 Ankleshwar</v>
          </cell>
          <cell r="J5429" t="str">
            <v>99 Input/Byprodt/Scrap</v>
          </cell>
          <cell r="K5429" t="str">
            <v>10.2012</v>
          </cell>
          <cell r="L5429">
            <v>1</v>
          </cell>
          <cell r="M5429" t="str">
            <v>EA</v>
          </cell>
          <cell r="N5429">
            <v>77.299999999999898</v>
          </cell>
          <cell r="O5429" t="str">
            <v>INR</v>
          </cell>
        </row>
        <row r="5430">
          <cell r="A5430" t="str">
            <v>L003 Ankleshwar</v>
          </cell>
          <cell r="B5430">
            <v>688182</v>
          </cell>
          <cell r="C5430" t="str">
            <v>EMERGENCY STOP PUSH BUTTON</v>
          </cell>
          <cell r="D5430" t="str">
            <v>L0030151                       EnggStore</v>
          </cell>
          <cell r="E5430">
            <v>0</v>
          </cell>
          <cell r="F5430" t="str">
            <v>ND No planning</v>
          </cell>
          <cell r="G5430" t="str">
            <v>ERSA Spare parts</v>
          </cell>
          <cell r="H5430" t="str">
            <v>EN003     ElectricalSpares</v>
          </cell>
          <cell r="I5430" t="str">
            <v>L003 Ankleshwar</v>
          </cell>
          <cell r="J5430" t="str">
            <v>99 Input/Byprodt/Scrap</v>
          </cell>
          <cell r="K5430" t="str">
            <v>10.2012</v>
          </cell>
          <cell r="L5430">
            <v>5</v>
          </cell>
          <cell r="M5430" t="str">
            <v>EA</v>
          </cell>
          <cell r="N5430">
            <v>735</v>
          </cell>
          <cell r="O5430" t="str">
            <v>INR</v>
          </cell>
        </row>
        <row r="5431">
          <cell r="A5431" t="str">
            <v>L003 Ankleshwar</v>
          </cell>
          <cell r="B5431">
            <v>688184</v>
          </cell>
          <cell r="C5431" t="str">
            <v>BALL BEARING 6213 2RS</v>
          </cell>
          <cell r="D5431" t="str">
            <v>L0030151                       EnggStore</v>
          </cell>
          <cell r="E5431" t="str">
            <v>E31 E31</v>
          </cell>
          <cell r="F5431" t="str">
            <v>VB Manual reorder point planning</v>
          </cell>
          <cell r="G5431" t="str">
            <v>ERSA Spare parts</v>
          </cell>
          <cell r="H5431" t="str">
            <v>EN009     Bearings</v>
          </cell>
          <cell r="I5431" t="str">
            <v>L003 Ankleshwar</v>
          </cell>
          <cell r="J5431" t="str">
            <v>99 Input/Byprodt/Scrap</v>
          </cell>
          <cell r="K5431" t="str">
            <v>10.2012</v>
          </cell>
          <cell r="L5431">
            <v>2</v>
          </cell>
          <cell r="M5431" t="str">
            <v>EA</v>
          </cell>
          <cell r="N5431">
            <v>3581.61</v>
          </cell>
          <cell r="O5431" t="str">
            <v>INR</v>
          </cell>
        </row>
        <row r="5432">
          <cell r="A5432" t="str">
            <v>L003 Ankleshwar</v>
          </cell>
          <cell r="B5432">
            <v>688187</v>
          </cell>
          <cell r="C5432" t="str">
            <v>TEMPERATURE SCANNER NFLP 8 CHANNEL</v>
          </cell>
          <cell r="D5432" t="str">
            <v>L0030151                       EnggStore</v>
          </cell>
          <cell r="E5432">
            <v>0</v>
          </cell>
          <cell r="F5432" t="str">
            <v>ND No planning</v>
          </cell>
          <cell r="G5432" t="str">
            <v>ERSA Spare parts</v>
          </cell>
          <cell r="H5432" t="str">
            <v>EN017     InstrumentSpares</v>
          </cell>
          <cell r="I5432" t="str">
            <v>L003 Ankleshwar</v>
          </cell>
          <cell r="J5432" t="str">
            <v>99 Input/Byprodt/Scrap</v>
          </cell>
          <cell r="K5432" t="str">
            <v>10.2012</v>
          </cell>
          <cell r="L5432">
            <v>1</v>
          </cell>
          <cell r="M5432" t="str">
            <v>EA</v>
          </cell>
          <cell r="N5432">
            <v>7831.05</v>
          </cell>
          <cell r="O5432" t="str">
            <v>INR</v>
          </cell>
        </row>
        <row r="5433">
          <cell r="A5433" t="str">
            <v>L003 Ankleshwar</v>
          </cell>
          <cell r="B5433">
            <v>688205</v>
          </cell>
          <cell r="C5433" t="str">
            <v>ARB 5-30 HP/60HZ P.T.NO: 213-053</v>
          </cell>
          <cell r="D5433" t="str">
            <v>L0030151                       EnggStore</v>
          </cell>
          <cell r="E5433">
            <v>0</v>
          </cell>
          <cell r="F5433" t="str">
            <v>ND No planning</v>
          </cell>
          <cell r="G5433" t="str">
            <v>ERSA Spare parts</v>
          </cell>
          <cell r="H5433" t="str">
            <v>EN039     PlantEquipmentSpares</v>
          </cell>
          <cell r="I5433" t="str">
            <v>L003 Ankleshwar</v>
          </cell>
          <cell r="J5433" t="str">
            <v>99 Input/Byprodt/Scrap</v>
          </cell>
          <cell r="K5433" t="str">
            <v>10.2012</v>
          </cell>
          <cell r="L5433">
            <v>2</v>
          </cell>
          <cell r="M5433" t="str">
            <v>EA</v>
          </cell>
          <cell r="N5433">
            <v>17000</v>
          </cell>
          <cell r="O5433" t="str">
            <v>INR</v>
          </cell>
        </row>
        <row r="5434">
          <cell r="A5434" t="str">
            <v>L003 Ankleshwar</v>
          </cell>
          <cell r="B5434">
            <v>688206</v>
          </cell>
          <cell r="C5434" t="str">
            <v>WASHERBRONZE2.5ODX2.0IDP.T.NO:215-123</v>
          </cell>
          <cell r="D5434" t="str">
            <v>L0030151                       EnggStore</v>
          </cell>
          <cell r="E5434">
            <v>0</v>
          </cell>
          <cell r="F5434" t="str">
            <v>ND No planning</v>
          </cell>
          <cell r="G5434" t="str">
            <v>ERSA Spare parts</v>
          </cell>
          <cell r="H5434" t="str">
            <v>EN039     PlantEquipmentSpares</v>
          </cell>
          <cell r="I5434" t="str">
            <v>L003 Ankleshwar</v>
          </cell>
          <cell r="J5434" t="str">
            <v>99 Input/Byprodt/Scrap</v>
          </cell>
          <cell r="K5434" t="str">
            <v>10.2012</v>
          </cell>
          <cell r="L5434">
            <v>4</v>
          </cell>
          <cell r="M5434" t="str">
            <v>EA</v>
          </cell>
          <cell r="N5434">
            <v>986</v>
          </cell>
          <cell r="O5434" t="str">
            <v>INR</v>
          </cell>
        </row>
        <row r="5435">
          <cell r="A5435" t="str">
            <v>L003 Ankleshwar</v>
          </cell>
          <cell r="B5435">
            <v>688207</v>
          </cell>
          <cell r="C5435" t="str">
            <v>SDS 5-30 HP/60HZ P.T.NO: 247-034</v>
          </cell>
          <cell r="D5435" t="str">
            <v>L0030151                       EnggStore</v>
          </cell>
          <cell r="E5435">
            <v>0</v>
          </cell>
          <cell r="F5435" t="str">
            <v>ND No planning</v>
          </cell>
          <cell r="G5435" t="str">
            <v>ERSA Spare parts</v>
          </cell>
          <cell r="H5435" t="str">
            <v>EN039     PlantEquipmentSpares</v>
          </cell>
          <cell r="I5435" t="str">
            <v>L003 Ankleshwar</v>
          </cell>
          <cell r="J5435" t="str">
            <v>99 Input/Byprodt/Scrap</v>
          </cell>
          <cell r="K5435" t="str">
            <v>10.2012</v>
          </cell>
          <cell r="L5435">
            <v>2</v>
          </cell>
          <cell r="M5435" t="str">
            <v>EA</v>
          </cell>
          <cell r="N5435">
            <v>29240</v>
          </cell>
          <cell r="O5435" t="str">
            <v>INR</v>
          </cell>
        </row>
        <row r="5436">
          <cell r="A5436" t="str">
            <v>L003 Ankleshwar</v>
          </cell>
          <cell r="B5436">
            <v>688213</v>
          </cell>
          <cell r="C5436" t="str">
            <v>H 3264 125 RIDER RING (1903391408)</v>
          </cell>
          <cell r="D5436" t="str">
            <v>L0030151                       EnggStore</v>
          </cell>
          <cell r="E5436">
            <v>0</v>
          </cell>
          <cell r="F5436" t="str">
            <v>ND No planning</v>
          </cell>
          <cell r="G5436" t="str">
            <v>ERSA Spare parts</v>
          </cell>
          <cell r="H5436" t="str">
            <v>EN018     UtilityEquipmentSpar</v>
          </cell>
          <cell r="I5436" t="str">
            <v>L003 Ankleshwar</v>
          </cell>
          <cell r="J5436" t="str">
            <v>99 Input/Byprodt/Scrap</v>
          </cell>
          <cell r="K5436" t="str">
            <v>10.2012</v>
          </cell>
          <cell r="L5436">
            <v>1</v>
          </cell>
          <cell r="M5436" t="str">
            <v>EA</v>
          </cell>
          <cell r="N5436">
            <v>3430.82</v>
          </cell>
          <cell r="O5436" t="str">
            <v>INR</v>
          </cell>
        </row>
        <row r="5437">
          <cell r="A5437" t="str">
            <v>L003 Ankleshwar</v>
          </cell>
          <cell r="B5437">
            <v>688447</v>
          </cell>
          <cell r="C5437" t="str">
            <v>CG -760 TO 6 KG/CM2 1/4BSP DIAL SIZE 4"</v>
          </cell>
          <cell r="D5437" t="str">
            <v>L0030151                       EnggStore</v>
          </cell>
          <cell r="E5437">
            <v>0</v>
          </cell>
          <cell r="F5437" t="str">
            <v>ND No planning</v>
          </cell>
          <cell r="G5437" t="str">
            <v>ERSA Spare parts</v>
          </cell>
          <cell r="H5437" t="str">
            <v>EN017     InstrumentSpares</v>
          </cell>
          <cell r="I5437" t="str">
            <v>L003 Ankleshwar</v>
          </cell>
          <cell r="J5437" t="str">
            <v>99 Input/Byprodt/Scrap</v>
          </cell>
          <cell r="K5437" t="str">
            <v>10.2012</v>
          </cell>
          <cell r="L5437">
            <v>3</v>
          </cell>
          <cell r="M5437" t="str">
            <v>EA</v>
          </cell>
          <cell r="N5437">
            <v>1800</v>
          </cell>
          <cell r="O5437" t="str">
            <v>INR</v>
          </cell>
        </row>
        <row r="5438">
          <cell r="A5438" t="str">
            <v>L003 Ankleshwar</v>
          </cell>
          <cell r="B5438">
            <v>688474</v>
          </cell>
          <cell r="C5438" t="str">
            <v>HX2T 30NPE2228 SPRING PLATE(1903224905)</v>
          </cell>
          <cell r="D5438" t="str">
            <v>L0030151                       EnggStore</v>
          </cell>
          <cell r="E5438">
            <v>0</v>
          </cell>
          <cell r="F5438" t="str">
            <v>ND No planning</v>
          </cell>
          <cell r="G5438" t="str">
            <v>ERSA Spare parts</v>
          </cell>
          <cell r="H5438" t="str">
            <v>EN018     UtilityEquipmentSpar</v>
          </cell>
          <cell r="I5438" t="str">
            <v>L003 Ankleshwar</v>
          </cell>
          <cell r="J5438" t="str">
            <v>99 Input/Byprodt/Scrap</v>
          </cell>
          <cell r="K5438" t="str">
            <v>10.2012</v>
          </cell>
          <cell r="L5438">
            <v>6</v>
          </cell>
          <cell r="M5438" t="str">
            <v>EA</v>
          </cell>
          <cell r="N5438">
            <v>7214.92</v>
          </cell>
          <cell r="O5438" t="str">
            <v>INR</v>
          </cell>
        </row>
        <row r="5439">
          <cell r="A5439" t="str">
            <v>L003 Ankleshwar</v>
          </cell>
          <cell r="B5439">
            <v>688475</v>
          </cell>
          <cell r="C5439" t="str">
            <v>CI PULLEY 225MM OD,4G,C SEC.</v>
          </cell>
          <cell r="D5439" t="str">
            <v>L0030151                       EnggStore</v>
          </cell>
          <cell r="E5439">
            <v>0</v>
          </cell>
          <cell r="F5439" t="str">
            <v>ND No planning</v>
          </cell>
          <cell r="G5439" t="str">
            <v>ERSA Spare parts</v>
          </cell>
          <cell r="H5439" t="str">
            <v>EN021     VbeltCoupling&amp;Pulley</v>
          </cell>
          <cell r="I5439" t="str">
            <v>L003 Ankleshwar</v>
          </cell>
          <cell r="J5439" t="str">
            <v>99 Input/Byprodt/Scrap</v>
          </cell>
          <cell r="K5439" t="str">
            <v>10.2012</v>
          </cell>
          <cell r="L5439">
            <v>1</v>
          </cell>
          <cell r="M5439" t="str">
            <v>EA</v>
          </cell>
          <cell r="N5439">
            <v>1120</v>
          </cell>
          <cell r="O5439" t="str">
            <v>INR</v>
          </cell>
        </row>
        <row r="5440">
          <cell r="A5440" t="str">
            <v>L003 Ankleshwar</v>
          </cell>
          <cell r="B5440">
            <v>688476</v>
          </cell>
          <cell r="C5440" t="str">
            <v>CI PULLEY 275MM OD,4G,C SEC.</v>
          </cell>
          <cell r="D5440" t="str">
            <v>L0030151                       EnggStore</v>
          </cell>
          <cell r="E5440">
            <v>0</v>
          </cell>
          <cell r="F5440" t="str">
            <v>ND No planning</v>
          </cell>
          <cell r="G5440" t="str">
            <v>ERSA Spare parts</v>
          </cell>
          <cell r="H5440" t="str">
            <v>EN021     VbeltCoupling&amp;Pulley</v>
          </cell>
          <cell r="I5440" t="str">
            <v>L003 Ankleshwar</v>
          </cell>
          <cell r="J5440" t="str">
            <v>99 Input/Byprodt/Scrap</v>
          </cell>
          <cell r="K5440" t="str">
            <v>10.2012</v>
          </cell>
          <cell r="L5440">
            <v>1</v>
          </cell>
          <cell r="M5440" t="str">
            <v>EA</v>
          </cell>
          <cell r="N5440">
            <v>1480</v>
          </cell>
          <cell r="O5440" t="str">
            <v>INR</v>
          </cell>
        </row>
        <row r="5441">
          <cell r="A5441" t="str">
            <v>L003 Ankleshwar</v>
          </cell>
          <cell r="B5441">
            <v>688562</v>
          </cell>
          <cell r="C5441" t="str">
            <v>LOAD CELL MOUNTING LEG</v>
          </cell>
          <cell r="D5441" t="str">
            <v>L0030151                       EnggStore</v>
          </cell>
          <cell r="E5441">
            <v>0</v>
          </cell>
          <cell r="F5441" t="str">
            <v>ND No planning</v>
          </cell>
          <cell r="G5441" t="str">
            <v>ERSA Spare parts</v>
          </cell>
          <cell r="H5441" t="str">
            <v>EN017     InstrumentSpares</v>
          </cell>
          <cell r="I5441" t="str">
            <v>L003 Ankleshwar</v>
          </cell>
          <cell r="J5441" t="str">
            <v>99 Input/Byprodt/Scrap</v>
          </cell>
          <cell r="K5441" t="str">
            <v>10.2012</v>
          </cell>
          <cell r="L5441">
            <v>4</v>
          </cell>
          <cell r="M5441" t="str">
            <v>EA</v>
          </cell>
          <cell r="N5441">
            <v>1440</v>
          </cell>
          <cell r="O5441" t="str">
            <v>INR</v>
          </cell>
        </row>
        <row r="5442">
          <cell r="A5442" t="str">
            <v>L003 Ankleshwar</v>
          </cell>
          <cell r="B5442">
            <v>688591</v>
          </cell>
          <cell r="C5442" t="str">
            <v>CIPULLEYFENNERMAKESPCSECTION05GROOVE10"</v>
          </cell>
          <cell r="D5442" t="str">
            <v>L0030151                       EnggStore</v>
          </cell>
          <cell r="E5442">
            <v>0</v>
          </cell>
          <cell r="F5442" t="str">
            <v>ND No planning</v>
          </cell>
          <cell r="G5442" t="str">
            <v>ERSA Spare parts</v>
          </cell>
          <cell r="H5442" t="str">
            <v>EN020     RubberItems&amp;Oil Seal</v>
          </cell>
          <cell r="I5442" t="str">
            <v>L003 Ankleshwar</v>
          </cell>
          <cell r="J5442" t="str">
            <v>99 Input/Byprodt/Scrap</v>
          </cell>
          <cell r="K5442" t="str">
            <v>10.2012</v>
          </cell>
          <cell r="L5442">
            <v>1</v>
          </cell>
          <cell r="M5442" t="str">
            <v>SET</v>
          </cell>
          <cell r="N5442">
            <v>5075.0699999999897</v>
          </cell>
          <cell r="O5442" t="str">
            <v>INR</v>
          </cell>
        </row>
        <row r="5443">
          <cell r="A5443" t="str">
            <v>L003 Ankleshwar</v>
          </cell>
          <cell r="B5443">
            <v>688662</v>
          </cell>
          <cell r="C5443" t="str">
            <v>HASTTALOY BOLT 8MM X25MM LONG</v>
          </cell>
          <cell r="D5443" t="str">
            <v>L0030151                       EnggStore</v>
          </cell>
          <cell r="E5443">
            <v>0</v>
          </cell>
          <cell r="F5443" t="str">
            <v>ND No planning</v>
          </cell>
          <cell r="G5443" t="str">
            <v>ERSA Spare parts</v>
          </cell>
          <cell r="H5443" t="str">
            <v>EN039     PlantEquipmentSpares</v>
          </cell>
          <cell r="I5443" t="str">
            <v>L003 Ankleshwar</v>
          </cell>
          <cell r="J5443" t="str">
            <v>99 Input/Byprodt/Scrap</v>
          </cell>
          <cell r="K5443" t="str">
            <v>10.2012</v>
          </cell>
          <cell r="L5443">
            <v>50</v>
          </cell>
          <cell r="M5443" t="str">
            <v>EA</v>
          </cell>
          <cell r="N5443">
            <v>5875</v>
          </cell>
          <cell r="O5443" t="str">
            <v>INR</v>
          </cell>
        </row>
        <row r="5444">
          <cell r="A5444" t="str">
            <v>L003 Ankleshwar</v>
          </cell>
          <cell r="B5444">
            <v>688729</v>
          </cell>
          <cell r="C5444" t="str">
            <v>CFL LAMP, PIN TYPE, 25W, 220-240V</v>
          </cell>
          <cell r="D5444" t="str">
            <v>L0030151                       EnggStore</v>
          </cell>
          <cell r="E5444" t="str">
            <v>E36 E36</v>
          </cell>
          <cell r="F5444" t="str">
            <v>VB Manual reorder point planning</v>
          </cell>
          <cell r="G5444" t="str">
            <v>ERSA Spare parts</v>
          </cell>
          <cell r="H5444" t="str">
            <v>EN005     Elec Lighting</v>
          </cell>
          <cell r="I5444" t="str">
            <v>L003 Ankleshwar</v>
          </cell>
          <cell r="J5444" t="str">
            <v>99 Input/Byprodt/Scrap</v>
          </cell>
          <cell r="K5444" t="str">
            <v>10.2012</v>
          </cell>
          <cell r="L5444">
            <v>1</v>
          </cell>
          <cell r="M5444" t="str">
            <v>EA</v>
          </cell>
          <cell r="N5444">
            <v>184.28</v>
          </cell>
          <cell r="O5444" t="str">
            <v>INR</v>
          </cell>
        </row>
        <row r="5445">
          <cell r="A5445" t="str">
            <v>L003 Ankleshwar</v>
          </cell>
          <cell r="B5445">
            <v>688771</v>
          </cell>
          <cell r="C5445" t="str">
            <v>DIAPHRAGM NEOPRENE 65 MM</v>
          </cell>
          <cell r="D5445" t="str">
            <v>L0030151                       EnggStore</v>
          </cell>
          <cell r="E5445">
            <v>0</v>
          </cell>
          <cell r="F5445" t="str">
            <v>ND No planning</v>
          </cell>
          <cell r="G5445" t="str">
            <v>ERSA Spare parts</v>
          </cell>
          <cell r="H5445" t="str">
            <v>EN023     Valves&amp;spares</v>
          </cell>
          <cell r="I5445" t="str">
            <v>L003 Ankleshwar</v>
          </cell>
          <cell r="J5445" t="str">
            <v>99 Input/Byprodt/Scrap</v>
          </cell>
          <cell r="K5445" t="str">
            <v>10.2012</v>
          </cell>
          <cell r="L5445">
            <v>12</v>
          </cell>
          <cell r="M5445" t="str">
            <v>EA</v>
          </cell>
          <cell r="N5445">
            <v>840</v>
          </cell>
          <cell r="O5445" t="str">
            <v>INR</v>
          </cell>
        </row>
        <row r="5446">
          <cell r="A5446" t="str">
            <v>L003 Ankleshwar</v>
          </cell>
          <cell r="B5446">
            <v>689003</v>
          </cell>
          <cell r="C5446" t="str">
            <v>LP SWITCH  8.5 TR  DUCTABLE UNIT AC M/C</v>
          </cell>
          <cell r="D5446" t="str">
            <v>L0030151                       EnggStore</v>
          </cell>
          <cell r="E5446">
            <v>0</v>
          </cell>
          <cell r="F5446" t="str">
            <v>ND No planning</v>
          </cell>
          <cell r="G5446" t="str">
            <v>ERSA Spare parts</v>
          </cell>
          <cell r="H5446" t="str">
            <v>EN037     Refrigeration&amp;A/Cspa</v>
          </cell>
          <cell r="I5446" t="str">
            <v>L003 Ankleshwar</v>
          </cell>
          <cell r="J5446" t="str">
            <v>99 Input/Byprodt/Scrap</v>
          </cell>
          <cell r="K5446" t="str">
            <v>10.2012</v>
          </cell>
          <cell r="L5446">
            <v>1</v>
          </cell>
          <cell r="M5446" t="str">
            <v>EA</v>
          </cell>
          <cell r="N5446">
            <v>1135.25</v>
          </cell>
          <cell r="O5446" t="str">
            <v>INR</v>
          </cell>
        </row>
        <row r="5447">
          <cell r="A5447" t="str">
            <v>L003 Ankleshwar</v>
          </cell>
          <cell r="B5447">
            <v>689038</v>
          </cell>
          <cell r="C5447" t="str">
            <v>SIC SEAT-HI-FAB:SSUV/SSUV-1016(900)</v>
          </cell>
          <cell r="D5447" t="str">
            <v>L0030151                       EnggStore</v>
          </cell>
          <cell r="E5447">
            <v>0</v>
          </cell>
          <cell r="F5447" t="str">
            <v>ND No planning</v>
          </cell>
          <cell r="G5447" t="str">
            <v>ERSA Spare parts</v>
          </cell>
          <cell r="H5447" t="str">
            <v>EN038     MechanicalSeals&amp;Spar</v>
          </cell>
          <cell r="I5447" t="str">
            <v>L003 Ankleshwar</v>
          </cell>
          <cell r="J5447" t="str">
            <v>99 Input/Byprodt/Scrap</v>
          </cell>
          <cell r="K5447" t="str">
            <v>10.2012</v>
          </cell>
          <cell r="L5447">
            <v>1</v>
          </cell>
          <cell r="M5447" t="str">
            <v>EA</v>
          </cell>
          <cell r="N5447">
            <v>13900.01</v>
          </cell>
          <cell r="O5447" t="str">
            <v>INR</v>
          </cell>
        </row>
        <row r="5448">
          <cell r="A5448" t="str">
            <v>L003 Ankleshwar</v>
          </cell>
          <cell r="B5448">
            <v>689061</v>
          </cell>
          <cell r="C5448" t="str">
            <v>CARBON RING-HIFAB:SSUV/SSUV-SZ.1016(900)</v>
          </cell>
          <cell r="D5448" t="str">
            <v>L0030151                       EnggStore</v>
          </cell>
          <cell r="E5448">
            <v>0</v>
          </cell>
          <cell r="F5448" t="str">
            <v>ND No planning</v>
          </cell>
          <cell r="G5448" t="str">
            <v>ERSA Spare parts</v>
          </cell>
          <cell r="H5448" t="str">
            <v>EN038     MechanicalSeals&amp;Spar</v>
          </cell>
          <cell r="I5448" t="str">
            <v>L003 Ankleshwar</v>
          </cell>
          <cell r="J5448" t="str">
            <v>99 Input/Byprodt/Scrap</v>
          </cell>
          <cell r="K5448" t="str">
            <v>10.2012</v>
          </cell>
          <cell r="L5448">
            <v>1</v>
          </cell>
          <cell r="M5448" t="str">
            <v>EA</v>
          </cell>
          <cell r="N5448">
            <v>9940.61</v>
          </cell>
          <cell r="O5448" t="str">
            <v>INR</v>
          </cell>
        </row>
        <row r="5449">
          <cell r="A5449" t="str">
            <v>L003 Ankleshwar</v>
          </cell>
          <cell r="B5449">
            <v>689062</v>
          </cell>
          <cell r="C5449" t="str">
            <v>SNAP RING-HI-FAB:SSUV/SSUV-SIZE1016(900)</v>
          </cell>
          <cell r="D5449" t="str">
            <v>L0030151                       EnggStore</v>
          </cell>
          <cell r="E5449">
            <v>0</v>
          </cell>
          <cell r="F5449" t="str">
            <v>ND No planning</v>
          </cell>
          <cell r="G5449" t="str">
            <v>ERSA Spare parts</v>
          </cell>
          <cell r="H5449" t="str">
            <v>EN038     MechanicalSeals&amp;Spar</v>
          </cell>
          <cell r="I5449" t="str">
            <v>L003 Ankleshwar</v>
          </cell>
          <cell r="J5449" t="str">
            <v>99 Input/Byprodt/Scrap</v>
          </cell>
          <cell r="K5449" t="str">
            <v>10.2012</v>
          </cell>
          <cell r="L5449">
            <v>2</v>
          </cell>
          <cell r="M5449" t="str">
            <v>EA</v>
          </cell>
          <cell r="N5449">
            <v>1347.88</v>
          </cell>
          <cell r="O5449" t="str">
            <v>INR</v>
          </cell>
        </row>
        <row r="5450">
          <cell r="A5450" t="str">
            <v>L003 Ankleshwar</v>
          </cell>
          <cell r="B5450">
            <v>689064</v>
          </cell>
          <cell r="C5450" t="str">
            <v>TH.WASHER-HI-FAB:SSUV/SSUV-SZ1016(900)</v>
          </cell>
          <cell r="D5450" t="str">
            <v>L0030151                       EnggStore</v>
          </cell>
          <cell r="E5450">
            <v>0</v>
          </cell>
          <cell r="F5450" t="str">
            <v>ND No planning</v>
          </cell>
          <cell r="G5450" t="str">
            <v>ERSA Spare parts</v>
          </cell>
          <cell r="H5450" t="str">
            <v>EN038     MechanicalSeals&amp;Spar</v>
          </cell>
          <cell r="I5450" t="str">
            <v>L003 Ankleshwar</v>
          </cell>
          <cell r="J5450" t="str">
            <v>99 Input/Byprodt/Scrap</v>
          </cell>
          <cell r="K5450" t="str">
            <v>10.2012</v>
          </cell>
          <cell r="L5450">
            <v>2</v>
          </cell>
          <cell r="M5450" t="str">
            <v>EA</v>
          </cell>
          <cell r="N5450">
            <v>1347.88</v>
          </cell>
          <cell r="O5450" t="str">
            <v>INR</v>
          </cell>
        </row>
        <row r="5451">
          <cell r="A5451" t="str">
            <v>L003 Ankleshwar</v>
          </cell>
          <cell r="B5451">
            <v>689065</v>
          </cell>
          <cell r="C5451" t="str">
            <v>SPRING-HI-FAB:SSUV/SSUV-SIZE1016(900)</v>
          </cell>
          <cell r="D5451" t="str">
            <v>L0030151                       EnggStore</v>
          </cell>
          <cell r="E5451">
            <v>0</v>
          </cell>
          <cell r="F5451" t="str">
            <v>ND No planning</v>
          </cell>
          <cell r="G5451" t="str">
            <v>ERSA Spare parts</v>
          </cell>
          <cell r="H5451" t="str">
            <v>EN038     MechanicalSeals&amp;Spar</v>
          </cell>
          <cell r="I5451" t="str">
            <v>L003 Ankleshwar</v>
          </cell>
          <cell r="J5451" t="str">
            <v>99 Input/Byprodt/Scrap</v>
          </cell>
          <cell r="K5451" t="str">
            <v>10.2012</v>
          </cell>
          <cell r="L5451">
            <v>2</v>
          </cell>
          <cell r="M5451" t="str">
            <v>EA</v>
          </cell>
          <cell r="N5451">
            <v>421.20999999999901</v>
          </cell>
          <cell r="O5451" t="str">
            <v>INR</v>
          </cell>
        </row>
        <row r="5452">
          <cell r="A5452" t="str">
            <v>L003 Ankleshwar</v>
          </cell>
          <cell r="B5452">
            <v>689066</v>
          </cell>
          <cell r="C5452" t="str">
            <v>CUP-HI-FAB:SSUV/SSUV-SIZE1016(900)</v>
          </cell>
          <cell r="D5452" t="str">
            <v>L0030151                       EnggStore</v>
          </cell>
          <cell r="E5452">
            <v>0</v>
          </cell>
          <cell r="F5452" t="str">
            <v>ND No planning</v>
          </cell>
          <cell r="G5452" t="str">
            <v>ERSA Spare parts</v>
          </cell>
          <cell r="H5452" t="str">
            <v>EN038     MechanicalSeals&amp;Spar</v>
          </cell>
          <cell r="I5452" t="str">
            <v>L003 Ankleshwar</v>
          </cell>
          <cell r="J5452" t="str">
            <v>99 Input/Byprodt/Scrap</v>
          </cell>
          <cell r="K5452" t="str">
            <v>10.2012</v>
          </cell>
          <cell r="L5452">
            <v>1</v>
          </cell>
          <cell r="M5452" t="str">
            <v>EA</v>
          </cell>
          <cell r="N5452">
            <v>6570.9099999999899</v>
          </cell>
          <cell r="O5452" t="str">
            <v>INR</v>
          </cell>
        </row>
        <row r="5453">
          <cell r="A5453" t="str">
            <v>L003 Ankleshwar</v>
          </cell>
          <cell r="B5453">
            <v>689067</v>
          </cell>
          <cell r="C5453" t="str">
            <v>GR.SCREW-HI-FAB:SSUV/SSUV-SIZE1016(900)</v>
          </cell>
          <cell r="D5453" t="str">
            <v>L0030151                       EnggStore</v>
          </cell>
          <cell r="E5453">
            <v>0</v>
          </cell>
          <cell r="F5453" t="str">
            <v>ND No planning</v>
          </cell>
          <cell r="G5453" t="str">
            <v>ERSA Spare parts</v>
          </cell>
          <cell r="H5453" t="str">
            <v>EN038     MechanicalSeals&amp;Spar</v>
          </cell>
          <cell r="I5453" t="str">
            <v>L003 Ankleshwar</v>
          </cell>
          <cell r="J5453" t="str">
            <v>99 Input/Byprodt/Scrap</v>
          </cell>
          <cell r="K5453" t="str">
            <v>10.2012</v>
          </cell>
          <cell r="L5453">
            <v>1</v>
          </cell>
          <cell r="M5453" t="str">
            <v>EA</v>
          </cell>
          <cell r="N5453">
            <v>84.239999999999895</v>
          </cell>
          <cell r="O5453" t="str">
            <v>INR</v>
          </cell>
        </row>
        <row r="5454">
          <cell r="A5454" t="str">
            <v>L003 Ankleshwar</v>
          </cell>
          <cell r="B5454">
            <v>689071</v>
          </cell>
          <cell r="C5454" t="str">
            <v>CFT PKG-HI-FAB:SSUV/SSUV-SZ.1016(900)</v>
          </cell>
          <cell r="D5454" t="str">
            <v>L0030151                       EnggStore</v>
          </cell>
          <cell r="E5454">
            <v>0</v>
          </cell>
          <cell r="F5454" t="str">
            <v>ND No planning</v>
          </cell>
          <cell r="G5454" t="str">
            <v>ERSA Spare parts</v>
          </cell>
          <cell r="H5454" t="str">
            <v>EN038     MechanicalSeals&amp;Spar</v>
          </cell>
          <cell r="I5454" t="str">
            <v>L003 Ankleshwar</v>
          </cell>
          <cell r="J5454" t="str">
            <v>99 Input/Byprodt/Scrap</v>
          </cell>
          <cell r="K5454" t="str">
            <v>10.2012</v>
          </cell>
          <cell r="L5454">
            <v>2</v>
          </cell>
          <cell r="M5454" t="str">
            <v>EA</v>
          </cell>
          <cell r="N5454">
            <v>2948.5</v>
          </cell>
          <cell r="O5454" t="str">
            <v>INR</v>
          </cell>
        </row>
        <row r="5455">
          <cell r="A5455" t="str">
            <v>L003 Ankleshwar</v>
          </cell>
          <cell r="B5455">
            <v>689072</v>
          </cell>
          <cell r="C5455" t="str">
            <v>SET SCREW-HI-FAB:SSUV/SSUV-SZ1016(900)</v>
          </cell>
          <cell r="D5455" t="str">
            <v>L0030151                       EnggStore</v>
          </cell>
          <cell r="E5455">
            <v>0</v>
          </cell>
          <cell r="F5455" t="str">
            <v>ND No planning</v>
          </cell>
          <cell r="G5455" t="str">
            <v>ERSA Spare parts</v>
          </cell>
          <cell r="H5455" t="str">
            <v>EN038     MechanicalSeals&amp;Spar</v>
          </cell>
          <cell r="I5455" t="str">
            <v>L003 Ankleshwar</v>
          </cell>
          <cell r="J5455" t="str">
            <v>99 Input/Byprodt/Scrap</v>
          </cell>
          <cell r="K5455" t="str">
            <v>10.2012</v>
          </cell>
          <cell r="L5455">
            <v>1</v>
          </cell>
          <cell r="M5455" t="str">
            <v>EA</v>
          </cell>
          <cell r="N5455">
            <v>210.599999999999</v>
          </cell>
          <cell r="O5455" t="str">
            <v>INR</v>
          </cell>
        </row>
        <row r="5456">
          <cell r="A5456" t="str">
            <v>L003 Ankleshwar</v>
          </cell>
          <cell r="B5456">
            <v>689182</v>
          </cell>
          <cell r="C5456" t="str">
            <v>VALVE SEAT INSERT,PNO:12301523,HEAD</v>
          </cell>
          <cell r="D5456" t="str">
            <v>L0030151                       EnggStore</v>
          </cell>
          <cell r="E5456">
            <v>0</v>
          </cell>
          <cell r="F5456" t="str">
            <v>ND No planning</v>
          </cell>
          <cell r="G5456" t="str">
            <v>ERSA Spare parts</v>
          </cell>
          <cell r="H5456" t="str">
            <v>EN029     Powerplantitems</v>
          </cell>
          <cell r="I5456" t="str">
            <v>L003 Ankleshwar</v>
          </cell>
          <cell r="J5456" t="str">
            <v>99 Input/Byprodt/Scrap</v>
          </cell>
          <cell r="K5456" t="str">
            <v>10.2012</v>
          </cell>
          <cell r="L5456">
            <v>1</v>
          </cell>
          <cell r="M5456" t="str">
            <v>EA</v>
          </cell>
          <cell r="N5456">
            <v>24043.38</v>
          </cell>
          <cell r="O5456" t="str">
            <v>INR</v>
          </cell>
        </row>
        <row r="5457">
          <cell r="A5457" t="str">
            <v>L003 Ankleshwar</v>
          </cell>
          <cell r="B5457">
            <v>689199</v>
          </cell>
          <cell r="C5457" t="str">
            <v>IGNITION CABLE,PNO:12300136</v>
          </cell>
          <cell r="D5457" t="str">
            <v>L0030151                       EnggStore</v>
          </cell>
          <cell r="E5457">
            <v>0</v>
          </cell>
          <cell r="F5457" t="str">
            <v>ND No planning</v>
          </cell>
          <cell r="G5457" t="str">
            <v>ERSA Spare parts</v>
          </cell>
          <cell r="H5457" t="str">
            <v>EN029     Powerplantitems</v>
          </cell>
          <cell r="I5457" t="str">
            <v>L003 Ankleshwar</v>
          </cell>
          <cell r="J5457" t="str">
            <v>99 Input/Byprodt/Scrap</v>
          </cell>
          <cell r="K5457" t="str">
            <v>10.2012</v>
          </cell>
          <cell r="L5457">
            <v>1</v>
          </cell>
          <cell r="M5457" t="str">
            <v>EA</v>
          </cell>
          <cell r="N5457">
            <v>20909</v>
          </cell>
          <cell r="O5457" t="str">
            <v>INR</v>
          </cell>
        </row>
        <row r="5458">
          <cell r="A5458" t="str">
            <v>L003 Ankleshwar</v>
          </cell>
          <cell r="B5458">
            <v>689244</v>
          </cell>
          <cell r="C5458" t="str">
            <v>GI PIPE "B" CLASS SIZE: 20MM</v>
          </cell>
          <cell r="D5458" t="str">
            <v>L0030151                       EnggStore</v>
          </cell>
          <cell r="E5458">
            <v>0</v>
          </cell>
          <cell r="F5458" t="str">
            <v>ND No planning</v>
          </cell>
          <cell r="G5458" t="str">
            <v>ERSA Spare parts</v>
          </cell>
          <cell r="H5458" t="str">
            <v>EN019     Civil/Buliding Mater</v>
          </cell>
          <cell r="I5458" t="str">
            <v>L003 Ankleshwar</v>
          </cell>
          <cell r="J5458" t="str">
            <v>99 Input/Byprodt/Scrap</v>
          </cell>
          <cell r="K5458" t="str">
            <v>10.2012</v>
          </cell>
          <cell r="L5458">
            <v>10.44</v>
          </cell>
          <cell r="M5458" t="str">
            <v>M</v>
          </cell>
          <cell r="N5458">
            <v>1002.73</v>
          </cell>
          <cell r="O5458" t="str">
            <v>INR</v>
          </cell>
        </row>
        <row r="5459">
          <cell r="A5459" t="str">
            <v>L003 Ankleshwar</v>
          </cell>
          <cell r="B5459">
            <v>689472</v>
          </cell>
          <cell r="C5459" t="str">
            <v>PTFE GLAND PKG: 6MM</v>
          </cell>
          <cell r="D5459" t="str">
            <v>L0030151                       EnggStore</v>
          </cell>
          <cell r="E5459">
            <v>0</v>
          </cell>
          <cell r="F5459" t="str">
            <v>ND No planning</v>
          </cell>
          <cell r="G5459" t="str">
            <v>ERSA Spare parts</v>
          </cell>
          <cell r="H5459" t="str">
            <v>EN024     EnggConsumables</v>
          </cell>
          <cell r="I5459" t="str">
            <v>L003 Ankleshwar</v>
          </cell>
          <cell r="J5459" t="str">
            <v>99 Input/Byprodt/Scrap</v>
          </cell>
          <cell r="K5459" t="str">
            <v>10.2012</v>
          </cell>
          <cell r="L5459">
            <v>0.1</v>
          </cell>
          <cell r="M5459" t="str">
            <v>KG</v>
          </cell>
          <cell r="N5459">
            <v>269.04000000000002</v>
          </cell>
          <cell r="O5459" t="str">
            <v>INR</v>
          </cell>
        </row>
        <row r="5460">
          <cell r="A5460" t="str">
            <v>L003 Ankleshwar</v>
          </cell>
          <cell r="B5460">
            <v>689544</v>
          </cell>
          <cell r="C5460" t="str">
            <v>VALVE 3 WAY WITH NRV 1/4" FLARE, BRASS</v>
          </cell>
          <cell r="D5460" t="str">
            <v>L0030151                       EnggStore</v>
          </cell>
          <cell r="E5460">
            <v>0</v>
          </cell>
          <cell r="F5460" t="str">
            <v>ND No planning</v>
          </cell>
          <cell r="G5460" t="str">
            <v>ERSA Spare parts</v>
          </cell>
          <cell r="H5460" t="str">
            <v>EN037     Refrigeration&amp;A/Cspa</v>
          </cell>
          <cell r="I5460" t="str">
            <v>L003 Ankleshwar</v>
          </cell>
          <cell r="J5460" t="str">
            <v>99 Input/Byprodt/Scrap</v>
          </cell>
          <cell r="K5460" t="str">
            <v>10.2012</v>
          </cell>
          <cell r="L5460">
            <v>5</v>
          </cell>
          <cell r="M5460" t="str">
            <v>EA</v>
          </cell>
          <cell r="N5460">
            <v>1283.3299999999899</v>
          </cell>
          <cell r="O5460" t="str">
            <v>INR</v>
          </cell>
        </row>
        <row r="5461">
          <cell r="A5461" t="str">
            <v>L003 Ankleshwar</v>
          </cell>
          <cell r="B5461">
            <v>689545</v>
          </cell>
          <cell r="C5461" t="str">
            <v>VALVE 3 WAY WITH NRV 5/8" FLARE, BRASS</v>
          </cell>
          <cell r="D5461" t="str">
            <v>L0030151                       EnggStore</v>
          </cell>
          <cell r="E5461">
            <v>0</v>
          </cell>
          <cell r="F5461" t="str">
            <v>ND No planning</v>
          </cell>
          <cell r="G5461" t="str">
            <v>ERSA Spare parts</v>
          </cell>
          <cell r="H5461" t="str">
            <v>EN037     Refrigeration&amp;A/Cspa</v>
          </cell>
          <cell r="I5461" t="str">
            <v>L003 Ankleshwar</v>
          </cell>
          <cell r="J5461" t="str">
            <v>99 Input/Byprodt/Scrap</v>
          </cell>
          <cell r="K5461" t="str">
            <v>10.2012</v>
          </cell>
          <cell r="L5461">
            <v>4</v>
          </cell>
          <cell r="M5461" t="str">
            <v>EA</v>
          </cell>
          <cell r="N5461">
            <v>1548</v>
          </cell>
          <cell r="O5461" t="str">
            <v>INR</v>
          </cell>
        </row>
        <row r="5462">
          <cell r="A5462" t="str">
            <v>L003 Ankleshwar</v>
          </cell>
          <cell r="B5462">
            <v>689549</v>
          </cell>
          <cell r="C5462" t="str">
            <v>MOTOR TERMINAL STUD FOR 40HP FLP</v>
          </cell>
          <cell r="D5462" t="str">
            <v>L0030151                       EnggStore</v>
          </cell>
          <cell r="E5462">
            <v>0</v>
          </cell>
          <cell r="F5462" t="str">
            <v>ND No planning</v>
          </cell>
          <cell r="G5462" t="str">
            <v>ERSA Spare parts</v>
          </cell>
          <cell r="H5462" t="str">
            <v>EN007     Elec Motors &amp; Spares</v>
          </cell>
          <cell r="I5462" t="str">
            <v>L003 Ankleshwar</v>
          </cell>
          <cell r="J5462" t="str">
            <v>99 Input/Byprodt/Scrap</v>
          </cell>
          <cell r="K5462" t="str">
            <v>10.2012</v>
          </cell>
          <cell r="L5462">
            <v>2</v>
          </cell>
          <cell r="M5462" t="str">
            <v>EA</v>
          </cell>
          <cell r="N5462">
            <v>1233</v>
          </cell>
          <cell r="O5462" t="str">
            <v>INR</v>
          </cell>
        </row>
        <row r="5463">
          <cell r="A5463" t="str">
            <v>L003 Ankleshwar</v>
          </cell>
          <cell r="B5463">
            <v>689567</v>
          </cell>
          <cell r="C5463" t="str">
            <v>TYPE MP DIFF PRESSURE SWITCH:INDFOS</v>
          </cell>
          <cell r="D5463" t="str">
            <v>L0030151                       EnggStore</v>
          </cell>
          <cell r="E5463" t="str">
            <v>E37 E37</v>
          </cell>
          <cell r="F5463" t="str">
            <v>VB Manual reorder point planning</v>
          </cell>
          <cell r="G5463" t="str">
            <v>ERSA Spare parts</v>
          </cell>
          <cell r="H5463" t="str">
            <v>EN017     InstrumentSpares</v>
          </cell>
          <cell r="I5463" t="str">
            <v>L003 Ankleshwar</v>
          </cell>
          <cell r="J5463" t="str">
            <v>99 Input/Byprodt/Scrap</v>
          </cell>
          <cell r="K5463" t="str">
            <v>10.2012</v>
          </cell>
          <cell r="L5463">
            <v>2</v>
          </cell>
          <cell r="M5463" t="str">
            <v>EA</v>
          </cell>
          <cell r="N5463">
            <v>5901.8199999999897</v>
          </cell>
          <cell r="O5463" t="str">
            <v>INR</v>
          </cell>
        </row>
        <row r="5464">
          <cell r="A5464" t="str">
            <v>L003 Ankleshwar</v>
          </cell>
          <cell r="B5464">
            <v>689628</v>
          </cell>
          <cell r="C5464" t="str">
            <v>U V CELL QR12B2.B180B</v>
          </cell>
          <cell r="D5464" t="str">
            <v>L0030151                       EnggStore</v>
          </cell>
          <cell r="E5464">
            <v>0</v>
          </cell>
          <cell r="F5464" t="str">
            <v>ND No planning</v>
          </cell>
          <cell r="G5464" t="str">
            <v>ERSA Spare parts</v>
          </cell>
          <cell r="H5464" t="str">
            <v>EN017     InstrumentSpares</v>
          </cell>
          <cell r="I5464" t="str">
            <v>L003 Ankleshwar</v>
          </cell>
          <cell r="J5464" t="str">
            <v>99 Input/Byprodt/Scrap</v>
          </cell>
          <cell r="K5464" t="str">
            <v>10.2012</v>
          </cell>
          <cell r="L5464">
            <v>1</v>
          </cell>
          <cell r="M5464" t="str">
            <v>EA</v>
          </cell>
          <cell r="N5464">
            <v>21535.08</v>
          </cell>
          <cell r="O5464" t="str">
            <v>INR</v>
          </cell>
        </row>
        <row r="5465">
          <cell r="A5465" t="str">
            <v>L003 Ankleshwar</v>
          </cell>
          <cell r="B5465">
            <v>689636</v>
          </cell>
          <cell r="C5465" t="str">
            <v>GRUNDFOS PUMP CRN1-3 PUMP SHAFT PN.51</v>
          </cell>
          <cell r="D5465" t="str">
            <v>L0030151                       EnggStore</v>
          </cell>
          <cell r="E5465" t="str">
            <v>E34 E34</v>
          </cell>
          <cell r="F5465" t="str">
            <v>VB Manual reorder point planning</v>
          </cell>
          <cell r="G5465" t="str">
            <v>ERSA Spare parts</v>
          </cell>
          <cell r="H5465" t="str">
            <v>EN032     Pumpspares</v>
          </cell>
          <cell r="I5465" t="str">
            <v>L003 Ankleshwar</v>
          </cell>
          <cell r="J5465" t="str">
            <v>99 Input/Byprodt/Scrap</v>
          </cell>
          <cell r="K5465" t="str">
            <v>10.2012</v>
          </cell>
          <cell r="L5465">
            <v>1</v>
          </cell>
          <cell r="M5465" t="str">
            <v>EA</v>
          </cell>
          <cell r="N5465">
            <v>1598</v>
          </cell>
          <cell r="O5465" t="str">
            <v>INR</v>
          </cell>
        </row>
        <row r="5466">
          <cell r="A5466" t="str">
            <v>L003 Ankleshwar</v>
          </cell>
          <cell r="B5466">
            <v>689637</v>
          </cell>
          <cell r="C5466" t="str">
            <v>GRUNDFOS PUMP CRN1-3 SPACING PIPE PN.64</v>
          </cell>
          <cell r="D5466" t="str">
            <v>L0030151                       EnggStore</v>
          </cell>
          <cell r="E5466" t="str">
            <v>E34 E34</v>
          </cell>
          <cell r="F5466" t="str">
            <v>VB Manual reorder point planning</v>
          </cell>
          <cell r="G5466" t="str">
            <v>ERSA Spare parts</v>
          </cell>
          <cell r="H5466" t="str">
            <v>EN032     Pumpspares</v>
          </cell>
          <cell r="I5466" t="str">
            <v>L003 Ankleshwar</v>
          </cell>
          <cell r="J5466" t="str">
            <v>99 Input/Byprodt/Scrap</v>
          </cell>
          <cell r="K5466" t="str">
            <v>10.2012</v>
          </cell>
          <cell r="L5466">
            <v>1</v>
          </cell>
          <cell r="M5466" t="str">
            <v>EA</v>
          </cell>
          <cell r="N5466">
            <v>30</v>
          </cell>
          <cell r="O5466" t="str">
            <v>INR</v>
          </cell>
        </row>
        <row r="5467">
          <cell r="A5467" t="str">
            <v>L003 Ankleshwar</v>
          </cell>
          <cell r="B5467">
            <v>689638</v>
          </cell>
          <cell r="C5467" t="str">
            <v>GRUNDFOS PUMP CRN1-3 SPACING PIPE PN.64A</v>
          </cell>
          <cell r="D5467" t="str">
            <v>L0030151                       EnggStore</v>
          </cell>
          <cell r="E5467" t="str">
            <v>E34 E34</v>
          </cell>
          <cell r="F5467" t="str">
            <v>VB Manual reorder point planning</v>
          </cell>
          <cell r="G5467" t="str">
            <v>ERSA Spare parts</v>
          </cell>
          <cell r="H5467" t="str">
            <v>EN032     Pumpspares</v>
          </cell>
          <cell r="I5467" t="str">
            <v>L003 Ankleshwar</v>
          </cell>
          <cell r="J5467" t="str">
            <v>99 Input/Byprodt/Scrap</v>
          </cell>
          <cell r="K5467" t="str">
            <v>10.2012</v>
          </cell>
          <cell r="L5467">
            <v>1</v>
          </cell>
          <cell r="M5467" t="str">
            <v>EA</v>
          </cell>
          <cell r="N5467">
            <v>58</v>
          </cell>
          <cell r="O5467" t="str">
            <v>INR</v>
          </cell>
        </row>
        <row r="5468">
          <cell r="A5468" t="str">
            <v>L003 Ankleshwar</v>
          </cell>
          <cell r="B5468">
            <v>689639</v>
          </cell>
          <cell r="C5468" t="str">
            <v>GRUNDFOS PUMP CRN1-3CLAMP,SPLINED PN.64C</v>
          </cell>
          <cell r="D5468" t="str">
            <v>L0030151                       EnggStore</v>
          </cell>
          <cell r="E5468" t="str">
            <v>E34 E34</v>
          </cell>
          <cell r="F5468" t="str">
            <v>VB Manual reorder point planning</v>
          </cell>
          <cell r="G5468" t="str">
            <v>ERSA Spare parts</v>
          </cell>
          <cell r="H5468" t="str">
            <v>EN032     Pumpspares</v>
          </cell>
          <cell r="I5468" t="str">
            <v>L003 Ankleshwar</v>
          </cell>
          <cell r="J5468" t="str">
            <v>99 Input/Byprodt/Scrap</v>
          </cell>
          <cell r="K5468" t="str">
            <v>10.2012</v>
          </cell>
          <cell r="L5468">
            <v>1</v>
          </cell>
          <cell r="M5468" t="str">
            <v>EA</v>
          </cell>
          <cell r="N5468">
            <v>110</v>
          </cell>
          <cell r="O5468" t="str">
            <v>INR</v>
          </cell>
        </row>
        <row r="5469">
          <cell r="A5469" t="str">
            <v>L003 Ankleshwar</v>
          </cell>
          <cell r="B5469">
            <v>689703</v>
          </cell>
          <cell r="C5469" t="str">
            <v>CERAMIC FOR DURA-TB 1.875"</v>
          </cell>
          <cell r="D5469" t="str">
            <v>L0030151                       EnggStore</v>
          </cell>
          <cell r="E5469">
            <v>0</v>
          </cell>
          <cell r="F5469" t="str">
            <v>ND No planning</v>
          </cell>
          <cell r="G5469" t="str">
            <v>ERSA Spare parts</v>
          </cell>
          <cell r="H5469" t="str">
            <v>EN038     MechanicalSeals&amp;Spar</v>
          </cell>
          <cell r="I5469" t="str">
            <v>L003 Ankleshwar</v>
          </cell>
          <cell r="J5469" t="str">
            <v>99 Input/Byprodt/Scrap</v>
          </cell>
          <cell r="K5469" t="str">
            <v>10.2012</v>
          </cell>
          <cell r="L5469">
            <v>1</v>
          </cell>
          <cell r="M5469" t="str">
            <v>EA</v>
          </cell>
          <cell r="N5469">
            <v>2927.69</v>
          </cell>
          <cell r="O5469" t="str">
            <v>INR</v>
          </cell>
        </row>
        <row r="5470">
          <cell r="A5470" t="str">
            <v>L003 Ankleshwar</v>
          </cell>
          <cell r="B5470">
            <v>689770</v>
          </cell>
          <cell r="C5470" t="str">
            <v>CAP SCREW-HIFAB:HEB-E1-XBBC-MF SIZE-100</v>
          </cell>
          <cell r="D5470" t="str">
            <v>L0030151                       EnggStore</v>
          </cell>
          <cell r="E5470">
            <v>0</v>
          </cell>
          <cell r="F5470" t="str">
            <v>ND No planning</v>
          </cell>
          <cell r="G5470" t="str">
            <v>ERSA Spare parts</v>
          </cell>
          <cell r="H5470" t="str">
            <v>EN038     MechanicalSeals&amp;Spar</v>
          </cell>
          <cell r="I5470" t="str">
            <v>L003 Ankleshwar</v>
          </cell>
          <cell r="J5470" t="str">
            <v>99 Input/Byprodt/Scrap</v>
          </cell>
          <cell r="K5470" t="str">
            <v>10.2012</v>
          </cell>
          <cell r="L5470">
            <v>6</v>
          </cell>
          <cell r="M5470" t="str">
            <v>EA</v>
          </cell>
          <cell r="N5470">
            <v>479.48</v>
          </cell>
          <cell r="O5470" t="str">
            <v>INR</v>
          </cell>
        </row>
        <row r="5471">
          <cell r="A5471" t="str">
            <v>L003 Ankleshwar</v>
          </cell>
          <cell r="B5471">
            <v>689816</v>
          </cell>
          <cell r="C5471" t="str">
            <v>LEVEL CONTROLLER TYPE:39FI, SIZE:96X96MM</v>
          </cell>
          <cell r="D5471" t="str">
            <v>L0030151                       EnggStore</v>
          </cell>
          <cell r="E5471">
            <v>0</v>
          </cell>
          <cell r="F5471" t="str">
            <v>ND No planning</v>
          </cell>
          <cell r="G5471" t="str">
            <v>ERSA Spare parts</v>
          </cell>
          <cell r="H5471" t="str">
            <v>EN017     InstrumentSpares</v>
          </cell>
          <cell r="I5471" t="str">
            <v>L003 Ankleshwar</v>
          </cell>
          <cell r="J5471" t="str">
            <v>99 Input/Byprodt/Scrap</v>
          </cell>
          <cell r="K5471" t="str">
            <v>10.2012</v>
          </cell>
          <cell r="L5471">
            <v>1</v>
          </cell>
          <cell r="M5471" t="str">
            <v>EA</v>
          </cell>
          <cell r="N5471">
            <v>8799.9500000000007</v>
          </cell>
          <cell r="O5471" t="str">
            <v>INR</v>
          </cell>
        </row>
        <row r="5472">
          <cell r="A5472" t="str">
            <v>L003 Ankleshwar</v>
          </cell>
          <cell r="B5472">
            <v>689820</v>
          </cell>
          <cell r="C5472" t="str">
            <v>POWER ELEMENT FOR SVE-5-CP100 EXPENSION</v>
          </cell>
          <cell r="D5472" t="str">
            <v>L0030151                       EnggStore</v>
          </cell>
          <cell r="E5472">
            <v>0</v>
          </cell>
          <cell r="F5472" t="str">
            <v>ND No planning</v>
          </cell>
          <cell r="G5472" t="str">
            <v>ERSA Spare parts</v>
          </cell>
          <cell r="H5472" t="str">
            <v>EN018     UtilityEquipmentSpar</v>
          </cell>
          <cell r="I5472" t="str">
            <v>L003 Ankleshwar</v>
          </cell>
          <cell r="J5472" t="str">
            <v>99 Input/Byprodt/Scrap</v>
          </cell>
          <cell r="K5472" t="str">
            <v>10.2012</v>
          </cell>
          <cell r="L5472">
            <v>4</v>
          </cell>
          <cell r="M5472" t="str">
            <v>EA</v>
          </cell>
          <cell r="N5472">
            <v>7500</v>
          </cell>
          <cell r="O5472" t="str">
            <v>INR</v>
          </cell>
        </row>
        <row r="5473">
          <cell r="A5473" t="str">
            <v>L003 Ankleshwar</v>
          </cell>
          <cell r="B5473">
            <v>689901</v>
          </cell>
          <cell r="C5473" t="str">
            <v>GRUB SCREW-HIFAB:HEB-E1-XBBC-MF SIZE-100</v>
          </cell>
          <cell r="D5473" t="str">
            <v>L0030151                       EnggStore</v>
          </cell>
          <cell r="E5473">
            <v>0</v>
          </cell>
          <cell r="F5473" t="str">
            <v>ND No planning</v>
          </cell>
          <cell r="G5473" t="str">
            <v>ERSA Spare parts</v>
          </cell>
          <cell r="H5473" t="str">
            <v>EN038     MechanicalSeals&amp;Spar</v>
          </cell>
          <cell r="I5473" t="str">
            <v>L003 Ankleshwar</v>
          </cell>
          <cell r="J5473" t="str">
            <v>99 Input/Byprodt/Scrap</v>
          </cell>
          <cell r="K5473" t="str">
            <v>10.2012</v>
          </cell>
          <cell r="L5473">
            <v>6</v>
          </cell>
          <cell r="M5473" t="str">
            <v>EA</v>
          </cell>
          <cell r="N5473">
            <v>378.52999999999901</v>
          </cell>
          <cell r="O5473" t="str">
            <v>INR</v>
          </cell>
        </row>
        <row r="5474">
          <cell r="A5474" t="str">
            <v>L003 Ankleshwar</v>
          </cell>
          <cell r="B5474">
            <v>689902</v>
          </cell>
          <cell r="C5474" t="str">
            <v>O'RING-HIFAB:HEB-E1-XBBC-MF-SIZE-100MM</v>
          </cell>
          <cell r="D5474" t="str">
            <v>L0030151                       EnggStore</v>
          </cell>
          <cell r="E5474">
            <v>0</v>
          </cell>
          <cell r="F5474" t="str">
            <v>ND No planning</v>
          </cell>
          <cell r="G5474" t="str">
            <v>ERSA Spare parts</v>
          </cell>
          <cell r="H5474" t="str">
            <v>EN038     MechanicalSeals&amp;Spar</v>
          </cell>
          <cell r="I5474" t="str">
            <v>L003 Ankleshwar</v>
          </cell>
          <cell r="J5474" t="str">
            <v>99 Input/Byprodt/Scrap</v>
          </cell>
          <cell r="K5474" t="str">
            <v>10.2012</v>
          </cell>
          <cell r="L5474">
            <v>1</v>
          </cell>
          <cell r="M5474" t="str">
            <v>EA</v>
          </cell>
          <cell r="N5474">
            <v>1850.6199999999899</v>
          </cell>
          <cell r="O5474" t="str">
            <v>INR</v>
          </cell>
        </row>
        <row r="5475">
          <cell r="A5475" t="str">
            <v>L003 Ankleshwar</v>
          </cell>
          <cell r="B5475">
            <v>689906</v>
          </cell>
          <cell r="C5475" t="str">
            <v>TH.WASHER HIFAB:HEB-E1-XBBC-MF SIZE-100</v>
          </cell>
          <cell r="D5475" t="str">
            <v>L0030151                       EnggStore</v>
          </cell>
          <cell r="E5475">
            <v>0</v>
          </cell>
          <cell r="F5475" t="str">
            <v>ND No planning</v>
          </cell>
          <cell r="G5475" t="str">
            <v>ERSA Spare parts</v>
          </cell>
          <cell r="H5475" t="str">
            <v>EN038     MechanicalSeals&amp;Spar</v>
          </cell>
          <cell r="I5475" t="str">
            <v>L003 Ankleshwar</v>
          </cell>
          <cell r="J5475" t="str">
            <v>99 Input/Byprodt/Scrap</v>
          </cell>
          <cell r="K5475" t="str">
            <v>10.2012</v>
          </cell>
          <cell r="L5475">
            <v>1</v>
          </cell>
          <cell r="M5475" t="str">
            <v>EA</v>
          </cell>
          <cell r="N5475">
            <v>1850.5999999999899</v>
          </cell>
          <cell r="O5475" t="str">
            <v>INR</v>
          </cell>
        </row>
        <row r="5476">
          <cell r="A5476" t="str">
            <v>L003 Ankleshwar</v>
          </cell>
          <cell r="B5476">
            <v>689907</v>
          </cell>
          <cell r="C5476" t="str">
            <v>TYPE MP5AR PRESSURE SWITCH, MAKE:INDFOS</v>
          </cell>
          <cell r="D5476" t="str">
            <v>L0030151                       EnggStore</v>
          </cell>
          <cell r="E5476" t="str">
            <v>E36 E36</v>
          </cell>
          <cell r="F5476" t="str">
            <v>VB Manual reorder point planning</v>
          </cell>
          <cell r="G5476" t="str">
            <v>ERSA Spare parts</v>
          </cell>
          <cell r="H5476" t="str">
            <v>EN017     InstrumentSpares</v>
          </cell>
          <cell r="I5476" t="str">
            <v>L003 Ankleshwar</v>
          </cell>
          <cell r="J5476" t="str">
            <v>99 Input/Byprodt/Scrap</v>
          </cell>
          <cell r="K5476" t="str">
            <v>10.2012</v>
          </cell>
          <cell r="L5476">
            <v>2</v>
          </cell>
          <cell r="M5476" t="str">
            <v>EA</v>
          </cell>
          <cell r="N5476">
            <v>5265.6199999999899</v>
          </cell>
          <cell r="O5476" t="str">
            <v>INR</v>
          </cell>
        </row>
        <row r="5477">
          <cell r="A5477" t="str">
            <v>L003 Ankleshwar</v>
          </cell>
          <cell r="B5477">
            <v>689958</v>
          </cell>
          <cell r="C5477" t="str">
            <v>VITON O RING-HI-FAB:DSBC(0698)PT NO1</v>
          </cell>
          <cell r="D5477" t="str">
            <v>L0030151                       EnggStore</v>
          </cell>
          <cell r="E5477" t="str">
            <v>E34 E34</v>
          </cell>
          <cell r="F5477" t="str">
            <v>VB Manual reorder point planning</v>
          </cell>
          <cell r="G5477" t="str">
            <v>ERSA Spare parts</v>
          </cell>
          <cell r="H5477" t="str">
            <v>EN038     MechanicalSeals&amp;Spar</v>
          </cell>
          <cell r="I5477" t="str">
            <v>L003 Ankleshwar</v>
          </cell>
          <cell r="J5477" t="str">
            <v>99 Input/Byprodt/Scrap</v>
          </cell>
          <cell r="K5477" t="str">
            <v>10.2012</v>
          </cell>
          <cell r="L5477">
            <v>1</v>
          </cell>
          <cell r="M5477" t="str">
            <v>EA</v>
          </cell>
          <cell r="N5477">
            <v>1048.02</v>
          </cell>
          <cell r="O5477" t="str">
            <v>INR</v>
          </cell>
        </row>
        <row r="5478">
          <cell r="A5478" t="str">
            <v>L003 Ankleshwar</v>
          </cell>
          <cell r="B5478">
            <v>689959</v>
          </cell>
          <cell r="C5478" t="str">
            <v>VITON O RING-HI-FAB:DSBC(0698)PT NO2</v>
          </cell>
          <cell r="D5478" t="str">
            <v>L0030151                       EnggStore</v>
          </cell>
          <cell r="E5478">
            <v>0</v>
          </cell>
          <cell r="F5478" t="str">
            <v>ND No planning</v>
          </cell>
          <cell r="G5478" t="str">
            <v>ERSA Spare parts</v>
          </cell>
          <cell r="H5478" t="str">
            <v>EN038     MechanicalSeals&amp;Spar</v>
          </cell>
          <cell r="I5478" t="str">
            <v>L003 Ankleshwar</v>
          </cell>
          <cell r="J5478" t="str">
            <v>99 Input/Byprodt/Scrap</v>
          </cell>
          <cell r="K5478" t="str">
            <v>10.2012</v>
          </cell>
          <cell r="L5478">
            <v>3</v>
          </cell>
          <cell r="M5478" t="str">
            <v>EA</v>
          </cell>
          <cell r="N5478">
            <v>3733.69</v>
          </cell>
          <cell r="O5478" t="str">
            <v>INR</v>
          </cell>
        </row>
        <row r="5479">
          <cell r="A5479" t="str">
            <v>L003 Ankleshwar</v>
          </cell>
          <cell r="B5479">
            <v>689962</v>
          </cell>
          <cell r="C5479" t="str">
            <v>SS 316 SLEEVE-HI-FAB:DSBC(0698)</v>
          </cell>
          <cell r="D5479" t="str">
            <v>L0030151                       EnggStore</v>
          </cell>
          <cell r="E5479" t="str">
            <v>E34 E34</v>
          </cell>
          <cell r="F5479" t="str">
            <v>VB Manual reorder point planning</v>
          </cell>
          <cell r="G5479" t="str">
            <v>ERSA Spare parts</v>
          </cell>
          <cell r="H5479" t="str">
            <v>EN038     MechanicalSeals&amp;Spar</v>
          </cell>
          <cell r="I5479" t="str">
            <v>L003 Ankleshwar</v>
          </cell>
          <cell r="J5479" t="str">
            <v>99 Input/Byprodt/Scrap</v>
          </cell>
          <cell r="K5479" t="str">
            <v>10.2012</v>
          </cell>
          <cell r="L5479">
            <v>1</v>
          </cell>
          <cell r="M5479" t="str">
            <v>EA</v>
          </cell>
          <cell r="N5479">
            <v>6703.2399999999898</v>
          </cell>
          <cell r="O5479" t="str">
            <v>INR</v>
          </cell>
        </row>
        <row r="5480">
          <cell r="A5480" t="str">
            <v>L003 Ankleshwar</v>
          </cell>
          <cell r="B5480">
            <v>689963</v>
          </cell>
          <cell r="C5480" t="str">
            <v>SS316 SEAL RING SHELL-HI-FAB:DSBC(0698)</v>
          </cell>
          <cell r="D5480" t="str">
            <v>L0030151                       EnggStore</v>
          </cell>
          <cell r="E5480" t="str">
            <v>E34 E34</v>
          </cell>
          <cell r="F5480" t="str">
            <v>VB Manual reorder point planning</v>
          </cell>
          <cell r="G5480" t="str">
            <v>ERSA Spare parts</v>
          </cell>
          <cell r="H5480" t="str">
            <v>EN038     MechanicalSeals&amp;Spar</v>
          </cell>
          <cell r="I5480" t="str">
            <v>L003 Ankleshwar</v>
          </cell>
          <cell r="J5480" t="str">
            <v>99 Input/Byprodt/Scrap</v>
          </cell>
          <cell r="K5480" t="str">
            <v>10.2012</v>
          </cell>
          <cell r="L5480">
            <v>1</v>
          </cell>
          <cell r="M5480" t="str">
            <v>EA</v>
          </cell>
          <cell r="N5480">
            <v>3269.88</v>
          </cell>
          <cell r="O5480" t="str">
            <v>INR</v>
          </cell>
        </row>
        <row r="5481">
          <cell r="A5481" t="str">
            <v>L003 Ankleshwar</v>
          </cell>
          <cell r="B5481">
            <v>689964</v>
          </cell>
          <cell r="C5481" t="str">
            <v>GFT SUPPORT RING-HI-FAB:DSBC(0698)</v>
          </cell>
          <cell r="D5481" t="str">
            <v>L0030151                       EnggStore</v>
          </cell>
          <cell r="E5481" t="str">
            <v>E34 E34</v>
          </cell>
          <cell r="F5481" t="str">
            <v>VB Manual reorder point planning</v>
          </cell>
          <cell r="G5481" t="str">
            <v>ERSA Spare parts</v>
          </cell>
          <cell r="H5481" t="str">
            <v>EN038     MechanicalSeals&amp;Spar</v>
          </cell>
          <cell r="I5481" t="str">
            <v>L003 Ankleshwar</v>
          </cell>
          <cell r="J5481" t="str">
            <v>99 Input/Byprodt/Scrap</v>
          </cell>
          <cell r="K5481" t="str">
            <v>10.2012</v>
          </cell>
          <cell r="L5481">
            <v>2</v>
          </cell>
          <cell r="M5481" t="str">
            <v>EA</v>
          </cell>
          <cell r="N5481">
            <v>1371.89</v>
          </cell>
          <cell r="O5481" t="str">
            <v>INR</v>
          </cell>
        </row>
        <row r="5482">
          <cell r="A5482" t="str">
            <v>L003 Ankleshwar</v>
          </cell>
          <cell r="B5482">
            <v>689966</v>
          </cell>
          <cell r="C5482" t="str">
            <v>VITON O RING-HI-FAB:DSBC(0698)PT NO9</v>
          </cell>
          <cell r="D5482" t="str">
            <v>L0030151                       EnggStore</v>
          </cell>
          <cell r="E5482">
            <v>0</v>
          </cell>
          <cell r="F5482" t="str">
            <v>ND No planning</v>
          </cell>
          <cell r="G5482" t="str">
            <v>ERSA Spare parts</v>
          </cell>
          <cell r="H5482" t="str">
            <v>EN038     MechanicalSeals&amp;Spar</v>
          </cell>
          <cell r="I5482" t="str">
            <v>L003 Ankleshwar</v>
          </cell>
          <cell r="J5482" t="str">
            <v>99 Input/Byprodt/Scrap</v>
          </cell>
          <cell r="K5482" t="str">
            <v>10.2012</v>
          </cell>
          <cell r="L5482">
            <v>2</v>
          </cell>
          <cell r="M5482" t="str">
            <v>EA</v>
          </cell>
          <cell r="N5482">
            <v>2957.69</v>
          </cell>
          <cell r="O5482" t="str">
            <v>INR</v>
          </cell>
        </row>
        <row r="5483">
          <cell r="A5483" t="str">
            <v>L003 Ankleshwar</v>
          </cell>
          <cell r="B5483">
            <v>689968</v>
          </cell>
          <cell r="C5483" t="str">
            <v>SS316 THRUST WASHER-SP-HIFAB:DSBC(0698)</v>
          </cell>
          <cell r="D5483" t="str">
            <v>L0030151                       EnggStore</v>
          </cell>
          <cell r="E5483">
            <v>0</v>
          </cell>
          <cell r="F5483" t="str">
            <v>ND No planning</v>
          </cell>
          <cell r="G5483" t="str">
            <v>ERSA Spare parts</v>
          </cell>
          <cell r="H5483" t="str">
            <v>EN038     MechanicalSeals&amp;Spar</v>
          </cell>
          <cell r="I5483" t="str">
            <v>L003 Ankleshwar</v>
          </cell>
          <cell r="J5483" t="str">
            <v>99 Input/Byprodt/Scrap</v>
          </cell>
          <cell r="K5483" t="str">
            <v>10.2012</v>
          </cell>
          <cell r="L5483">
            <v>2</v>
          </cell>
          <cell r="M5483" t="str">
            <v>EA</v>
          </cell>
          <cell r="N5483">
            <v>2256.6599999999899</v>
          </cell>
          <cell r="O5483" t="str">
            <v>INR</v>
          </cell>
        </row>
        <row r="5484">
          <cell r="A5484" t="str">
            <v>L003 Ankleshwar</v>
          </cell>
          <cell r="B5484">
            <v>689969</v>
          </cell>
          <cell r="C5484" t="str">
            <v>VITON O RING-HI-FAB:DSBC(0698)PT NO12</v>
          </cell>
          <cell r="D5484" t="str">
            <v>L0030151                       EnggStore</v>
          </cell>
          <cell r="E5484" t="str">
            <v>E34 E34</v>
          </cell>
          <cell r="F5484" t="str">
            <v>VB Manual reorder point planning</v>
          </cell>
          <cell r="G5484" t="str">
            <v>ERSA Spare parts</v>
          </cell>
          <cell r="H5484" t="str">
            <v>EN038     MechanicalSeals&amp;Spar</v>
          </cell>
          <cell r="I5484" t="str">
            <v>L003 Ankleshwar</v>
          </cell>
          <cell r="J5484" t="str">
            <v>99 Input/Byprodt/Scrap</v>
          </cell>
          <cell r="K5484" t="str">
            <v>10.2012</v>
          </cell>
          <cell r="L5484">
            <v>2</v>
          </cell>
          <cell r="M5484" t="str">
            <v>EA</v>
          </cell>
          <cell r="N5484">
            <v>2262.8299999999899</v>
          </cell>
          <cell r="O5484" t="str">
            <v>INR</v>
          </cell>
        </row>
        <row r="5485">
          <cell r="A5485" t="str">
            <v>L003 Ankleshwar</v>
          </cell>
          <cell r="B5485">
            <v>689970</v>
          </cell>
          <cell r="C5485" t="str">
            <v>CARBON-RI ST.FACE-SP-HI-FAB:DSBC(0698)</v>
          </cell>
          <cell r="D5485" t="str">
            <v>L0030151                       EnggStore</v>
          </cell>
          <cell r="E5485">
            <v>0</v>
          </cell>
          <cell r="F5485" t="str">
            <v>ND No planning</v>
          </cell>
          <cell r="G5485" t="str">
            <v>ERSA Spare parts</v>
          </cell>
          <cell r="H5485" t="str">
            <v>EN038     MechanicalSeals&amp;Spar</v>
          </cell>
          <cell r="I5485" t="str">
            <v>L003 Ankleshwar</v>
          </cell>
          <cell r="J5485" t="str">
            <v>99 Input/Byprodt/Scrap</v>
          </cell>
          <cell r="K5485" t="str">
            <v>10.2012</v>
          </cell>
          <cell r="L5485">
            <v>1</v>
          </cell>
          <cell r="M5485" t="str">
            <v>EA</v>
          </cell>
          <cell r="N5485">
            <v>8078.76</v>
          </cell>
          <cell r="O5485" t="str">
            <v>INR</v>
          </cell>
        </row>
        <row r="5486">
          <cell r="A5486" t="str">
            <v>L003 Ankleshwar</v>
          </cell>
          <cell r="B5486">
            <v>689971</v>
          </cell>
          <cell r="C5486" t="str">
            <v>TC ROTARY FACE-CS-HI-FAB:DSBC(0698)</v>
          </cell>
          <cell r="D5486" t="str">
            <v>L0030151                       EnggStore</v>
          </cell>
          <cell r="E5486">
            <v>0</v>
          </cell>
          <cell r="F5486" t="str">
            <v>ND No planning</v>
          </cell>
          <cell r="G5486" t="str">
            <v>ERSA Spare parts</v>
          </cell>
          <cell r="H5486" t="str">
            <v>EN038     MechanicalSeals&amp;Spar</v>
          </cell>
          <cell r="I5486" t="str">
            <v>L003 Ankleshwar</v>
          </cell>
          <cell r="J5486" t="str">
            <v>99 Input/Byprodt/Scrap</v>
          </cell>
          <cell r="K5486" t="str">
            <v>10.2012</v>
          </cell>
          <cell r="L5486">
            <v>1</v>
          </cell>
          <cell r="M5486" t="str">
            <v>EA</v>
          </cell>
          <cell r="N5486">
            <v>21119.84</v>
          </cell>
          <cell r="O5486" t="str">
            <v>INR</v>
          </cell>
        </row>
        <row r="5487">
          <cell r="A5487" t="str">
            <v>L003 Ankleshwar</v>
          </cell>
          <cell r="B5487">
            <v>689972</v>
          </cell>
          <cell r="C5487" t="str">
            <v>VITON O RING-HI-FAB:DSBC(0698)PT 15</v>
          </cell>
          <cell r="D5487" t="str">
            <v>L0030151                       EnggStore</v>
          </cell>
          <cell r="E5487" t="str">
            <v>E34 E34</v>
          </cell>
          <cell r="F5487" t="str">
            <v>VB Manual reorder point planning</v>
          </cell>
          <cell r="G5487" t="str">
            <v>ERSA Spare parts</v>
          </cell>
          <cell r="H5487" t="str">
            <v>EN038     MechanicalSeals&amp;Spar</v>
          </cell>
          <cell r="I5487" t="str">
            <v>L003 Ankleshwar</v>
          </cell>
          <cell r="J5487" t="str">
            <v>99 Input/Byprodt/Scrap</v>
          </cell>
          <cell r="K5487" t="str">
            <v>10.2012</v>
          </cell>
          <cell r="L5487">
            <v>1</v>
          </cell>
          <cell r="M5487" t="str">
            <v>EA</v>
          </cell>
          <cell r="N5487">
            <v>1245.05</v>
          </cell>
          <cell r="O5487" t="str">
            <v>INR</v>
          </cell>
        </row>
        <row r="5488">
          <cell r="A5488" t="str">
            <v>L003 Ankleshwar</v>
          </cell>
          <cell r="B5488">
            <v>689973</v>
          </cell>
          <cell r="C5488" t="str">
            <v>VITON O RING-HI-FAB:DSBC(0698)PT 16</v>
          </cell>
          <cell r="D5488" t="str">
            <v>L0030151                       EnggStore</v>
          </cell>
          <cell r="E5488" t="str">
            <v>E34 E34</v>
          </cell>
          <cell r="F5488" t="str">
            <v>VB Manual reorder point planning</v>
          </cell>
          <cell r="G5488" t="str">
            <v>ERSA Spare parts</v>
          </cell>
          <cell r="H5488" t="str">
            <v>EN038     MechanicalSeals&amp;Spar</v>
          </cell>
          <cell r="I5488" t="str">
            <v>L003 Ankleshwar</v>
          </cell>
          <cell r="J5488" t="str">
            <v>99 Input/Byprodt/Scrap</v>
          </cell>
          <cell r="K5488" t="str">
            <v>10.2012</v>
          </cell>
          <cell r="L5488">
            <v>1</v>
          </cell>
          <cell r="M5488" t="str">
            <v>EA</v>
          </cell>
          <cell r="N5488">
            <v>1048.02</v>
          </cell>
          <cell r="O5488" t="str">
            <v>INR</v>
          </cell>
        </row>
        <row r="5489">
          <cell r="A5489" t="str">
            <v>L003 Ankleshwar</v>
          </cell>
          <cell r="B5489">
            <v>689974</v>
          </cell>
          <cell r="C5489" t="str">
            <v>HTS GRUB SCREW-HI-FAB:DSBC(0698)</v>
          </cell>
          <cell r="D5489" t="str">
            <v>L0030151                       EnggStore</v>
          </cell>
          <cell r="E5489">
            <v>0</v>
          </cell>
          <cell r="F5489" t="str">
            <v>ND No planning</v>
          </cell>
          <cell r="G5489" t="str">
            <v>ERSA Spare parts</v>
          </cell>
          <cell r="H5489" t="str">
            <v>EN038     MechanicalSeals&amp;Spar</v>
          </cell>
          <cell r="I5489" t="str">
            <v>L003 Ankleshwar</v>
          </cell>
          <cell r="J5489" t="str">
            <v>99 Input/Byprodt/Scrap</v>
          </cell>
          <cell r="K5489" t="str">
            <v>10.2012</v>
          </cell>
          <cell r="L5489">
            <v>2</v>
          </cell>
          <cell r="M5489" t="str">
            <v>SET</v>
          </cell>
          <cell r="N5489">
            <v>1011.1</v>
          </cell>
          <cell r="O5489" t="str">
            <v>INR</v>
          </cell>
        </row>
        <row r="5490">
          <cell r="A5490" t="str">
            <v>L003 Ankleshwar</v>
          </cell>
          <cell r="B5490">
            <v>689976</v>
          </cell>
          <cell r="C5490" t="str">
            <v>SS316 DOG POINT SCREW-HI-FAB:DSBC(0698)</v>
          </cell>
          <cell r="D5490" t="str">
            <v>L0030151                       EnggStore</v>
          </cell>
          <cell r="E5490" t="str">
            <v>E34 E34</v>
          </cell>
          <cell r="F5490" t="str">
            <v>VB Manual reorder point planning</v>
          </cell>
          <cell r="G5490" t="str">
            <v>ERSA Spare parts</v>
          </cell>
          <cell r="H5490" t="str">
            <v>EN038     MechanicalSeals&amp;Spar</v>
          </cell>
          <cell r="I5490" t="str">
            <v>L003 Ankleshwar</v>
          </cell>
          <cell r="J5490" t="str">
            <v>99 Input/Byprodt/Scrap</v>
          </cell>
          <cell r="K5490" t="str">
            <v>10.2012</v>
          </cell>
          <cell r="L5490">
            <v>2</v>
          </cell>
          <cell r="M5490" t="str">
            <v>SET</v>
          </cell>
          <cell r="N5490">
            <v>1128.5699999999899</v>
          </cell>
          <cell r="O5490" t="str">
            <v>INR</v>
          </cell>
        </row>
        <row r="5491">
          <cell r="A5491" t="str">
            <v>L003 Ankleshwar</v>
          </cell>
          <cell r="B5491">
            <v>689977</v>
          </cell>
          <cell r="C5491" t="str">
            <v>SS ALLEN SCREW-HI-FAB:DSBC(0698)</v>
          </cell>
          <cell r="D5491" t="str">
            <v>L0030151                       EnggStore</v>
          </cell>
          <cell r="E5491" t="str">
            <v>E34 E34</v>
          </cell>
          <cell r="F5491" t="str">
            <v>VB Manual reorder point planning</v>
          </cell>
          <cell r="G5491" t="str">
            <v>ERSA Spare parts</v>
          </cell>
          <cell r="H5491" t="str">
            <v>EN038     MechanicalSeals&amp;Spar</v>
          </cell>
          <cell r="I5491" t="str">
            <v>L003 Ankleshwar</v>
          </cell>
          <cell r="J5491" t="str">
            <v>99 Input/Byprodt/Scrap</v>
          </cell>
          <cell r="K5491" t="str">
            <v>10.2012</v>
          </cell>
          <cell r="L5491">
            <v>1</v>
          </cell>
          <cell r="M5491" t="str">
            <v>SET</v>
          </cell>
          <cell r="N5491">
            <v>356.32999999999902</v>
          </cell>
          <cell r="O5491" t="str">
            <v>INR</v>
          </cell>
        </row>
        <row r="5492">
          <cell r="A5492" t="str">
            <v>L003 Ankleshwar</v>
          </cell>
          <cell r="B5492">
            <v>689978</v>
          </cell>
          <cell r="C5492" t="str">
            <v>PTFE GASKET-HI-FAB:DSBC(0698)</v>
          </cell>
          <cell r="D5492" t="str">
            <v>L0030151                       EnggStore</v>
          </cell>
          <cell r="E5492">
            <v>0</v>
          </cell>
          <cell r="F5492" t="str">
            <v>ND No planning</v>
          </cell>
          <cell r="G5492" t="str">
            <v>ERSA Spare parts</v>
          </cell>
          <cell r="H5492" t="str">
            <v>EN038     MechanicalSeals&amp;Spar</v>
          </cell>
          <cell r="I5492" t="str">
            <v>L003 Ankleshwar</v>
          </cell>
          <cell r="J5492" t="str">
            <v>99 Input/Byprodt/Scrap</v>
          </cell>
          <cell r="K5492" t="str">
            <v>10.2012</v>
          </cell>
          <cell r="L5492">
            <v>3</v>
          </cell>
          <cell r="M5492" t="str">
            <v>EA</v>
          </cell>
          <cell r="N5492">
            <v>1066.6300000000001</v>
          </cell>
          <cell r="O5492" t="str">
            <v>INR</v>
          </cell>
        </row>
        <row r="5493">
          <cell r="A5493" t="str">
            <v>L003 Ankleshwar</v>
          </cell>
          <cell r="B5493">
            <v>689979</v>
          </cell>
          <cell r="C5493" t="str">
            <v>ALU. SETTING CLAMP-HI-FAB:DSBC(0698)</v>
          </cell>
          <cell r="D5493" t="str">
            <v>L0030151                       EnggStore</v>
          </cell>
          <cell r="E5493">
            <v>0</v>
          </cell>
          <cell r="F5493" t="str">
            <v>ND No planning</v>
          </cell>
          <cell r="G5493" t="str">
            <v>ERSA Spare parts</v>
          </cell>
          <cell r="H5493" t="str">
            <v>EN038     MechanicalSeals&amp;Spar</v>
          </cell>
          <cell r="I5493" t="str">
            <v>L003 Ankleshwar</v>
          </cell>
          <cell r="J5493" t="str">
            <v>99 Input/Byprodt/Scrap</v>
          </cell>
          <cell r="K5493" t="str">
            <v>10.2012</v>
          </cell>
          <cell r="L5493">
            <v>1</v>
          </cell>
          <cell r="M5493" t="str">
            <v>SET</v>
          </cell>
          <cell r="N5493">
            <v>635.63</v>
          </cell>
          <cell r="O5493" t="str">
            <v>INR</v>
          </cell>
        </row>
        <row r="5494">
          <cell r="A5494" t="str">
            <v>L003 Ankleshwar</v>
          </cell>
          <cell r="B5494">
            <v>689980</v>
          </cell>
          <cell r="C5494" t="str">
            <v>SS ALLEN CAP SCREW-HI-FAB:DSBC(0698)</v>
          </cell>
          <cell r="D5494" t="str">
            <v>L0030151                       EnggStore</v>
          </cell>
          <cell r="E5494" t="str">
            <v>E34 E34</v>
          </cell>
          <cell r="F5494" t="str">
            <v>VB Manual reorder point planning</v>
          </cell>
          <cell r="G5494" t="str">
            <v>ERSA Spare parts</v>
          </cell>
          <cell r="H5494" t="str">
            <v>EN038     MechanicalSeals&amp;Spar</v>
          </cell>
          <cell r="I5494" t="str">
            <v>L003 Ankleshwar</v>
          </cell>
          <cell r="J5494" t="str">
            <v>99 Input/Byprodt/Scrap</v>
          </cell>
          <cell r="K5494" t="str">
            <v>10.2012</v>
          </cell>
          <cell r="L5494">
            <v>1</v>
          </cell>
          <cell r="M5494" t="str">
            <v>SET</v>
          </cell>
          <cell r="N5494">
            <v>356.32999999999902</v>
          </cell>
          <cell r="O5494" t="str">
            <v>INR</v>
          </cell>
        </row>
        <row r="5495">
          <cell r="A5495" t="str">
            <v>L003 Ankleshwar</v>
          </cell>
          <cell r="B5495">
            <v>690056</v>
          </cell>
          <cell r="C5495" t="str">
            <v>GASKET-HI-FAB:HEB-E1-XBBC-MF-SIZE-100MM</v>
          </cell>
          <cell r="D5495" t="str">
            <v>L0030151                       EnggStore</v>
          </cell>
          <cell r="E5495">
            <v>0</v>
          </cell>
          <cell r="F5495" t="str">
            <v>ND No planning</v>
          </cell>
          <cell r="G5495" t="str">
            <v>ERSA Spare parts</v>
          </cell>
          <cell r="H5495" t="str">
            <v>EN038     MechanicalSeals&amp;Spar</v>
          </cell>
          <cell r="I5495" t="str">
            <v>L003 Ankleshwar</v>
          </cell>
          <cell r="J5495" t="str">
            <v>99 Input/Byprodt/Scrap</v>
          </cell>
          <cell r="K5495" t="str">
            <v>10.2012</v>
          </cell>
          <cell r="L5495">
            <v>1</v>
          </cell>
          <cell r="M5495" t="str">
            <v>EA</v>
          </cell>
          <cell r="N5495">
            <v>4205.9399999999896</v>
          </cell>
          <cell r="O5495" t="str">
            <v>INR</v>
          </cell>
        </row>
        <row r="5496">
          <cell r="A5496" t="str">
            <v>L003 Ankleshwar</v>
          </cell>
          <cell r="B5496">
            <v>690059</v>
          </cell>
          <cell r="C5496" t="str">
            <v>SNAP RING HIFAB-HEB-E1-XBBC-MF-100MM</v>
          </cell>
          <cell r="D5496" t="str">
            <v>L0030151                       EnggStore</v>
          </cell>
          <cell r="E5496">
            <v>0</v>
          </cell>
          <cell r="F5496" t="str">
            <v>ND No planning</v>
          </cell>
          <cell r="G5496" t="str">
            <v>ERSA Spare parts</v>
          </cell>
          <cell r="H5496" t="str">
            <v>EN038     MechanicalSeals&amp;Spar</v>
          </cell>
          <cell r="I5496" t="str">
            <v>L003 Ankleshwar</v>
          </cell>
          <cell r="J5496" t="str">
            <v>99 Input/Byprodt/Scrap</v>
          </cell>
          <cell r="K5496" t="str">
            <v>10.2012</v>
          </cell>
          <cell r="L5496">
            <v>1</v>
          </cell>
          <cell r="M5496" t="str">
            <v>EA</v>
          </cell>
          <cell r="N5496">
            <v>1009.42</v>
          </cell>
          <cell r="O5496" t="str">
            <v>INR</v>
          </cell>
        </row>
        <row r="5497">
          <cell r="A5497" t="str">
            <v>L003 Ankleshwar</v>
          </cell>
          <cell r="B5497">
            <v>690060</v>
          </cell>
          <cell r="C5497" t="str">
            <v>STV'O'RING HIFAB:HEB-E1-XBBC-MF SIZE-100</v>
          </cell>
          <cell r="D5497" t="str">
            <v>L0030151                       EnggStore</v>
          </cell>
          <cell r="E5497">
            <v>0</v>
          </cell>
          <cell r="F5497" t="str">
            <v>ND No planning</v>
          </cell>
          <cell r="G5497" t="str">
            <v>ERSA Spare parts</v>
          </cell>
          <cell r="H5497" t="str">
            <v>EN038     MechanicalSeals&amp;Spar</v>
          </cell>
          <cell r="I5497" t="str">
            <v>L003 Ankleshwar</v>
          </cell>
          <cell r="J5497" t="str">
            <v>99 Input/Byprodt/Scrap</v>
          </cell>
          <cell r="K5497" t="str">
            <v>10.2012</v>
          </cell>
          <cell r="L5497">
            <v>2</v>
          </cell>
          <cell r="M5497" t="str">
            <v>EA</v>
          </cell>
          <cell r="N5497">
            <v>6381.8599999999897</v>
          </cell>
          <cell r="O5497" t="str">
            <v>INR</v>
          </cell>
        </row>
        <row r="5498">
          <cell r="A5498" t="str">
            <v>L003 Ankleshwar</v>
          </cell>
          <cell r="B5498">
            <v>690061</v>
          </cell>
          <cell r="C5498" t="str">
            <v>VITON'O'RING-HIFAB:HEB-E1-XBBC-MF,100MM</v>
          </cell>
          <cell r="D5498" t="str">
            <v>L0030151                       EnggStore</v>
          </cell>
          <cell r="E5498">
            <v>0</v>
          </cell>
          <cell r="F5498" t="str">
            <v>ND No planning</v>
          </cell>
          <cell r="G5498" t="str">
            <v>ERSA Spare parts</v>
          </cell>
          <cell r="H5498" t="str">
            <v>EN038     MechanicalSeals&amp;Spar</v>
          </cell>
          <cell r="I5498" t="str">
            <v>L003 Ankleshwar</v>
          </cell>
          <cell r="J5498" t="str">
            <v>99 Input/Byprodt/Scrap</v>
          </cell>
          <cell r="K5498" t="str">
            <v>10.2012</v>
          </cell>
          <cell r="L5498">
            <v>1</v>
          </cell>
          <cell r="M5498" t="str">
            <v>EA</v>
          </cell>
          <cell r="N5498">
            <v>1682.38</v>
          </cell>
          <cell r="O5498" t="str">
            <v>INR</v>
          </cell>
        </row>
        <row r="5499">
          <cell r="A5499" t="str">
            <v>L003 Ankleshwar</v>
          </cell>
          <cell r="B5499">
            <v>690062</v>
          </cell>
          <cell r="C5499" t="str">
            <v>GASKET-HI-FAB:HEB-E1-XBBC-MF-SIZE-100MM</v>
          </cell>
          <cell r="D5499" t="str">
            <v>L0030151                       EnggStore</v>
          </cell>
          <cell r="E5499">
            <v>0</v>
          </cell>
          <cell r="F5499" t="str">
            <v>ND No planning</v>
          </cell>
          <cell r="G5499" t="str">
            <v>ERSA Spare parts</v>
          </cell>
          <cell r="H5499" t="str">
            <v>EN038     MechanicalSeals&amp;Spar</v>
          </cell>
          <cell r="I5499" t="str">
            <v>L003 Ankleshwar</v>
          </cell>
          <cell r="J5499" t="str">
            <v>99 Input/Byprodt/Scrap</v>
          </cell>
          <cell r="K5499" t="str">
            <v>10.2012</v>
          </cell>
          <cell r="L5499">
            <v>1</v>
          </cell>
          <cell r="M5499" t="str">
            <v>EA</v>
          </cell>
          <cell r="N5499">
            <v>2944.17</v>
          </cell>
          <cell r="O5499" t="str">
            <v>INR</v>
          </cell>
        </row>
        <row r="5500">
          <cell r="A5500" t="str">
            <v>L003 Ankleshwar</v>
          </cell>
          <cell r="B5500">
            <v>690158</v>
          </cell>
          <cell r="C5500" t="str">
            <v>CONDENSOR COIL 720H X715L X90W MM X 4ROW</v>
          </cell>
          <cell r="D5500" t="str">
            <v>L0030151                       EnggStore</v>
          </cell>
          <cell r="E5500">
            <v>0</v>
          </cell>
          <cell r="F5500" t="str">
            <v>ND No planning</v>
          </cell>
          <cell r="G5500" t="str">
            <v>ERSA Spare parts</v>
          </cell>
          <cell r="H5500" t="str">
            <v>EN037     Refrigeration&amp;A/Cspa</v>
          </cell>
          <cell r="I5500" t="str">
            <v>L003 Ankleshwar</v>
          </cell>
          <cell r="J5500" t="str">
            <v>99 Input/Byprodt/Scrap</v>
          </cell>
          <cell r="K5500" t="str">
            <v>10.2012</v>
          </cell>
          <cell r="L5500">
            <v>1</v>
          </cell>
          <cell r="M5500" t="str">
            <v>EA</v>
          </cell>
          <cell r="N5500">
            <v>10700</v>
          </cell>
          <cell r="O5500" t="str">
            <v>INR</v>
          </cell>
        </row>
        <row r="5501">
          <cell r="A5501" t="str">
            <v>L003 Ankleshwar</v>
          </cell>
          <cell r="B5501">
            <v>690160</v>
          </cell>
          <cell r="C5501" t="str">
            <v>GLAND PUSHER FOR 4UP3 PUMP</v>
          </cell>
          <cell r="D5501" t="str">
            <v>L0030151                       EnggStore</v>
          </cell>
          <cell r="E5501" t="str">
            <v>E34 E34</v>
          </cell>
          <cell r="F5501" t="str">
            <v>VB Manual reorder point planning</v>
          </cell>
          <cell r="G5501" t="str">
            <v>ERSA Spare parts</v>
          </cell>
          <cell r="H5501" t="str">
            <v>EN032     Pumpspares</v>
          </cell>
          <cell r="I5501" t="str">
            <v>L003 Ankleshwar</v>
          </cell>
          <cell r="J5501" t="str">
            <v>99 Input/Byprodt/Scrap</v>
          </cell>
          <cell r="K5501" t="str">
            <v>10.2012</v>
          </cell>
          <cell r="L5501">
            <v>1</v>
          </cell>
          <cell r="M5501" t="str">
            <v>EA</v>
          </cell>
          <cell r="N5501">
            <v>319.12</v>
          </cell>
          <cell r="O5501" t="str">
            <v>INR</v>
          </cell>
        </row>
        <row r="5502">
          <cell r="A5502" t="str">
            <v>L003 Ankleshwar</v>
          </cell>
          <cell r="B5502">
            <v>690235</v>
          </cell>
          <cell r="C5502" t="str">
            <v>TEFLONBUSH110MMODX50MMIDX300MMLONG</v>
          </cell>
          <cell r="D5502" t="str">
            <v>L0030151                       EnggStore</v>
          </cell>
          <cell r="E5502">
            <v>0</v>
          </cell>
          <cell r="F5502" t="str">
            <v>ND No planning</v>
          </cell>
          <cell r="G5502" t="str">
            <v>ERSA Spare parts</v>
          </cell>
          <cell r="H5502" t="str">
            <v>EN020     RubberItems&amp;Oil Seal</v>
          </cell>
          <cell r="I5502" t="str">
            <v>L003 Ankleshwar</v>
          </cell>
          <cell r="J5502" t="str">
            <v>99 Input/Byprodt/Scrap</v>
          </cell>
          <cell r="K5502" t="str">
            <v>10.2012</v>
          </cell>
          <cell r="L5502">
            <v>1</v>
          </cell>
          <cell r="M5502" t="str">
            <v>SET</v>
          </cell>
          <cell r="N5502">
            <v>3465</v>
          </cell>
          <cell r="O5502" t="str">
            <v>INR</v>
          </cell>
        </row>
        <row r="5503">
          <cell r="A5503" t="str">
            <v>L003 Ankleshwar</v>
          </cell>
          <cell r="B5503">
            <v>690420</v>
          </cell>
          <cell r="C5503" t="str">
            <v>CY.BLOCK HOLDING STUD&amp;NUT:HNT-N-2800/60</v>
          </cell>
          <cell r="D5503" t="str">
            <v>L0030151                       EnggStore</v>
          </cell>
          <cell r="E5503" t="str">
            <v>E34 E34</v>
          </cell>
          <cell r="F5503" t="str">
            <v>VB Manual reorder point planning</v>
          </cell>
          <cell r="G5503" t="str">
            <v>ERSA Spare parts</v>
          </cell>
          <cell r="H5503" t="str">
            <v>EN032     Pumpspares</v>
          </cell>
          <cell r="I5503" t="str">
            <v>L003 Ankleshwar</v>
          </cell>
          <cell r="J5503" t="str">
            <v>99 Input/Byprodt/Scrap</v>
          </cell>
          <cell r="K5503" t="str">
            <v>10.2012</v>
          </cell>
          <cell r="L5503">
            <v>1</v>
          </cell>
          <cell r="M5503" t="str">
            <v>SET</v>
          </cell>
          <cell r="N5503">
            <v>628.29999999999905</v>
          </cell>
          <cell r="O5503" t="str">
            <v>INR</v>
          </cell>
        </row>
        <row r="5504">
          <cell r="A5504" t="str">
            <v>L003 Ankleshwar</v>
          </cell>
          <cell r="B5504">
            <v>690422</v>
          </cell>
          <cell r="C5504" t="str">
            <v>STUFFING BOX-MDL:HNT-N-2800/60</v>
          </cell>
          <cell r="D5504" t="str">
            <v>L0030151                       EnggStore</v>
          </cell>
          <cell r="E5504">
            <v>0</v>
          </cell>
          <cell r="F5504" t="str">
            <v>ND No planning</v>
          </cell>
          <cell r="G5504" t="str">
            <v>ERSA Spare parts</v>
          </cell>
          <cell r="H5504" t="str">
            <v>EN032     Pumpspares</v>
          </cell>
          <cell r="I5504" t="str">
            <v>L003 Ankleshwar</v>
          </cell>
          <cell r="J5504" t="str">
            <v>99 Input/Byprodt/Scrap</v>
          </cell>
          <cell r="K5504" t="str">
            <v>10.2012</v>
          </cell>
          <cell r="L5504">
            <v>1</v>
          </cell>
          <cell r="M5504" t="str">
            <v>EA</v>
          </cell>
          <cell r="N5504">
            <v>8755</v>
          </cell>
          <cell r="O5504" t="str">
            <v>INR</v>
          </cell>
        </row>
        <row r="5505">
          <cell r="A5505" t="str">
            <v>L003 Ankleshwar</v>
          </cell>
          <cell r="B5505">
            <v>690423</v>
          </cell>
          <cell r="C5505" t="str">
            <v>STUFFING BOX GASKET-MDL:HNT-N-2800/60</v>
          </cell>
          <cell r="D5505" t="str">
            <v>L0030151                       EnggStore</v>
          </cell>
          <cell r="E5505" t="str">
            <v>E34 E34</v>
          </cell>
          <cell r="F5505" t="str">
            <v>VB Manual reorder point planning</v>
          </cell>
          <cell r="G5505" t="str">
            <v>ERSA Spare parts</v>
          </cell>
          <cell r="H5505" t="str">
            <v>EN032     Pumpspares</v>
          </cell>
          <cell r="I5505" t="str">
            <v>L003 Ankleshwar</v>
          </cell>
          <cell r="J5505" t="str">
            <v>99 Input/Byprodt/Scrap</v>
          </cell>
          <cell r="K5505" t="str">
            <v>10.2012</v>
          </cell>
          <cell r="L5505">
            <v>1</v>
          </cell>
          <cell r="M5505" t="str">
            <v>EA</v>
          </cell>
          <cell r="N5505">
            <v>72.099999999999895</v>
          </cell>
          <cell r="O5505" t="str">
            <v>INR</v>
          </cell>
        </row>
        <row r="5506">
          <cell r="A5506" t="str">
            <v>L003 Ankleshwar</v>
          </cell>
          <cell r="B5506">
            <v>690432</v>
          </cell>
          <cell r="C5506" t="str">
            <v>DISC VALVE GASKET-MDL:HNT-N-2800/60</v>
          </cell>
          <cell r="D5506" t="str">
            <v>L0030151                       EnggStore</v>
          </cell>
          <cell r="E5506">
            <v>0</v>
          </cell>
          <cell r="F5506" t="str">
            <v>ND No planning</v>
          </cell>
          <cell r="G5506" t="str">
            <v>ERSA Spare parts</v>
          </cell>
          <cell r="H5506" t="str">
            <v>EN032     Pumpspares</v>
          </cell>
          <cell r="I5506" t="str">
            <v>L003 Ankleshwar</v>
          </cell>
          <cell r="J5506" t="str">
            <v>99 Input/Byprodt/Scrap</v>
          </cell>
          <cell r="K5506" t="str">
            <v>10.2012</v>
          </cell>
          <cell r="L5506">
            <v>3</v>
          </cell>
          <cell r="M5506" t="str">
            <v>SET</v>
          </cell>
          <cell r="N5506">
            <v>324.44999999999902</v>
          </cell>
          <cell r="O5506" t="str">
            <v>INR</v>
          </cell>
        </row>
        <row r="5507">
          <cell r="A5507" t="str">
            <v>L003 Ankleshwar</v>
          </cell>
          <cell r="B5507">
            <v>690433</v>
          </cell>
          <cell r="C5507" t="str">
            <v>SUC'N VALVE GASKET-MDL:HNT-N-2800/60</v>
          </cell>
          <cell r="D5507" t="str">
            <v>L0030151                       EnggStore</v>
          </cell>
          <cell r="E5507" t="str">
            <v>E34 E34</v>
          </cell>
          <cell r="F5507" t="str">
            <v>VB Manual reorder point planning</v>
          </cell>
          <cell r="G5507" t="str">
            <v>ERSA Spare parts</v>
          </cell>
          <cell r="H5507" t="str">
            <v>EN032     Pumpspares</v>
          </cell>
          <cell r="I5507" t="str">
            <v>L003 Ankleshwar</v>
          </cell>
          <cell r="J5507" t="str">
            <v>99 Input/Byprodt/Scrap</v>
          </cell>
          <cell r="K5507" t="str">
            <v>10.2012</v>
          </cell>
          <cell r="L5507">
            <v>1</v>
          </cell>
          <cell r="M5507" t="str">
            <v>SET</v>
          </cell>
          <cell r="N5507">
            <v>108.15</v>
          </cell>
          <cell r="O5507" t="str">
            <v>INR</v>
          </cell>
        </row>
        <row r="5508">
          <cell r="A5508" t="str">
            <v>L003 Ankleshwar</v>
          </cell>
          <cell r="B5508">
            <v>690436</v>
          </cell>
          <cell r="C5508" t="str">
            <v>PTFE BUSH-MDL:HNT-N-2800/60</v>
          </cell>
          <cell r="D5508" t="str">
            <v>L0030151                       EnggStore</v>
          </cell>
          <cell r="E5508" t="str">
            <v>E34 E34</v>
          </cell>
          <cell r="F5508" t="str">
            <v>VB Manual reorder point planning</v>
          </cell>
          <cell r="G5508" t="str">
            <v>ERSA Spare parts</v>
          </cell>
          <cell r="H5508" t="str">
            <v>EN032     Pumpspares</v>
          </cell>
          <cell r="I5508" t="str">
            <v>L003 Ankleshwar</v>
          </cell>
          <cell r="J5508" t="str">
            <v>99 Input/Byprodt/Scrap</v>
          </cell>
          <cell r="K5508" t="str">
            <v>10.2012</v>
          </cell>
          <cell r="L5508">
            <v>2</v>
          </cell>
          <cell r="M5508" t="str">
            <v>EA</v>
          </cell>
          <cell r="N5508">
            <v>710.7</v>
          </cell>
          <cell r="O5508" t="str">
            <v>INR</v>
          </cell>
        </row>
        <row r="5509">
          <cell r="A5509" t="str">
            <v>L003 Ankleshwar</v>
          </cell>
          <cell r="B5509">
            <v>690438</v>
          </cell>
          <cell r="C5509" t="str">
            <v>CONNECTING ROD-MDL:HNT-N-2800/60</v>
          </cell>
          <cell r="D5509" t="str">
            <v>L0030151                       EnggStore</v>
          </cell>
          <cell r="E5509" t="str">
            <v>E34 E34</v>
          </cell>
          <cell r="F5509" t="str">
            <v>VB Manual reorder point planning</v>
          </cell>
          <cell r="G5509" t="str">
            <v>ERSA Spare parts</v>
          </cell>
          <cell r="H5509" t="str">
            <v>EN032     Pumpspares</v>
          </cell>
          <cell r="I5509" t="str">
            <v>L003 Ankleshwar</v>
          </cell>
          <cell r="J5509" t="str">
            <v>99 Input/Byprodt/Scrap</v>
          </cell>
          <cell r="K5509" t="str">
            <v>10.2012</v>
          </cell>
          <cell r="L5509">
            <v>1</v>
          </cell>
          <cell r="M5509" t="str">
            <v>EA</v>
          </cell>
          <cell r="N5509">
            <v>2549.25</v>
          </cell>
          <cell r="O5509" t="str">
            <v>INR</v>
          </cell>
        </row>
        <row r="5510">
          <cell r="A5510" t="str">
            <v>L003 Ankleshwar</v>
          </cell>
          <cell r="B5510">
            <v>690440</v>
          </cell>
          <cell r="C5510" t="str">
            <v>PISTON-MDL:HNT-N-2800/60</v>
          </cell>
          <cell r="D5510" t="str">
            <v>L0030151                       EnggStore</v>
          </cell>
          <cell r="E5510" t="str">
            <v>E34 E34</v>
          </cell>
          <cell r="F5510" t="str">
            <v>VB Manual reorder point planning</v>
          </cell>
          <cell r="G5510" t="str">
            <v>ERSA Spare parts</v>
          </cell>
          <cell r="H5510" t="str">
            <v>EN032     Pumpspares</v>
          </cell>
          <cell r="I5510" t="str">
            <v>L003 Ankleshwar</v>
          </cell>
          <cell r="J5510" t="str">
            <v>99 Input/Byprodt/Scrap</v>
          </cell>
          <cell r="K5510" t="str">
            <v>10.2012</v>
          </cell>
          <cell r="L5510">
            <v>1</v>
          </cell>
          <cell r="M5510" t="str">
            <v>EA</v>
          </cell>
          <cell r="N5510">
            <v>3141.5</v>
          </cell>
          <cell r="O5510" t="str">
            <v>INR</v>
          </cell>
        </row>
        <row r="5511">
          <cell r="A5511" t="str">
            <v>L003 Ankleshwar</v>
          </cell>
          <cell r="B5511">
            <v>690441</v>
          </cell>
          <cell r="C5511" t="str">
            <v>TAPPER LOCK PULLEY: C-SEC: 4GRV-265 MM</v>
          </cell>
          <cell r="D5511" t="str">
            <v>L0030151                       EnggStore</v>
          </cell>
          <cell r="E5511" t="str">
            <v>E35 E35</v>
          </cell>
          <cell r="F5511" t="str">
            <v>VB Manual reorder point planning</v>
          </cell>
          <cell r="G5511" t="str">
            <v>ERSA Spare parts</v>
          </cell>
          <cell r="H5511" t="str">
            <v>EN021     VbeltCoupling&amp;Pulley</v>
          </cell>
          <cell r="I5511" t="str">
            <v>L003 Ankleshwar</v>
          </cell>
          <cell r="J5511" t="str">
            <v>99 Input/Byprodt/Scrap</v>
          </cell>
          <cell r="K5511" t="str">
            <v>10.2012</v>
          </cell>
          <cell r="L5511">
            <v>2</v>
          </cell>
          <cell r="M5511" t="str">
            <v>EA</v>
          </cell>
          <cell r="N5511">
            <v>10320</v>
          </cell>
          <cell r="O5511" t="str">
            <v>INR</v>
          </cell>
        </row>
        <row r="5512">
          <cell r="A5512" t="str">
            <v>L003 Ankleshwar</v>
          </cell>
          <cell r="B5512">
            <v>690442</v>
          </cell>
          <cell r="C5512" t="str">
            <v>TAPPER LOCK PULLEY: C-SEC: 4GRV-200 MM</v>
          </cell>
          <cell r="D5512" t="str">
            <v>L0030151                       EnggStore</v>
          </cell>
          <cell r="E5512" t="str">
            <v>E35 E35</v>
          </cell>
          <cell r="F5512" t="str">
            <v>VB Manual reorder point planning</v>
          </cell>
          <cell r="G5512" t="str">
            <v>ERSA Spare parts</v>
          </cell>
          <cell r="H5512" t="str">
            <v>EN021     VbeltCoupling&amp;Pulley</v>
          </cell>
          <cell r="I5512" t="str">
            <v>L003 Ankleshwar</v>
          </cell>
          <cell r="J5512" t="str">
            <v>99 Input/Byprodt/Scrap</v>
          </cell>
          <cell r="K5512" t="str">
            <v>10.2012</v>
          </cell>
          <cell r="L5512">
            <v>1</v>
          </cell>
          <cell r="M5512" t="str">
            <v>EA</v>
          </cell>
          <cell r="N5512">
            <v>2817</v>
          </cell>
          <cell r="O5512" t="str">
            <v>INR</v>
          </cell>
        </row>
        <row r="5513">
          <cell r="A5513" t="str">
            <v>L003 Ankleshwar</v>
          </cell>
          <cell r="B5513">
            <v>690699</v>
          </cell>
          <cell r="C5513" t="str">
            <v>3TH30 220B CONTACTOR,24VDC</v>
          </cell>
          <cell r="D5513" t="str">
            <v>L0030151                       EnggStore</v>
          </cell>
          <cell r="E5513">
            <v>0</v>
          </cell>
          <cell r="F5513" t="str">
            <v>ND No planning</v>
          </cell>
          <cell r="G5513" t="str">
            <v>ERSA Spare parts</v>
          </cell>
          <cell r="H5513" t="str">
            <v>EN017     InstrumentSpares</v>
          </cell>
          <cell r="I5513" t="str">
            <v>L003 Ankleshwar</v>
          </cell>
          <cell r="J5513" t="str">
            <v>99 Input/Byprodt/Scrap</v>
          </cell>
          <cell r="K5513" t="str">
            <v>10.2012</v>
          </cell>
          <cell r="L5513">
            <v>5</v>
          </cell>
          <cell r="M5513" t="str">
            <v>EA</v>
          </cell>
          <cell r="N5513">
            <v>2881.88</v>
          </cell>
          <cell r="O5513" t="str">
            <v>INR</v>
          </cell>
        </row>
        <row r="5514">
          <cell r="A5514" t="str">
            <v>L003 Ankleshwar</v>
          </cell>
          <cell r="B5514">
            <v>690722</v>
          </cell>
          <cell r="C5514" t="str">
            <v>TELEPHONE PIN RJ-11</v>
          </cell>
          <cell r="D5514" t="str">
            <v>L0030151                       EnggStore</v>
          </cell>
          <cell r="E5514">
            <v>0</v>
          </cell>
          <cell r="F5514" t="str">
            <v>ND No planning</v>
          </cell>
          <cell r="G5514" t="str">
            <v>ERSA Spare parts</v>
          </cell>
          <cell r="H5514" t="str">
            <v>EN017     InstrumentSpares</v>
          </cell>
          <cell r="I5514" t="str">
            <v>L003 Ankleshwar</v>
          </cell>
          <cell r="J5514" t="str">
            <v>99 Input/Byprodt/Scrap</v>
          </cell>
          <cell r="K5514" t="str">
            <v>10.2012</v>
          </cell>
          <cell r="L5514">
            <v>100</v>
          </cell>
          <cell r="M5514" t="str">
            <v>EA</v>
          </cell>
          <cell r="N5514">
            <v>225</v>
          </cell>
          <cell r="O5514" t="str">
            <v>INR</v>
          </cell>
        </row>
        <row r="5515">
          <cell r="A5515" t="str">
            <v>L003 Ankleshwar</v>
          </cell>
          <cell r="B5515">
            <v>690723</v>
          </cell>
          <cell r="C5515" t="str">
            <v>TELEPHONE PIN RJ-12</v>
          </cell>
          <cell r="D5515" t="str">
            <v>L0030151                       EnggStore</v>
          </cell>
          <cell r="E5515">
            <v>0</v>
          </cell>
          <cell r="F5515" t="str">
            <v>ND No planning</v>
          </cell>
          <cell r="G5515" t="str">
            <v>ERSA Spare parts</v>
          </cell>
          <cell r="H5515" t="str">
            <v>EN017     InstrumentSpares</v>
          </cell>
          <cell r="I5515" t="str">
            <v>L003 Ankleshwar</v>
          </cell>
          <cell r="J5515" t="str">
            <v>99 Input/Byprodt/Scrap</v>
          </cell>
          <cell r="K5515" t="str">
            <v>10.2012</v>
          </cell>
          <cell r="L5515">
            <v>80</v>
          </cell>
          <cell r="M5515" t="str">
            <v>EA</v>
          </cell>
          <cell r="N5515">
            <v>189</v>
          </cell>
          <cell r="O5515" t="str">
            <v>INR</v>
          </cell>
        </row>
        <row r="5516">
          <cell r="A5516" t="str">
            <v>L003 Ankleshwar</v>
          </cell>
          <cell r="B5516">
            <v>690724</v>
          </cell>
          <cell r="C5516" t="str">
            <v>MANIK MAKE COIL FOR SA SERIES VALVE KC-3</v>
          </cell>
          <cell r="D5516" t="str">
            <v>L0030151                       EnggStore</v>
          </cell>
          <cell r="E5516" t="str">
            <v>E37 E37</v>
          </cell>
          <cell r="F5516" t="str">
            <v>VB Manual reorder point planning</v>
          </cell>
          <cell r="G5516" t="str">
            <v>ERSA Spare parts</v>
          </cell>
          <cell r="H5516" t="str">
            <v>EN017     InstrumentSpares</v>
          </cell>
          <cell r="I5516" t="str">
            <v>L003 Ankleshwar</v>
          </cell>
          <cell r="J5516" t="str">
            <v>99 Input/Byprodt/Scrap</v>
          </cell>
          <cell r="K5516" t="str">
            <v>10.2012</v>
          </cell>
          <cell r="L5516">
            <v>1</v>
          </cell>
          <cell r="M5516" t="str">
            <v>EA</v>
          </cell>
          <cell r="N5516">
            <v>1731.3499999999899</v>
          </cell>
          <cell r="O5516" t="str">
            <v>INR</v>
          </cell>
        </row>
        <row r="5517">
          <cell r="A5517" t="str">
            <v>L003 Ankleshwar</v>
          </cell>
          <cell r="B5517">
            <v>690820</v>
          </cell>
          <cell r="C5517" t="str">
            <v>GUNMETAL HEX CONNECTOR 3/4'' BSP THREAD</v>
          </cell>
          <cell r="D5517" t="str">
            <v>L0030151                       EnggStore</v>
          </cell>
          <cell r="E5517">
            <v>0</v>
          </cell>
          <cell r="F5517" t="str">
            <v>ND No planning</v>
          </cell>
          <cell r="G5517" t="str">
            <v>ERSA Spare parts</v>
          </cell>
          <cell r="H5517" t="str">
            <v>EN022     Hardwareitems</v>
          </cell>
          <cell r="I5517" t="str">
            <v>L003 Ankleshwar</v>
          </cell>
          <cell r="J5517" t="str">
            <v>99 Input/Byprodt/Scrap</v>
          </cell>
          <cell r="K5517" t="str">
            <v>10.2012</v>
          </cell>
          <cell r="L5517">
            <v>4</v>
          </cell>
          <cell r="M5517" t="str">
            <v>EA</v>
          </cell>
          <cell r="N5517">
            <v>1660</v>
          </cell>
          <cell r="O5517" t="str">
            <v>INR</v>
          </cell>
        </row>
        <row r="5518">
          <cell r="A5518" t="str">
            <v>L003 Ankleshwar</v>
          </cell>
          <cell r="B5518">
            <v>690909</v>
          </cell>
          <cell r="C5518" t="str">
            <v>SPRING SS316 : SRNUV – 0603</v>
          </cell>
          <cell r="D5518" t="str">
            <v>L0030151                       EnggStore</v>
          </cell>
          <cell r="E5518">
            <v>0</v>
          </cell>
          <cell r="F5518" t="str">
            <v>ND No planning</v>
          </cell>
          <cell r="G5518" t="str">
            <v>ERSA Spare parts</v>
          </cell>
          <cell r="H5518" t="str">
            <v>EN038     MechanicalSeals&amp;Spar</v>
          </cell>
          <cell r="I5518" t="str">
            <v>L003 Ankleshwar</v>
          </cell>
          <cell r="J5518" t="str">
            <v>99 Input/Byprodt/Scrap</v>
          </cell>
          <cell r="K5518" t="str">
            <v>10.2012</v>
          </cell>
          <cell r="L5518">
            <v>1</v>
          </cell>
          <cell r="M5518" t="str">
            <v>EA</v>
          </cell>
          <cell r="N5518">
            <v>580.16999999999905</v>
          </cell>
          <cell r="O5518" t="str">
            <v>INR</v>
          </cell>
        </row>
        <row r="5519">
          <cell r="A5519" t="str">
            <v>L003 Ankleshwar</v>
          </cell>
          <cell r="B5519">
            <v>690910</v>
          </cell>
          <cell r="C5519" t="str">
            <v>O RING VITON: SRNUV – 0603</v>
          </cell>
          <cell r="D5519" t="str">
            <v>L0030151                       EnggStore</v>
          </cell>
          <cell r="E5519">
            <v>0</v>
          </cell>
          <cell r="F5519" t="str">
            <v>ND No planning</v>
          </cell>
          <cell r="G5519" t="str">
            <v>ERSA Spare parts</v>
          </cell>
          <cell r="H5519" t="str">
            <v>EN038     MechanicalSeals&amp;Spar</v>
          </cell>
          <cell r="I5519" t="str">
            <v>L003 Ankleshwar</v>
          </cell>
          <cell r="J5519" t="str">
            <v>99 Input/Byprodt/Scrap</v>
          </cell>
          <cell r="K5519" t="str">
            <v>10.2012</v>
          </cell>
          <cell r="L5519">
            <v>1</v>
          </cell>
          <cell r="M5519" t="str">
            <v>EA</v>
          </cell>
          <cell r="N5519">
            <v>487</v>
          </cell>
          <cell r="O5519" t="str">
            <v>INR</v>
          </cell>
        </row>
        <row r="5520">
          <cell r="A5520" t="str">
            <v>L003 Ankleshwar</v>
          </cell>
          <cell r="B5520">
            <v>690927</v>
          </cell>
          <cell r="C5520" t="str">
            <v>STATIONARY SEAT DA SIC: SRNUV – 0603</v>
          </cell>
          <cell r="D5520" t="str">
            <v>L0030151                       EnggStore</v>
          </cell>
          <cell r="E5520">
            <v>0</v>
          </cell>
          <cell r="F5520" t="str">
            <v>ND No planning</v>
          </cell>
          <cell r="G5520" t="str">
            <v>ERSA Spare parts</v>
          </cell>
          <cell r="H5520" t="str">
            <v>EN038     MechanicalSeals&amp;Spar</v>
          </cell>
          <cell r="I5520" t="str">
            <v>L003 Ankleshwar</v>
          </cell>
          <cell r="J5520" t="str">
            <v>99 Input/Byprodt/Scrap</v>
          </cell>
          <cell r="K5520" t="str">
            <v>10.2012</v>
          </cell>
          <cell r="L5520">
            <v>1</v>
          </cell>
          <cell r="M5520" t="str">
            <v>EA</v>
          </cell>
          <cell r="N5520">
            <v>6352.25</v>
          </cell>
          <cell r="O5520" t="str">
            <v>INR</v>
          </cell>
        </row>
        <row r="5521">
          <cell r="A5521" t="str">
            <v>L003 Ankleshwar</v>
          </cell>
          <cell r="B5521">
            <v>690928</v>
          </cell>
          <cell r="C5521" t="str">
            <v>SEAL RING SHELL+INSERT CR–RI:SRNUV–0603</v>
          </cell>
          <cell r="D5521" t="str">
            <v>L0030151                       EnggStore</v>
          </cell>
          <cell r="E5521">
            <v>0</v>
          </cell>
          <cell r="F5521" t="str">
            <v>ND No planning</v>
          </cell>
          <cell r="G5521" t="str">
            <v>ERSA Spare parts</v>
          </cell>
          <cell r="H5521" t="str">
            <v>EN038     MechanicalSeals&amp;Spar</v>
          </cell>
          <cell r="I5521" t="str">
            <v>L003 Ankleshwar</v>
          </cell>
          <cell r="J5521" t="str">
            <v>99 Input/Byprodt/Scrap</v>
          </cell>
          <cell r="K5521" t="str">
            <v>10.2012</v>
          </cell>
          <cell r="L5521">
            <v>1</v>
          </cell>
          <cell r="M5521" t="str">
            <v>EA</v>
          </cell>
          <cell r="N5521">
            <v>3557.25</v>
          </cell>
          <cell r="O5521" t="str">
            <v>INR</v>
          </cell>
        </row>
        <row r="5522">
          <cell r="A5522" t="str">
            <v>L003 Ankleshwar</v>
          </cell>
          <cell r="B5522">
            <v>690929</v>
          </cell>
          <cell r="C5522" t="str">
            <v>GRUB SCREW SS316 :SRNUV – 0603</v>
          </cell>
          <cell r="D5522" t="str">
            <v>L0030151                       EnggStore</v>
          </cell>
          <cell r="E5522">
            <v>0</v>
          </cell>
          <cell r="F5522" t="str">
            <v>ND No planning</v>
          </cell>
          <cell r="G5522" t="str">
            <v>ERSA Spare parts</v>
          </cell>
          <cell r="H5522" t="str">
            <v>EN038     MechanicalSeals&amp;Spar</v>
          </cell>
          <cell r="I5522" t="str">
            <v>L003 Ankleshwar</v>
          </cell>
          <cell r="J5522" t="str">
            <v>99 Input/Byprodt/Scrap</v>
          </cell>
          <cell r="K5522" t="str">
            <v>10.2012</v>
          </cell>
          <cell r="L5522">
            <v>3</v>
          </cell>
          <cell r="M5522" t="str">
            <v>EA</v>
          </cell>
          <cell r="N5522">
            <v>470.06999999999903</v>
          </cell>
          <cell r="O5522" t="str">
            <v>INR</v>
          </cell>
        </row>
        <row r="5523">
          <cell r="A5523" t="str">
            <v>L003 Ankleshwar</v>
          </cell>
          <cell r="B5523">
            <v>690961</v>
          </cell>
          <cell r="C5523" t="str">
            <v>ELCB 2POLE,63A 30mA</v>
          </cell>
          <cell r="D5523" t="str">
            <v>L0030151                       EnggStore</v>
          </cell>
          <cell r="E5523">
            <v>0</v>
          </cell>
          <cell r="F5523" t="str">
            <v>ND No planning</v>
          </cell>
          <cell r="G5523" t="str">
            <v>ERSA Spare parts</v>
          </cell>
          <cell r="H5523" t="str">
            <v>EN006     Elec Switchgear</v>
          </cell>
          <cell r="I5523" t="str">
            <v>L003 Ankleshwar</v>
          </cell>
          <cell r="J5523" t="str">
            <v>99 Input/Byprodt/Scrap</v>
          </cell>
          <cell r="K5523" t="str">
            <v>10.2012</v>
          </cell>
          <cell r="L5523">
            <v>1</v>
          </cell>
          <cell r="M5523" t="str">
            <v>EA</v>
          </cell>
          <cell r="N5523">
            <v>2049.4</v>
          </cell>
          <cell r="O5523" t="str">
            <v>INR</v>
          </cell>
        </row>
        <row r="5524">
          <cell r="A5524" t="str">
            <v>L003 Ankleshwar</v>
          </cell>
          <cell r="B5524">
            <v>690993</v>
          </cell>
          <cell r="C5524" t="str">
            <v>EQUAL CROSS- MS/HDPEL-ASA 150: 50MM</v>
          </cell>
          <cell r="D5524" t="str">
            <v>L0030151                       EnggStore</v>
          </cell>
          <cell r="E5524">
            <v>0</v>
          </cell>
          <cell r="F5524" t="str">
            <v>ND No planning</v>
          </cell>
          <cell r="G5524" t="str">
            <v>ERSA Spare parts</v>
          </cell>
          <cell r="H5524" t="str">
            <v>EN028     Pipes&amp;pipefittings</v>
          </cell>
          <cell r="I5524" t="str">
            <v>L003 Ankleshwar</v>
          </cell>
          <cell r="J5524" t="str">
            <v>99 Input/Byprodt/Scrap</v>
          </cell>
          <cell r="K5524" t="str">
            <v>10.2012</v>
          </cell>
          <cell r="L5524">
            <v>12</v>
          </cell>
          <cell r="M5524" t="str">
            <v>EA</v>
          </cell>
          <cell r="N5524">
            <v>10943.99</v>
          </cell>
          <cell r="O5524" t="str">
            <v>INR</v>
          </cell>
        </row>
        <row r="5525">
          <cell r="A5525" t="str">
            <v>L003 Ankleshwar</v>
          </cell>
          <cell r="B5525">
            <v>690993</v>
          </cell>
          <cell r="C5525" t="str">
            <v>EQUAL CROSS- MS/HDPEL-ASA 150: 50MM</v>
          </cell>
          <cell r="D5525" t="str">
            <v>L0030201                       Cons StoreKP</v>
          </cell>
          <cell r="E5525">
            <v>0</v>
          </cell>
          <cell r="F5525" t="str">
            <v>ND No planning</v>
          </cell>
          <cell r="G5525" t="str">
            <v>ERSA Spare parts</v>
          </cell>
          <cell r="H5525" t="str">
            <v>EN028     Pipes&amp;pipefittings</v>
          </cell>
          <cell r="I5525" t="str">
            <v>L003 Ankleshwar</v>
          </cell>
          <cell r="J5525" t="str">
            <v>99 Input/Byprodt/Scrap</v>
          </cell>
          <cell r="K5525" t="str">
            <v>10.2012</v>
          </cell>
          <cell r="L5525">
            <v>4</v>
          </cell>
          <cell r="M5525" t="str">
            <v>EA</v>
          </cell>
          <cell r="N5525">
            <v>3648</v>
          </cell>
          <cell r="O5525" t="str">
            <v>INR</v>
          </cell>
        </row>
        <row r="5526">
          <cell r="A5526" t="str">
            <v>L003 Ankleshwar</v>
          </cell>
          <cell r="B5526">
            <v>691126</v>
          </cell>
          <cell r="C5526" t="str">
            <v>CARBON RINGS WITH SPRING,ANCHORS-BPT</v>
          </cell>
          <cell r="D5526" t="str">
            <v>L0030151                       EnggStore</v>
          </cell>
          <cell r="E5526" t="str">
            <v>E32 E32</v>
          </cell>
          <cell r="F5526" t="str">
            <v>VB Manual reorder point planning</v>
          </cell>
          <cell r="G5526" t="str">
            <v>ERSA Spare parts</v>
          </cell>
          <cell r="H5526" t="str">
            <v>EN029     Powerplantitems</v>
          </cell>
          <cell r="I5526" t="str">
            <v>L003 Ankleshwar</v>
          </cell>
          <cell r="J5526" t="str">
            <v>99 Input/Byprodt/Scrap</v>
          </cell>
          <cell r="K5526" t="str">
            <v>10.2012</v>
          </cell>
          <cell r="L5526">
            <v>1</v>
          </cell>
          <cell r="M5526" t="str">
            <v>SET</v>
          </cell>
          <cell r="N5526">
            <v>7019.6899999999896</v>
          </cell>
          <cell r="O5526" t="str">
            <v>INR</v>
          </cell>
        </row>
        <row r="5527">
          <cell r="A5527" t="str">
            <v>L003 Ankleshwar</v>
          </cell>
          <cell r="B5527">
            <v>691127</v>
          </cell>
          <cell r="C5527" t="str">
            <v>OIL FILTER ELEMENTS-15GPM-BPT</v>
          </cell>
          <cell r="D5527" t="str">
            <v>L0030151                       EnggStore</v>
          </cell>
          <cell r="E5527">
            <v>0</v>
          </cell>
          <cell r="F5527" t="str">
            <v>ND No planning</v>
          </cell>
          <cell r="G5527" t="str">
            <v>ERSA Spare parts</v>
          </cell>
          <cell r="H5527" t="str">
            <v>EN018     UtilityEquipmentSpar</v>
          </cell>
          <cell r="I5527" t="str">
            <v>L003 Ankleshwar</v>
          </cell>
          <cell r="J5527" t="str">
            <v>99 Input/Byprodt/Scrap</v>
          </cell>
          <cell r="K5527" t="str">
            <v>10.2012</v>
          </cell>
          <cell r="L5527">
            <v>2</v>
          </cell>
          <cell r="M5527" t="str">
            <v>EA</v>
          </cell>
          <cell r="N5527">
            <v>6541.1899999999896</v>
          </cell>
          <cell r="O5527" t="str">
            <v>INR</v>
          </cell>
        </row>
        <row r="5528">
          <cell r="A5528" t="str">
            <v>L003 Ankleshwar</v>
          </cell>
          <cell r="B5528">
            <v>691260</v>
          </cell>
          <cell r="C5528" t="str">
            <v>HDPE END CAP, SIZE-225 MM OD</v>
          </cell>
          <cell r="D5528" t="str">
            <v>L0030151                       EnggStore</v>
          </cell>
          <cell r="E5528" t="str">
            <v>E35 E35</v>
          </cell>
          <cell r="F5528" t="str">
            <v>VB Manual reorder point planning</v>
          </cell>
          <cell r="G5528" t="str">
            <v>ERSA Spare parts</v>
          </cell>
          <cell r="H5528" t="str">
            <v>EN028     Pipes&amp;pipefittings</v>
          </cell>
          <cell r="I5528" t="str">
            <v>L003 Ankleshwar</v>
          </cell>
          <cell r="J5528" t="str">
            <v>99 Input/Byprodt/Scrap</v>
          </cell>
          <cell r="K5528" t="str">
            <v>10.2012</v>
          </cell>
          <cell r="L5528">
            <v>2</v>
          </cell>
          <cell r="M5528" t="str">
            <v>EA</v>
          </cell>
          <cell r="N5528">
            <v>452.01999999999902</v>
          </cell>
          <cell r="O5528" t="str">
            <v>INR</v>
          </cell>
        </row>
        <row r="5529">
          <cell r="A5529" t="str">
            <v>L003 Ankleshwar</v>
          </cell>
          <cell r="B5529">
            <v>691304</v>
          </cell>
          <cell r="C5529" t="str">
            <v>SHAFT-SS430F: KGEC 16-6</v>
          </cell>
          <cell r="D5529" t="str">
            <v>L0030151                       EnggStore</v>
          </cell>
          <cell r="E5529">
            <v>0</v>
          </cell>
          <cell r="F5529" t="str">
            <v>ND No planning</v>
          </cell>
          <cell r="G5529" t="str">
            <v>ERSA Spare parts</v>
          </cell>
          <cell r="H5529" t="str">
            <v>EN032     Pumpspares</v>
          </cell>
          <cell r="I5529" t="str">
            <v>L003 Ankleshwar</v>
          </cell>
          <cell r="J5529" t="str">
            <v>99 Input/Byprodt/Scrap</v>
          </cell>
          <cell r="K5529" t="str">
            <v>10.2012</v>
          </cell>
          <cell r="L5529">
            <v>2</v>
          </cell>
          <cell r="M5529" t="str">
            <v>EA</v>
          </cell>
          <cell r="N5529">
            <v>2579.5</v>
          </cell>
          <cell r="O5529" t="str">
            <v>INR</v>
          </cell>
        </row>
        <row r="5530">
          <cell r="A5530" t="str">
            <v>L003 Ankleshwar</v>
          </cell>
          <cell r="B5530">
            <v>691317</v>
          </cell>
          <cell r="C5530" t="str">
            <v>SCROLL COMPRESSOR 8.5 TR</v>
          </cell>
          <cell r="D5530" t="str">
            <v>L0030151                       EnggStore</v>
          </cell>
          <cell r="E5530">
            <v>0</v>
          </cell>
          <cell r="F5530" t="str">
            <v>ND No planning</v>
          </cell>
          <cell r="G5530" t="str">
            <v>ERSA Spare parts</v>
          </cell>
          <cell r="H5530" t="str">
            <v>EN018     UtilityEquipmentSpar</v>
          </cell>
          <cell r="I5530" t="str">
            <v>L003 Ankleshwar</v>
          </cell>
          <cell r="J5530" t="str">
            <v>99 Input/Byprodt/Scrap</v>
          </cell>
          <cell r="K5530" t="str">
            <v>10.2012</v>
          </cell>
          <cell r="L5530">
            <v>1</v>
          </cell>
          <cell r="M5530" t="str">
            <v>EA</v>
          </cell>
          <cell r="N5530">
            <v>38197.489999999903</v>
          </cell>
          <cell r="O5530" t="str">
            <v>INR</v>
          </cell>
        </row>
        <row r="5531">
          <cell r="A5531" t="str">
            <v>L003 Ankleshwar</v>
          </cell>
          <cell r="B5531">
            <v>691371</v>
          </cell>
          <cell r="C5531" t="str">
            <v>VITON 'O' RING-HI-FAB: SSBV-E1-HC-120MM</v>
          </cell>
          <cell r="D5531" t="str">
            <v>L0030151                       EnggStore</v>
          </cell>
          <cell r="E5531">
            <v>0</v>
          </cell>
          <cell r="F5531" t="str">
            <v>ND No planning</v>
          </cell>
          <cell r="G5531" t="str">
            <v>ERSA Spare parts</v>
          </cell>
          <cell r="H5531" t="str">
            <v>EN038     MechanicalSeals&amp;Spar</v>
          </cell>
          <cell r="I5531" t="str">
            <v>L003 Ankleshwar</v>
          </cell>
          <cell r="J5531" t="str">
            <v>99 Input/Byprodt/Scrap</v>
          </cell>
          <cell r="K5531" t="str">
            <v>10.2012</v>
          </cell>
          <cell r="L5531">
            <v>1</v>
          </cell>
          <cell r="M5531" t="str">
            <v>EA</v>
          </cell>
          <cell r="N5531">
            <v>1425.3599999999899</v>
          </cell>
          <cell r="O5531" t="str">
            <v>INR</v>
          </cell>
        </row>
        <row r="5532">
          <cell r="A5532" t="str">
            <v>L003 Ankleshwar</v>
          </cell>
          <cell r="B5532">
            <v>691372</v>
          </cell>
          <cell r="C5532" t="str">
            <v>SIC.ST.SEAT'DA'-HI-FAB: SSBV-E1-HC-120MM</v>
          </cell>
          <cell r="D5532" t="str">
            <v>L0030151                       EnggStore</v>
          </cell>
          <cell r="E5532">
            <v>0</v>
          </cell>
          <cell r="F5532" t="str">
            <v>ND No planning</v>
          </cell>
          <cell r="G5532" t="str">
            <v>ERSA Spare parts</v>
          </cell>
          <cell r="H5532" t="str">
            <v>EN038     MechanicalSeals&amp;Spar</v>
          </cell>
          <cell r="I5532" t="str">
            <v>L003 Ankleshwar</v>
          </cell>
          <cell r="J5532" t="str">
            <v>99 Input/Byprodt/Scrap</v>
          </cell>
          <cell r="K5532" t="str">
            <v>10.2012</v>
          </cell>
          <cell r="L5532">
            <v>1</v>
          </cell>
          <cell r="M5532" t="str">
            <v>EA</v>
          </cell>
          <cell r="N5532">
            <v>26303.58</v>
          </cell>
          <cell r="O5532" t="str">
            <v>INR</v>
          </cell>
        </row>
        <row r="5533">
          <cell r="A5533" t="str">
            <v>L003 Ankleshwar</v>
          </cell>
          <cell r="B5533">
            <v>691399</v>
          </cell>
          <cell r="C5533" t="str">
            <v>TURBINE-BEARINGS-COUPLING END-BPT</v>
          </cell>
          <cell r="D5533" t="str">
            <v>L0030151                       EnggStore</v>
          </cell>
          <cell r="E5533">
            <v>0</v>
          </cell>
          <cell r="F5533" t="str">
            <v>ND No planning</v>
          </cell>
          <cell r="G5533" t="str">
            <v>ERSA Spare parts</v>
          </cell>
          <cell r="H5533" t="str">
            <v>EN018     UtilityEquipmentSpar</v>
          </cell>
          <cell r="I5533" t="str">
            <v>L003 Ankleshwar</v>
          </cell>
          <cell r="J5533" t="str">
            <v>99 Input/Byprodt/Scrap</v>
          </cell>
          <cell r="K5533" t="str">
            <v>10.2012</v>
          </cell>
          <cell r="L5533">
            <v>1</v>
          </cell>
          <cell r="M5533" t="str">
            <v>SET</v>
          </cell>
          <cell r="N5533">
            <v>16097.459999999901</v>
          </cell>
          <cell r="O5533" t="str">
            <v>INR</v>
          </cell>
        </row>
        <row r="5534">
          <cell r="A5534" t="str">
            <v>L003 Ankleshwar</v>
          </cell>
          <cell r="B5534">
            <v>691400</v>
          </cell>
          <cell r="C5534" t="str">
            <v>TURBINE-BEARINGS-STEAM END-BPT</v>
          </cell>
          <cell r="D5534" t="str">
            <v>L0030151                       EnggStore</v>
          </cell>
          <cell r="E5534">
            <v>0</v>
          </cell>
          <cell r="F5534" t="str">
            <v>ND No planning</v>
          </cell>
          <cell r="G5534" t="str">
            <v>ERSA Spare parts</v>
          </cell>
          <cell r="H5534" t="str">
            <v>EN018     UtilityEquipmentSpar</v>
          </cell>
          <cell r="I5534" t="str">
            <v>L003 Ankleshwar</v>
          </cell>
          <cell r="J5534" t="str">
            <v>99 Input/Byprodt/Scrap</v>
          </cell>
          <cell r="K5534" t="str">
            <v>10.2012</v>
          </cell>
          <cell r="L5534">
            <v>1</v>
          </cell>
          <cell r="M5534" t="str">
            <v>SET</v>
          </cell>
          <cell r="N5534">
            <v>16097.459999999901</v>
          </cell>
          <cell r="O5534" t="str">
            <v>INR</v>
          </cell>
        </row>
        <row r="5535">
          <cell r="A5535" t="str">
            <v>L003 Ankleshwar</v>
          </cell>
          <cell r="B5535">
            <v>691444</v>
          </cell>
          <cell r="C5535" t="str">
            <v>CS SEAMLESS PIPE-SCH-40,IBR 2"</v>
          </cell>
          <cell r="D5535" t="str">
            <v>L0030201                       Cons StoreKP</v>
          </cell>
          <cell r="E5535">
            <v>0</v>
          </cell>
          <cell r="F5535" t="str">
            <v>ND No planning</v>
          </cell>
          <cell r="G5535" t="str">
            <v>ERSA Spare parts</v>
          </cell>
          <cell r="H5535" t="str">
            <v>EN028     Pipes&amp;pipefittings</v>
          </cell>
          <cell r="I5535" t="str">
            <v>L003 Ankleshwar</v>
          </cell>
          <cell r="J5535" t="str">
            <v>99 Input/Byprodt/Scrap</v>
          </cell>
          <cell r="K5535" t="str">
            <v>10.2012</v>
          </cell>
          <cell r="L5535">
            <v>5.71999999999999</v>
          </cell>
          <cell r="M5535" t="str">
            <v>M</v>
          </cell>
          <cell r="N5535">
            <v>2625.48</v>
          </cell>
          <cell r="O5535" t="str">
            <v>INR</v>
          </cell>
        </row>
        <row r="5536">
          <cell r="A5536" t="str">
            <v>L003 Ankleshwar</v>
          </cell>
          <cell r="B5536">
            <v>691527</v>
          </cell>
          <cell r="C5536" t="str">
            <v>KSB PUMP SS316 SHAFT SLEEVE SIZE:1.3/8"</v>
          </cell>
          <cell r="D5536" t="str">
            <v>L0030151                       EnggStore</v>
          </cell>
          <cell r="E5536" t="str">
            <v>E34 E34</v>
          </cell>
          <cell r="F5536" t="str">
            <v>VB Manual reorder point planning</v>
          </cell>
          <cell r="G5536" t="str">
            <v>ERSA Spare parts</v>
          </cell>
          <cell r="H5536" t="str">
            <v>EN038     MechanicalSeals&amp;Spar</v>
          </cell>
          <cell r="I5536" t="str">
            <v>L003 Ankleshwar</v>
          </cell>
          <cell r="J5536" t="str">
            <v>99 Input/Byprodt/Scrap</v>
          </cell>
          <cell r="K5536" t="str">
            <v>10.2012</v>
          </cell>
          <cell r="L5536">
            <v>1</v>
          </cell>
          <cell r="M5536" t="str">
            <v>EA</v>
          </cell>
          <cell r="N5536">
            <v>1613.97</v>
          </cell>
          <cell r="O5536" t="str">
            <v>INR</v>
          </cell>
        </row>
        <row r="5537">
          <cell r="A5537" t="str">
            <v>L003 Ankleshwar</v>
          </cell>
          <cell r="B5537">
            <v>691855</v>
          </cell>
          <cell r="C5537" t="str">
            <v>CHAIN SPROCKET SIMPLEX 3"X3/4"PITCH 20T</v>
          </cell>
          <cell r="D5537" t="str">
            <v>L0030151                       EnggStore</v>
          </cell>
          <cell r="E5537">
            <v>0</v>
          </cell>
          <cell r="F5537" t="str">
            <v>ND No planning</v>
          </cell>
          <cell r="G5537" t="str">
            <v>ERSA Spare parts</v>
          </cell>
          <cell r="H5537" t="str">
            <v>EN022     Hardwareitems</v>
          </cell>
          <cell r="I5537" t="str">
            <v>L003 Ankleshwar</v>
          </cell>
          <cell r="J5537" t="str">
            <v>99 Input/Byprodt/Scrap</v>
          </cell>
          <cell r="K5537" t="str">
            <v>10.2012</v>
          </cell>
          <cell r="L5537">
            <v>1</v>
          </cell>
          <cell r="M5537" t="str">
            <v>EA</v>
          </cell>
          <cell r="N5537">
            <v>199.5</v>
          </cell>
          <cell r="O5537" t="str">
            <v>INR</v>
          </cell>
        </row>
        <row r="5538">
          <cell r="A5538" t="str">
            <v>L003 Ankleshwar</v>
          </cell>
          <cell r="B5538">
            <v>692013</v>
          </cell>
          <cell r="C5538" t="str">
            <v>NEEDLE ROLLER BEARING NA-40</v>
          </cell>
          <cell r="D5538" t="str">
            <v>L0030151                       EnggStore</v>
          </cell>
          <cell r="E5538">
            <v>0</v>
          </cell>
          <cell r="F5538" t="str">
            <v>ND No planning</v>
          </cell>
          <cell r="G5538" t="str">
            <v>ERSA Spare parts</v>
          </cell>
          <cell r="H5538" t="str">
            <v>EN009     Bearings</v>
          </cell>
          <cell r="I5538" t="str">
            <v>L003 Ankleshwar</v>
          </cell>
          <cell r="J5538" t="str">
            <v>99 Input/Byprodt/Scrap</v>
          </cell>
          <cell r="K5538" t="str">
            <v>10.2012</v>
          </cell>
          <cell r="L5538">
            <v>3</v>
          </cell>
          <cell r="M5538" t="str">
            <v>EA</v>
          </cell>
          <cell r="N5538">
            <v>2850</v>
          </cell>
          <cell r="O5538" t="str">
            <v>INR</v>
          </cell>
        </row>
        <row r="5539">
          <cell r="A5539" t="str">
            <v>L003 Ankleshwar</v>
          </cell>
          <cell r="B5539">
            <v>692061</v>
          </cell>
          <cell r="C5539" t="str">
            <v>BRASS ELBOW 1/8 BSP, FOR PUMP OTL-175</v>
          </cell>
          <cell r="D5539" t="str">
            <v>L0030151                       EnggStore</v>
          </cell>
          <cell r="E5539" t="str">
            <v>E34 E34</v>
          </cell>
          <cell r="F5539" t="str">
            <v>VB Manual reorder point planning</v>
          </cell>
          <cell r="G5539" t="str">
            <v>ERSA Spare parts</v>
          </cell>
          <cell r="H5539" t="str">
            <v>EN032     Pumpspares</v>
          </cell>
          <cell r="I5539" t="str">
            <v>L003 Ankleshwar</v>
          </cell>
          <cell r="J5539" t="str">
            <v>99 Input/Byprodt/Scrap</v>
          </cell>
          <cell r="K5539" t="str">
            <v>10.2012</v>
          </cell>
          <cell r="L5539">
            <v>2</v>
          </cell>
          <cell r="M5539" t="str">
            <v>EA</v>
          </cell>
          <cell r="N5539">
            <v>153</v>
          </cell>
          <cell r="O5539" t="str">
            <v>INR</v>
          </cell>
        </row>
        <row r="5540">
          <cell r="A5540" t="str">
            <v>L003 Ankleshwar</v>
          </cell>
          <cell r="B5540">
            <v>692092</v>
          </cell>
          <cell r="C5540" t="str">
            <v>DOWEL PIN 5X35, FOR PUMP OTL-175</v>
          </cell>
          <cell r="D5540" t="str">
            <v>L0030151                       EnggStore</v>
          </cell>
          <cell r="E5540" t="str">
            <v>E34 E34</v>
          </cell>
          <cell r="F5540" t="str">
            <v>VB Manual reorder point planning</v>
          </cell>
          <cell r="G5540" t="str">
            <v>ERSA Spare parts</v>
          </cell>
          <cell r="H5540" t="str">
            <v>EN032     Pumpspares</v>
          </cell>
          <cell r="I5540" t="str">
            <v>L003 Ankleshwar</v>
          </cell>
          <cell r="J5540" t="str">
            <v>99 Input/Byprodt/Scrap</v>
          </cell>
          <cell r="K5540" t="str">
            <v>10.2012</v>
          </cell>
          <cell r="L5540">
            <v>4</v>
          </cell>
          <cell r="M5540" t="str">
            <v>EA</v>
          </cell>
          <cell r="N5540">
            <v>103.03</v>
          </cell>
          <cell r="O5540" t="str">
            <v>INR</v>
          </cell>
        </row>
        <row r="5541">
          <cell r="A5541" t="str">
            <v>L003 Ankleshwar</v>
          </cell>
          <cell r="B5541">
            <v>692131</v>
          </cell>
          <cell r="C5541" t="str">
            <v>SUC&amp;DIS VALVE GASKET:HNT-N-3850-H.ALLOYC</v>
          </cell>
          <cell r="D5541" t="str">
            <v>L0030151                       EnggStore</v>
          </cell>
          <cell r="E5541" t="str">
            <v>E34 E34</v>
          </cell>
          <cell r="F5541" t="str">
            <v>VB Manual reorder point planning</v>
          </cell>
          <cell r="G5541" t="str">
            <v>ERSA Spare parts</v>
          </cell>
          <cell r="H5541" t="str">
            <v>EN032     Pumpspares</v>
          </cell>
          <cell r="I5541" t="str">
            <v>L003 Ankleshwar</v>
          </cell>
          <cell r="J5541" t="str">
            <v>99 Input/Byprodt/Scrap</v>
          </cell>
          <cell r="K5541" t="str">
            <v>10.2012</v>
          </cell>
          <cell r="L5541">
            <v>10</v>
          </cell>
          <cell r="M5541" t="str">
            <v>EA</v>
          </cell>
          <cell r="N5541">
            <v>865.2</v>
          </cell>
          <cell r="O5541" t="str">
            <v>INR</v>
          </cell>
        </row>
        <row r="5542">
          <cell r="A5542" t="str">
            <v>L003 Ankleshwar</v>
          </cell>
          <cell r="B5542">
            <v>692133</v>
          </cell>
          <cell r="C5542" t="str">
            <v>PISTON SLEEVE:HNT-N-3850-H.ALLOY-C</v>
          </cell>
          <cell r="D5542" t="str">
            <v>L0030151                       EnggStore</v>
          </cell>
          <cell r="E5542" t="str">
            <v>E34 E34</v>
          </cell>
          <cell r="F5542" t="str">
            <v>VB Manual reorder point planning</v>
          </cell>
          <cell r="G5542" t="str">
            <v>ERSA Spare parts</v>
          </cell>
          <cell r="H5542" t="str">
            <v>EN032     Pumpspares</v>
          </cell>
          <cell r="I5542" t="str">
            <v>L003 Ankleshwar</v>
          </cell>
          <cell r="J5542" t="str">
            <v>99 Input/Byprodt/Scrap</v>
          </cell>
          <cell r="K5542" t="str">
            <v>10.2012</v>
          </cell>
          <cell r="L5542">
            <v>1</v>
          </cell>
          <cell r="M5542" t="str">
            <v>EA</v>
          </cell>
          <cell r="N5542">
            <v>2724.3499999999899</v>
          </cell>
          <cell r="O5542" t="str">
            <v>INR</v>
          </cell>
        </row>
        <row r="5543">
          <cell r="A5543" t="str">
            <v>L003 Ankleshwar</v>
          </cell>
          <cell r="B5543">
            <v>692135</v>
          </cell>
          <cell r="C5543" t="str">
            <v>CYL.BLOCK HOL.STUD:HNT-N-3850-H.ALLOY-C</v>
          </cell>
          <cell r="D5543" t="str">
            <v>L0030151                       EnggStore</v>
          </cell>
          <cell r="E5543" t="str">
            <v>E34 E34</v>
          </cell>
          <cell r="F5543" t="str">
            <v>VB Manual reorder point planning</v>
          </cell>
          <cell r="G5543" t="str">
            <v>ERSA Spare parts</v>
          </cell>
          <cell r="H5543" t="str">
            <v>EN032     Pumpspares</v>
          </cell>
          <cell r="I5543" t="str">
            <v>L003 Ankleshwar</v>
          </cell>
          <cell r="J5543" t="str">
            <v>99 Input/Byprodt/Scrap</v>
          </cell>
          <cell r="K5543" t="str">
            <v>10.2012</v>
          </cell>
          <cell r="L5543">
            <v>1</v>
          </cell>
          <cell r="M5543" t="str">
            <v>SET</v>
          </cell>
          <cell r="N5543">
            <v>939.36</v>
          </cell>
          <cell r="O5543" t="str">
            <v>INR</v>
          </cell>
        </row>
        <row r="5544">
          <cell r="A5544" t="str">
            <v>L003 Ankleshwar</v>
          </cell>
          <cell r="B5544">
            <v>692143</v>
          </cell>
          <cell r="C5544" t="str">
            <v>SILICON SLEAVE 80 MM BUTTERFLY VALVE</v>
          </cell>
          <cell r="D5544" t="str">
            <v>L0030151                       EnggStore</v>
          </cell>
          <cell r="E5544" t="str">
            <v>E01 E01</v>
          </cell>
          <cell r="F5544" t="str">
            <v>ND No planning</v>
          </cell>
          <cell r="G5544" t="str">
            <v>ERSA Spare parts</v>
          </cell>
          <cell r="H5544" t="str">
            <v>EN017     InstrumentSpares</v>
          </cell>
          <cell r="I5544" t="str">
            <v>L003 Ankleshwar</v>
          </cell>
          <cell r="J5544" t="str">
            <v>99 Input/Byprodt/Scrap</v>
          </cell>
          <cell r="K5544" t="str">
            <v>10.2012</v>
          </cell>
          <cell r="L5544">
            <v>1</v>
          </cell>
          <cell r="M5544" t="str">
            <v>EA</v>
          </cell>
          <cell r="N5544">
            <v>1229</v>
          </cell>
          <cell r="O5544" t="str">
            <v>INR</v>
          </cell>
        </row>
        <row r="5545">
          <cell r="A5545" t="str">
            <v>L003 Ankleshwar</v>
          </cell>
          <cell r="B5545">
            <v>692324</v>
          </cell>
          <cell r="C5545" t="str">
            <v>V-BELT B-100 (NDP)</v>
          </cell>
          <cell r="D5545" t="str">
            <v>L0030151                       EnggStore</v>
          </cell>
          <cell r="E5545" t="str">
            <v>E35 E35</v>
          </cell>
          <cell r="F5545" t="str">
            <v>VB Manual reorder point planning</v>
          </cell>
          <cell r="G5545" t="str">
            <v>ERSA Spare parts</v>
          </cell>
          <cell r="H5545" t="str">
            <v>EN021     VbeltCoupling&amp;Pulley</v>
          </cell>
          <cell r="I5545" t="str">
            <v>L003 Ankleshwar</v>
          </cell>
          <cell r="J5545" t="str">
            <v>99 Input/Byprodt/Scrap</v>
          </cell>
          <cell r="K5545" t="str">
            <v>10.2012</v>
          </cell>
          <cell r="L5545">
            <v>4</v>
          </cell>
          <cell r="M5545" t="str">
            <v>EA</v>
          </cell>
          <cell r="N5545">
            <v>1375.72</v>
          </cell>
          <cell r="O5545" t="str">
            <v>INR</v>
          </cell>
        </row>
        <row r="5546">
          <cell r="A5546" t="str">
            <v>L003 Ankleshwar</v>
          </cell>
          <cell r="B5546">
            <v>692325</v>
          </cell>
          <cell r="C5546" t="str">
            <v>SUCTION VALVE SPRING: PN-HNT-N-3850/75 (</v>
          </cell>
          <cell r="D5546" t="str">
            <v>L0030151                       EnggStore</v>
          </cell>
          <cell r="E5546" t="str">
            <v>E35 E35</v>
          </cell>
          <cell r="F5546" t="str">
            <v>VB Manual reorder point planning</v>
          </cell>
          <cell r="G5546" t="str">
            <v>ERSA Spare parts</v>
          </cell>
          <cell r="H5546" t="str">
            <v>EN032     Pumpspares</v>
          </cell>
          <cell r="I5546" t="str">
            <v>L003 Ankleshwar</v>
          </cell>
          <cell r="J5546" t="str">
            <v>99 Input/Byprodt/Scrap</v>
          </cell>
          <cell r="K5546" t="str">
            <v>10.2012</v>
          </cell>
          <cell r="L5546">
            <v>10</v>
          </cell>
          <cell r="M5546" t="str">
            <v>EA</v>
          </cell>
          <cell r="N5546">
            <v>1287.5</v>
          </cell>
          <cell r="O5546" t="str">
            <v>INR</v>
          </cell>
        </row>
        <row r="5547">
          <cell r="A5547" t="str">
            <v>L003 Ankleshwar</v>
          </cell>
          <cell r="B5547">
            <v>692326</v>
          </cell>
          <cell r="C5547" t="str">
            <v>V-BELT B-58 (NDP)</v>
          </cell>
          <cell r="D5547" t="str">
            <v>L0030151                       EnggStore</v>
          </cell>
          <cell r="E5547" t="str">
            <v>E35 E35</v>
          </cell>
          <cell r="F5547" t="str">
            <v>VB Manual reorder point planning</v>
          </cell>
          <cell r="G5547" t="str">
            <v>ERSA Spare parts</v>
          </cell>
          <cell r="H5547" t="str">
            <v>EN021     VbeltCoupling&amp;Pulley</v>
          </cell>
          <cell r="I5547" t="str">
            <v>L003 Ankleshwar</v>
          </cell>
          <cell r="J5547" t="str">
            <v>99 Input/Byprodt/Scrap</v>
          </cell>
          <cell r="K5547" t="str">
            <v>10.2012</v>
          </cell>
          <cell r="L5547">
            <v>2</v>
          </cell>
          <cell r="M5547" t="str">
            <v>EA</v>
          </cell>
          <cell r="N5547">
            <v>349.63</v>
          </cell>
          <cell r="O5547" t="str">
            <v>INR</v>
          </cell>
        </row>
        <row r="5548">
          <cell r="A5548" t="str">
            <v>L003 Ankleshwar</v>
          </cell>
          <cell r="B5548">
            <v>692329</v>
          </cell>
          <cell r="C5548" t="str">
            <v>BALL BEARING . 6306 (NDP)</v>
          </cell>
          <cell r="D5548" t="str">
            <v>L0030151                       EnggStore</v>
          </cell>
          <cell r="E5548" t="str">
            <v>E31 E31</v>
          </cell>
          <cell r="F5548" t="str">
            <v>VB Manual reorder point planning</v>
          </cell>
          <cell r="G5548" t="str">
            <v>ERSA Spare parts</v>
          </cell>
          <cell r="H5548" t="str">
            <v>EN009     Bearings</v>
          </cell>
          <cell r="I5548" t="str">
            <v>L003 Ankleshwar</v>
          </cell>
          <cell r="J5548" t="str">
            <v>99 Input/Byprodt/Scrap</v>
          </cell>
          <cell r="K5548" t="str">
            <v>10.2012</v>
          </cell>
          <cell r="L5548">
            <v>4</v>
          </cell>
          <cell r="M5548" t="str">
            <v>EA</v>
          </cell>
          <cell r="N5548">
            <v>1072.71</v>
          </cell>
          <cell r="O5548" t="str">
            <v>INR</v>
          </cell>
        </row>
        <row r="5549">
          <cell r="A5549" t="str">
            <v>L003 Ankleshwar</v>
          </cell>
          <cell r="B5549">
            <v>692331</v>
          </cell>
          <cell r="C5549" t="str">
            <v>V-BELT B-50 (NDP)</v>
          </cell>
          <cell r="D5549" t="str">
            <v>L0030151                       EnggStore</v>
          </cell>
          <cell r="E5549" t="str">
            <v>E35 E35</v>
          </cell>
          <cell r="F5549" t="str">
            <v>VB Manual reorder point planning</v>
          </cell>
          <cell r="G5549" t="str">
            <v>ERSA Spare parts</v>
          </cell>
          <cell r="H5549" t="str">
            <v>EN021     VbeltCoupling&amp;Pulley</v>
          </cell>
          <cell r="I5549" t="str">
            <v>L003 Ankleshwar</v>
          </cell>
          <cell r="J5549" t="str">
            <v>99 Input/Byprodt/Scrap</v>
          </cell>
          <cell r="K5549" t="str">
            <v>10.2012</v>
          </cell>
          <cell r="L5549">
            <v>4</v>
          </cell>
          <cell r="M5549" t="str">
            <v>EA</v>
          </cell>
          <cell r="N5549">
            <v>622.63</v>
          </cell>
          <cell r="O5549" t="str">
            <v>INR</v>
          </cell>
        </row>
        <row r="5550">
          <cell r="A5550" t="str">
            <v>L003 Ankleshwar</v>
          </cell>
          <cell r="B5550">
            <v>692332</v>
          </cell>
          <cell r="C5550" t="str">
            <v>PTFE O RING DA TYPE PT NO. 3  (NDP)</v>
          </cell>
          <cell r="D5550" t="str">
            <v>L0030151                       EnggStore</v>
          </cell>
          <cell r="E5550" t="str">
            <v>E34 E34</v>
          </cell>
          <cell r="F5550" t="str">
            <v>VB Manual reorder point planning</v>
          </cell>
          <cell r="G5550" t="str">
            <v>ERSA Spare parts</v>
          </cell>
          <cell r="H5550" t="str">
            <v>EN038     MechanicalSeals&amp;Spar</v>
          </cell>
          <cell r="I5550" t="str">
            <v>L003 Ankleshwar</v>
          </cell>
          <cell r="J5550" t="str">
            <v>99 Input/Byprodt/Scrap</v>
          </cell>
          <cell r="K5550" t="str">
            <v>10.2012</v>
          </cell>
          <cell r="L5550">
            <v>21</v>
          </cell>
          <cell r="M5550" t="str">
            <v>EA</v>
          </cell>
          <cell r="N5550">
            <v>535.5</v>
          </cell>
          <cell r="O5550" t="str">
            <v>INR</v>
          </cell>
        </row>
        <row r="5551">
          <cell r="A5551" t="str">
            <v>L003 Ankleshwar</v>
          </cell>
          <cell r="B5551">
            <v>692333</v>
          </cell>
          <cell r="C5551" t="str">
            <v>V-BELT B-105 (NDP)</v>
          </cell>
          <cell r="D5551" t="str">
            <v>L0030151                       EnggStore</v>
          </cell>
          <cell r="E5551" t="str">
            <v>E35 E35</v>
          </cell>
          <cell r="F5551" t="str">
            <v>VB Manual reorder point planning</v>
          </cell>
          <cell r="G5551" t="str">
            <v>ERSA Spare parts</v>
          </cell>
          <cell r="H5551" t="str">
            <v>EN021     VbeltCoupling&amp;Pulley</v>
          </cell>
          <cell r="I5551" t="str">
            <v>L003 Ankleshwar</v>
          </cell>
          <cell r="J5551" t="str">
            <v>99 Input/Byprodt/Scrap</v>
          </cell>
          <cell r="K5551" t="str">
            <v>10.2012</v>
          </cell>
          <cell r="L5551">
            <v>10</v>
          </cell>
          <cell r="M5551" t="str">
            <v>EA</v>
          </cell>
          <cell r="N5551">
            <v>3660.9899999999898</v>
          </cell>
          <cell r="O5551" t="str">
            <v>INR</v>
          </cell>
        </row>
        <row r="5552">
          <cell r="A5552" t="str">
            <v>L003 Ankleshwar</v>
          </cell>
          <cell r="B5552">
            <v>692335</v>
          </cell>
          <cell r="C5552" t="str">
            <v>BALL VALVE-SS316-S/T: ½" (NDP)</v>
          </cell>
          <cell r="D5552" t="str">
            <v>L0030151                       EnggStore</v>
          </cell>
          <cell r="E5552" t="str">
            <v>E31 E31</v>
          </cell>
          <cell r="F5552" t="str">
            <v>VB Manual reorder point planning</v>
          </cell>
          <cell r="G5552" t="str">
            <v>ERSA Spare parts</v>
          </cell>
          <cell r="H5552" t="str">
            <v>EN023     Valves&amp;spares</v>
          </cell>
          <cell r="I5552" t="str">
            <v>L003 Ankleshwar</v>
          </cell>
          <cell r="J5552" t="str">
            <v>99 Input/Byprodt/Scrap</v>
          </cell>
          <cell r="K5552" t="str">
            <v>10.2012</v>
          </cell>
          <cell r="L5552">
            <v>1</v>
          </cell>
          <cell r="M5552" t="str">
            <v>EA</v>
          </cell>
          <cell r="N5552">
            <v>365.81999999999903</v>
          </cell>
          <cell r="O5552" t="str">
            <v>INR</v>
          </cell>
        </row>
        <row r="5553">
          <cell r="A5553" t="str">
            <v>L003 Ankleshwar</v>
          </cell>
          <cell r="B5553">
            <v>692336</v>
          </cell>
          <cell r="C5553" t="str">
            <v>V-BELT B-62 (NDP)</v>
          </cell>
          <cell r="D5553" t="str">
            <v>L0030151                       EnggStore</v>
          </cell>
          <cell r="E5553" t="str">
            <v>E35 E35</v>
          </cell>
          <cell r="F5553" t="str">
            <v>VB Manual reorder point planning</v>
          </cell>
          <cell r="G5553" t="str">
            <v>ERSA Spare parts</v>
          </cell>
          <cell r="H5553" t="str">
            <v>EN021     VbeltCoupling&amp;Pulley</v>
          </cell>
          <cell r="I5553" t="str">
            <v>L003 Ankleshwar</v>
          </cell>
          <cell r="J5553" t="str">
            <v>99 Input/Byprodt/Scrap</v>
          </cell>
          <cell r="K5553" t="str">
            <v>10.2012</v>
          </cell>
          <cell r="L5553">
            <v>6</v>
          </cell>
          <cell r="M5553" t="str">
            <v>EA</v>
          </cell>
          <cell r="N5553">
            <v>1042.48</v>
          </cell>
          <cell r="O5553" t="str">
            <v>INR</v>
          </cell>
        </row>
        <row r="5554">
          <cell r="A5554" t="str">
            <v>L003 Ankleshwar</v>
          </cell>
          <cell r="B5554">
            <v>692337</v>
          </cell>
          <cell r="C5554" t="str">
            <v>WEDGE WITH FOLLOWER SSUT 1.1/8" (NDP)</v>
          </cell>
          <cell r="D5554" t="str">
            <v>L0030151                       EnggStore</v>
          </cell>
          <cell r="E5554" t="str">
            <v>E34 E34</v>
          </cell>
          <cell r="F5554" t="str">
            <v>VB Manual reorder point planning</v>
          </cell>
          <cell r="G5554" t="str">
            <v>ERSA Spare parts</v>
          </cell>
          <cell r="H5554" t="str">
            <v>EN038     MechanicalSeals&amp;Spar</v>
          </cell>
          <cell r="I5554" t="str">
            <v>L003 Ankleshwar</v>
          </cell>
          <cell r="J5554" t="str">
            <v>99 Input/Byprodt/Scrap</v>
          </cell>
          <cell r="K5554" t="str">
            <v>10.2012</v>
          </cell>
          <cell r="L5554">
            <v>6</v>
          </cell>
          <cell r="M5554" t="str">
            <v>EA</v>
          </cell>
          <cell r="N5554">
            <v>672.80999999999904</v>
          </cell>
          <cell r="O5554" t="str">
            <v>INR</v>
          </cell>
        </row>
        <row r="5555">
          <cell r="A5555" t="str">
            <v>L003 Ankleshwar</v>
          </cell>
          <cell r="B5555">
            <v>692338</v>
          </cell>
          <cell r="C5555" t="str">
            <v>V-BELT B-45 (NDP)</v>
          </cell>
          <cell r="D5555" t="str">
            <v>L0030151                       EnggStore</v>
          </cell>
          <cell r="E5555" t="str">
            <v>E35 E35</v>
          </cell>
          <cell r="F5555" t="str">
            <v>VB Manual reorder point planning</v>
          </cell>
          <cell r="G5555" t="str">
            <v>ERSA Spare parts</v>
          </cell>
          <cell r="H5555" t="str">
            <v>EN021     VbeltCoupling&amp;Pulley</v>
          </cell>
          <cell r="I5555" t="str">
            <v>L003 Ankleshwar</v>
          </cell>
          <cell r="J5555" t="str">
            <v>99 Input/Byprodt/Scrap</v>
          </cell>
          <cell r="K5555" t="str">
            <v>10.2012</v>
          </cell>
          <cell r="L5555">
            <v>9</v>
          </cell>
          <cell r="M5555" t="str">
            <v>EA</v>
          </cell>
          <cell r="N5555">
            <v>1286.8900000000001</v>
          </cell>
          <cell r="O5555" t="str">
            <v>INR</v>
          </cell>
        </row>
        <row r="5556">
          <cell r="A5556" t="str">
            <v>L003 Ankleshwar</v>
          </cell>
          <cell r="B5556">
            <v>692339</v>
          </cell>
          <cell r="C5556" t="str">
            <v>MS GUARD FRAME ASSLY 50X25X3MM TH (NDP)</v>
          </cell>
          <cell r="D5556" t="str">
            <v>L0030151                       EnggStore</v>
          </cell>
          <cell r="E5556" t="str">
            <v>E35 E35</v>
          </cell>
          <cell r="F5556" t="str">
            <v>VB Manual reorder point planning</v>
          </cell>
          <cell r="G5556" t="str">
            <v>ERSA Spare parts</v>
          </cell>
          <cell r="H5556" t="str">
            <v>EN035     Measuring&amp;TestingIns</v>
          </cell>
          <cell r="I5556" t="str">
            <v>L003 Ankleshwar</v>
          </cell>
          <cell r="J5556" t="str">
            <v>99 Input/Byprodt/Scrap</v>
          </cell>
          <cell r="K5556" t="str">
            <v>10.2012</v>
          </cell>
          <cell r="L5556">
            <v>30.5</v>
          </cell>
          <cell r="M5556" t="str">
            <v>M</v>
          </cell>
          <cell r="N5556">
            <v>6957.4499999999898</v>
          </cell>
          <cell r="O5556" t="str">
            <v>INR</v>
          </cell>
        </row>
        <row r="5557">
          <cell r="A5557" t="str">
            <v>L003 Ankleshwar</v>
          </cell>
          <cell r="B5557">
            <v>692340</v>
          </cell>
          <cell r="C5557" t="str">
            <v>VEE BELT SPA-2720 ANTISTATIC (NDP)</v>
          </cell>
          <cell r="D5557" t="str">
            <v>L0030151                       EnggStore</v>
          </cell>
          <cell r="E5557" t="str">
            <v>E35 E35</v>
          </cell>
          <cell r="F5557" t="str">
            <v>VB Manual reorder point planning</v>
          </cell>
          <cell r="G5557" t="str">
            <v>ERSA Spare parts</v>
          </cell>
          <cell r="H5557" t="str">
            <v>EN021     VbeltCoupling&amp;Pulley</v>
          </cell>
          <cell r="I5557" t="str">
            <v>L003 Ankleshwar</v>
          </cell>
          <cell r="J5557" t="str">
            <v>99 Input/Byprodt/Scrap</v>
          </cell>
          <cell r="K5557" t="str">
            <v>10.2012</v>
          </cell>
          <cell r="L5557">
            <v>4</v>
          </cell>
          <cell r="M5557" t="str">
            <v>EA</v>
          </cell>
          <cell r="N5557">
            <v>1408.01</v>
          </cell>
          <cell r="O5557" t="str">
            <v>INR</v>
          </cell>
        </row>
        <row r="5558">
          <cell r="A5558" t="str">
            <v>L003 Ankleshwar</v>
          </cell>
          <cell r="B5558">
            <v>692341</v>
          </cell>
          <cell r="C5558" t="str">
            <v>SPIDER,RUBBER, L-110 (NDP)</v>
          </cell>
          <cell r="D5558" t="str">
            <v>L0030151                       EnggStore</v>
          </cell>
          <cell r="E5558" t="str">
            <v>E35 E35</v>
          </cell>
          <cell r="F5558" t="str">
            <v>VB Manual reorder point planning</v>
          </cell>
          <cell r="G5558" t="str">
            <v>ERSA Spare parts</v>
          </cell>
          <cell r="H5558" t="str">
            <v>EN021     VbeltCoupling&amp;Pulley</v>
          </cell>
          <cell r="I5558" t="str">
            <v>L003 Ankleshwar</v>
          </cell>
          <cell r="J5558" t="str">
            <v>99 Input/Byprodt/Scrap</v>
          </cell>
          <cell r="K5558" t="str">
            <v>10.2012</v>
          </cell>
          <cell r="L5558">
            <v>5</v>
          </cell>
          <cell r="M5558" t="str">
            <v>EA</v>
          </cell>
          <cell r="N5558">
            <v>390.6</v>
          </cell>
          <cell r="O5558" t="str">
            <v>INR</v>
          </cell>
        </row>
        <row r="5559">
          <cell r="A5559" t="str">
            <v>L003 Ankleshwar</v>
          </cell>
          <cell r="B5559">
            <v>692342</v>
          </cell>
          <cell r="C5559" t="str">
            <v>BALL BEARING 6305 (NDP)</v>
          </cell>
          <cell r="D5559" t="str">
            <v>L0030151                       EnggStore</v>
          </cell>
          <cell r="E5559" t="str">
            <v>E31 E31</v>
          </cell>
          <cell r="F5559" t="str">
            <v>VB Manual reorder point planning</v>
          </cell>
          <cell r="G5559" t="str">
            <v>ERSA Spare parts</v>
          </cell>
          <cell r="H5559" t="str">
            <v>EN009     Bearings</v>
          </cell>
          <cell r="I5559" t="str">
            <v>L003 Ankleshwar</v>
          </cell>
          <cell r="J5559" t="str">
            <v>99 Input/Byprodt/Scrap</v>
          </cell>
          <cell r="K5559" t="str">
            <v>10.2012</v>
          </cell>
          <cell r="L5559">
            <v>10</v>
          </cell>
          <cell r="M5559" t="str">
            <v>EA</v>
          </cell>
          <cell r="N5559">
            <v>1926.74</v>
          </cell>
          <cell r="O5559" t="str">
            <v>INR</v>
          </cell>
        </row>
        <row r="5560">
          <cell r="A5560" t="str">
            <v>L003 Ankleshwar</v>
          </cell>
          <cell r="B5560">
            <v>692343</v>
          </cell>
          <cell r="C5560" t="str">
            <v>VEE BELT B-124 (NDP)</v>
          </cell>
          <cell r="D5560" t="str">
            <v>L0030151                       EnggStore</v>
          </cell>
          <cell r="E5560" t="str">
            <v>E35 E35</v>
          </cell>
          <cell r="F5560" t="str">
            <v>VB Manual reorder point planning</v>
          </cell>
          <cell r="G5560" t="str">
            <v>ERSA Spare parts</v>
          </cell>
          <cell r="H5560" t="str">
            <v>EN021     VbeltCoupling&amp;Pulley</v>
          </cell>
          <cell r="I5560" t="str">
            <v>L003 Ankleshwar</v>
          </cell>
          <cell r="J5560" t="str">
            <v>99 Input/Byprodt/Scrap</v>
          </cell>
          <cell r="K5560" t="str">
            <v>10.2012</v>
          </cell>
          <cell r="L5560">
            <v>4</v>
          </cell>
          <cell r="M5560" t="str">
            <v>EA</v>
          </cell>
          <cell r="N5560">
            <v>1438.5599999999899</v>
          </cell>
          <cell r="O5560" t="str">
            <v>INR</v>
          </cell>
        </row>
        <row r="5561">
          <cell r="A5561" t="str">
            <v>L003 Ankleshwar</v>
          </cell>
          <cell r="B5561">
            <v>692344</v>
          </cell>
          <cell r="C5561" t="str">
            <v>CS BALL VALVE ASA-150 F/T 1" (NDP)</v>
          </cell>
          <cell r="D5561" t="str">
            <v>L0030151                       EnggStore</v>
          </cell>
          <cell r="E5561" t="str">
            <v>E31 E31</v>
          </cell>
          <cell r="F5561" t="str">
            <v>VB Manual reorder point planning</v>
          </cell>
          <cell r="G5561" t="str">
            <v>ERSA Spare parts</v>
          </cell>
          <cell r="H5561" t="str">
            <v>EN023     Valves&amp;spares</v>
          </cell>
          <cell r="I5561" t="str">
            <v>L003 Ankleshwar</v>
          </cell>
          <cell r="J5561" t="str">
            <v>99 Input/Byprodt/Scrap</v>
          </cell>
          <cell r="K5561" t="str">
            <v>10.2012</v>
          </cell>
          <cell r="L5561">
            <v>3</v>
          </cell>
          <cell r="M5561" t="str">
            <v>EA</v>
          </cell>
          <cell r="N5561">
            <v>3291.8</v>
          </cell>
          <cell r="O5561" t="str">
            <v>INR</v>
          </cell>
        </row>
        <row r="5562">
          <cell r="A5562" t="str">
            <v>L003 Ankleshwar</v>
          </cell>
          <cell r="B5562">
            <v>692345</v>
          </cell>
          <cell r="C5562" t="str">
            <v>V.BELT B-65 (NDP)</v>
          </cell>
          <cell r="D5562" t="str">
            <v>L0030151                       EnggStore</v>
          </cell>
          <cell r="E5562" t="str">
            <v>E35 E35</v>
          </cell>
          <cell r="F5562" t="str">
            <v>VB Manual reorder point planning</v>
          </cell>
          <cell r="G5562" t="str">
            <v>ERSA Spare parts</v>
          </cell>
          <cell r="H5562" t="str">
            <v>EN021     VbeltCoupling&amp;Pulley</v>
          </cell>
          <cell r="I5562" t="str">
            <v>L003 Ankleshwar</v>
          </cell>
          <cell r="J5562" t="str">
            <v>99 Input/Byprodt/Scrap</v>
          </cell>
          <cell r="K5562" t="str">
            <v>10.2012</v>
          </cell>
          <cell r="L5562">
            <v>4</v>
          </cell>
          <cell r="M5562" t="str">
            <v>EA</v>
          </cell>
          <cell r="N5562">
            <v>790.62</v>
          </cell>
          <cell r="O5562" t="str">
            <v>INR</v>
          </cell>
        </row>
        <row r="5563">
          <cell r="A5563" t="str">
            <v>L003 Ankleshwar</v>
          </cell>
          <cell r="B5563">
            <v>692346</v>
          </cell>
          <cell r="C5563" t="str">
            <v>EE HRC FUSE LINK TIS 63AMP (NDP)</v>
          </cell>
          <cell r="D5563" t="str">
            <v>L0030151                       EnggStore</v>
          </cell>
          <cell r="E5563" t="str">
            <v>E36 E36</v>
          </cell>
          <cell r="F5563" t="str">
            <v>VB Manual reorder point planning</v>
          </cell>
          <cell r="G5563" t="str">
            <v>ERSA Spare parts</v>
          </cell>
          <cell r="H5563" t="str">
            <v>EN006     Elec Switchgear</v>
          </cell>
          <cell r="I5563" t="str">
            <v>L003 Ankleshwar</v>
          </cell>
          <cell r="J5563" t="str">
            <v>99 Input/Byprodt/Scrap</v>
          </cell>
          <cell r="K5563" t="str">
            <v>10.2012</v>
          </cell>
          <cell r="L5563">
            <v>4</v>
          </cell>
          <cell r="M5563" t="str">
            <v>EA</v>
          </cell>
          <cell r="N5563">
            <v>354.93</v>
          </cell>
          <cell r="O5563" t="str">
            <v>INR</v>
          </cell>
        </row>
        <row r="5564">
          <cell r="A5564" t="str">
            <v>L003 Ankleshwar</v>
          </cell>
          <cell r="B5564">
            <v>692347</v>
          </cell>
          <cell r="C5564" t="str">
            <v>BALL BEARING 6205 (NDP)</v>
          </cell>
          <cell r="D5564" t="str">
            <v>L0030151                       EnggStore</v>
          </cell>
          <cell r="E5564" t="str">
            <v>E31 E31</v>
          </cell>
          <cell r="F5564" t="str">
            <v>VB Manual reorder point planning</v>
          </cell>
          <cell r="G5564" t="str">
            <v>ERSA Spare parts</v>
          </cell>
          <cell r="H5564" t="str">
            <v>EN009     Bearings</v>
          </cell>
          <cell r="I5564" t="str">
            <v>L003 Ankleshwar</v>
          </cell>
          <cell r="J5564" t="str">
            <v>99 Input/Byprodt/Scrap</v>
          </cell>
          <cell r="K5564" t="str">
            <v>10.2012</v>
          </cell>
          <cell r="L5564">
            <v>5</v>
          </cell>
          <cell r="M5564" t="str">
            <v>EA</v>
          </cell>
          <cell r="N5564">
            <v>764.39999999999895</v>
          </cell>
          <cell r="O5564" t="str">
            <v>INR</v>
          </cell>
        </row>
        <row r="5565">
          <cell r="A5565" t="str">
            <v>L003 Ankleshwar</v>
          </cell>
          <cell r="B5565">
            <v>692348</v>
          </cell>
          <cell r="C5565" t="str">
            <v>V-BELT C-138 (NDP)</v>
          </cell>
          <cell r="D5565" t="str">
            <v>L0030151                       EnggStore</v>
          </cell>
          <cell r="E5565" t="str">
            <v>E35 E35</v>
          </cell>
          <cell r="F5565" t="str">
            <v>VB Manual reorder point planning</v>
          </cell>
          <cell r="G5565" t="str">
            <v>ERSA Spare parts</v>
          </cell>
          <cell r="H5565" t="str">
            <v>EN021     VbeltCoupling&amp;Pulley</v>
          </cell>
          <cell r="I5565" t="str">
            <v>L003 Ankleshwar</v>
          </cell>
          <cell r="J5565" t="str">
            <v>99 Input/Byprodt/Scrap</v>
          </cell>
          <cell r="K5565" t="str">
            <v>10.2012</v>
          </cell>
          <cell r="L5565">
            <v>2</v>
          </cell>
          <cell r="M5565" t="str">
            <v>EA</v>
          </cell>
          <cell r="N5565">
            <v>1463.1199999999899</v>
          </cell>
          <cell r="O5565" t="str">
            <v>INR</v>
          </cell>
        </row>
        <row r="5566">
          <cell r="A5566" t="str">
            <v>L003 Ankleshwar</v>
          </cell>
          <cell r="B5566">
            <v>692349</v>
          </cell>
          <cell r="C5566" t="str">
            <v>BALL BEARING 6206  (NDP)</v>
          </cell>
          <cell r="D5566" t="str">
            <v>L0030151                       EnggStore</v>
          </cell>
          <cell r="E5566" t="str">
            <v>E35 E35</v>
          </cell>
          <cell r="F5566" t="str">
            <v>VB Manual reorder point planning</v>
          </cell>
          <cell r="G5566" t="str">
            <v>ERSA Spare parts</v>
          </cell>
          <cell r="H5566" t="str">
            <v>EN009     Bearings</v>
          </cell>
          <cell r="I5566" t="str">
            <v>L003 Ankleshwar</v>
          </cell>
          <cell r="J5566" t="str">
            <v>99 Input/Byprodt/Scrap</v>
          </cell>
          <cell r="K5566" t="str">
            <v>10.2012</v>
          </cell>
          <cell r="L5566">
            <v>2</v>
          </cell>
          <cell r="M5566" t="str">
            <v>EA</v>
          </cell>
          <cell r="N5566">
            <v>520</v>
          </cell>
          <cell r="O5566" t="str">
            <v>INR</v>
          </cell>
        </row>
        <row r="5567">
          <cell r="A5567" t="str">
            <v>L003 Ankleshwar</v>
          </cell>
          <cell r="B5567">
            <v>692350</v>
          </cell>
          <cell r="C5567" t="str">
            <v>PTFE WEDGE RING,SSUT1-3/8" (NDP)</v>
          </cell>
          <cell r="D5567" t="str">
            <v>L0030151                       EnggStore</v>
          </cell>
          <cell r="E5567" t="str">
            <v>E34 E34</v>
          </cell>
          <cell r="F5567" t="str">
            <v>VB Manual reorder point planning</v>
          </cell>
          <cell r="G5567" t="str">
            <v>ERSA Spare parts</v>
          </cell>
          <cell r="H5567" t="str">
            <v>EN038     MechanicalSeals&amp;Spar</v>
          </cell>
          <cell r="I5567" t="str">
            <v>L003 Ankleshwar</v>
          </cell>
          <cell r="J5567" t="str">
            <v>99 Input/Byprodt/Scrap</v>
          </cell>
          <cell r="K5567" t="str">
            <v>10.2012</v>
          </cell>
          <cell r="L5567">
            <v>10</v>
          </cell>
          <cell r="M5567" t="str">
            <v>EA</v>
          </cell>
          <cell r="N5567">
            <v>4021.7399999999898</v>
          </cell>
          <cell r="O5567" t="str">
            <v>INR</v>
          </cell>
        </row>
        <row r="5568">
          <cell r="A5568" t="str">
            <v>L003 Ankleshwar</v>
          </cell>
          <cell r="B5568">
            <v>692352</v>
          </cell>
          <cell r="C5568" t="str">
            <v>BALL BEARING 6308 (NDP)</v>
          </cell>
          <cell r="D5568" t="str">
            <v>L0030151                       EnggStore</v>
          </cell>
          <cell r="E5568" t="str">
            <v>E31 E31</v>
          </cell>
          <cell r="F5568" t="str">
            <v>VB Manual reorder point planning</v>
          </cell>
          <cell r="G5568" t="str">
            <v>ERSA Spare parts</v>
          </cell>
          <cell r="H5568" t="str">
            <v>EN009     Bearings</v>
          </cell>
          <cell r="I5568" t="str">
            <v>L003 Ankleshwar</v>
          </cell>
          <cell r="J5568" t="str">
            <v>99 Input/Byprodt/Scrap</v>
          </cell>
          <cell r="K5568" t="str">
            <v>10.2012</v>
          </cell>
          <cell r="L5568">
            <v>1</v>
          </cell>
          <cell r="M5568" t="str">
            <v>EA</v>
          </cell>
          <cell r="N5568">
            <v>390.88999999999902</v>
          </cell>
          <cell r="O5568" t="str">
            <v>INR</v>
          </cell>
        </row>
        <row r="5569">
          <cell r="A5569" t="str">
            <v>L003 Ankleshwar</v>
          </cell>
          <cell r="B5569">
            <v>692353</v>
          </cell>
          <cell r="C5569" t="str">
            <v>BALL BEARING .6309 (NDP)</v>
          </cell>
          <cell r="D5569" t="str">
            <v>L0030151                       EnggStore</v>
          </cell>
          <cell r="E5569" t="str">
            <v>E31 E31</v>
          </cell>
          <cell r="F5569" t="str">
            <v>VB Manual reorder point planning</v>
          </cell>
          <cell r="G5569" t="str">
            <v>ERSA Spare parts</v>
          </cell>
          <cell r="H5569" t="str">
            <v>EN009     Bearings</v>
          </cell>
          <cell r="I5569" t="str">
            <v>L003 Ankleshwar</v>
          </cell>
          <cell r="J5569" t="str">
            <v>99 Input/Byprodt/Scrap</v>
          </cell>
          <cell r="K5569" t="str">
            <v>10.2012</v>
          </cell>
          <cell r="L5569">
            <v>11</v>
          </cell>
          <cell r="M5569" t="str">
            <v>EA</v>
          </cell>
          <cell r="N5569">
            <v>6738.1999999999898</v>
          </cell>
          <cell r="O5569" t="str">
            <v>INR</v>
          </cell>
        </row>
        <row r="5570">
          <cell r="A5570" t="str">
            <v>L003 Ankleshwar</v>
          </cell>
          <cell r="B5570">
            <v>692354</v>
          </cell>
          <cell r="C5570" t="str">
            <v>SPIDER,RUBBER, L-100 (NDP)</v>
          </cell>
          <cell r="D5570" t="str">
            <v>L0030151                       EnggStore</v>
          </cell>
          <cell r="E5570" t="str">
            <v>E35 E35</v>
          </cell>
          <cell r="F5570" t="str">
            <v>VB Manual reorder point planning</v>
          </cell>
          <cell r="G5570" t="str">
            <v>ERSA Spare parts</v>
          </cell>
          <cell r="H5570" t="str">
            <v>EN021     VbeltCoupling&amp;Pulley</v>
          </cell>
          <cell r="I5570" t="str">
            <v>L003 Ankleshwar</v>
          </cell>
          <cell r="J5570" t="str">
            <v>99 Input/Byprodt/Scrap</v>
          </cell>
          <cell r="K5570" t="str">
            <v>10.2012</v>
          </cell>
          <cell r="L5570">
            <v>25</v>
          </cell>
          <cell r="M5570" t="str">
            <v>EA</v>
          </cell>
          <cell r="N5570">
            <v>1165.5</v>
          </cell>
          <cell r="O5570" t="str">
            <v>INR</v>
          </cell>
        </row>
        <row r="5571">
          <cell r="A5571" t="str">
            <v>L003 Ankleshwar</v>
          </cell>
          <cell r="B5571">
            <v>692356</v>
          </cell>
          <cell r="C5571" t="str">
            <v>V-BELT B-85 (NDP)</v>
          </cell>
          <cell r="D5571" t="str">
            <v>L0030151                       EnggStore</v>
          </cell>
          <cell r="E5571" t="str">
            <v>E35 E35</v>
          </cell>
          <cell r="F5571" t="str">
            <v>VB Manual reorder point planning</v>
          </cell>
          <cell r="G5571" t="str">
            <v>ERSA Spare parts</v>
          </cell>
          <cell r="H5571" t="str">
            <v>EN021     VbeltCoupling&amp;Pulley</v>
          </cell>
          <cell r="I5571" t="str">
            <v>L003 Ankleshwar</v>
          </cell>
          <cell r="J5571" t="str">
            <v>99 Input/Byprodt/Scrap</v>
          </cell>
          <cell r="K5571" t="str">
            <v>10.2012</v>
          </cell>
          <cell r="L5571">
            <v>5</v>
          </cell>
          <cell r="M5571" t="str">
            <v>EA</v>
          </cell>
          <cell r="N5571">
            <v>1289.73</v>
          </cell>
          <cell r="O5571" t="str">
            <v>INR</v>
          </cell>
        </row>
        <row r="5572">
          <cell r="A5572" t="str">
            <v>L003 Ankleshwar</v>
          </cell>
          <cell r="B5572">
            <v>692357</v>
          </cell>
          <cell r="C5572" t="str">
            <v>BALL BEARING , . 3305 (NDP)</v>
          </cell>
          <cell r="D5572" t="str">
            <v>L0030151                       EnggStore</v>
          </cell>
          <cell r="E5572" t="str">
            <v>E31 E31</v>
          </cell>
          <cell r="F5572" t="str">
            <v>VB Manual reorder point planning</v>
          </cell>
          <cell r="G5572" t="str">
            <v>ERSA Spare parts</v>
          </cell>
          <cell r="H5572" t="str">
            <v>EN009     Bearings</v>
          </cell>
          <cell r="I5572" t="str">
            <v>L003 Ankleshwar</v>
          </cell>
          <cell r="J5572" t="str">
            <v>99 Input/Byprodt/Scrap</v>
          </cell>
          <cell r="K5572" t="str">
            <v>10.2012</v>
          </cell>
          <cell r="L5572">
            <v>2</v>
          </cell>
          <cell r="M5572" t="str">
            <v>EA</v>
          </cell>
          <cell r="N5572">
            <v>3898.3499999999899</v>
          </cell>
          <cell r="O5572" t="str">
            <v>INR</v>
          </cell>
        </row>
        <row r="5573">
          <cell r="A5573" t="str">
            <v>L003 Ankleshwar</v>
          </cell>
          <cell r="B5573">
            <v>692358</v>
          </cell>
          <cell r="C5573" t="str">
            <v>BALL BEARING .6313 (NDP)</v>
          </cell>
          <cell r="D5573" t="str">
            <v>L0030151                       EnggStore</v>
          </cell>
          <cell r="E5573" t="str">
            <v>E31 E31</v>
          </cell>
          <cell r="F5573" t="str">
            <v>VB Manual reorder point planning</v>
          </cell>
          <cell r="G5573" t="str">
            <v>ERSA Spare parts</v>
          </cell>
          <cell r="H5573" t="str">
            <v>EN009     Bearings</v>
          </cell>
          <cell r="I5573" t="str">
            <v>L003 Ankleshwar</v>
          </cell>
          <cell r="J5573" t="str">
            <v>99 Input/Byprodt/Scrap</v>
          </cell>
          <cell r="K5573" t="str">
            <v>10.2012</v>
          </cell>
          <cell r="L5573">
            <v>5</v>
          </cell>
          <cell r="M5573" t="str">
            <v>EA</v>
          </cell>
          <cell r="N5573">
            <v>7447.1</v>
          </cell>
          <cell r="O5573" t="str">
            <v>INR</v>
          </cell>
        </row>
        <row r="5574">
          <cell r="A5574" t="str">
            <v>L003 Ankleshwar</v>
          </cell>
          <cell r="B5574">
            <v>692359</v>
          </cell>
          <cell r="C5574" t="str">
            <v>BALL BEARING 6205 ZZ (NDP)</v>
          </cell>
          <cell r="D5574" t="str">
            <v>L0030151                       EnggStore</v>
          </cell>
          <cell r="E5574" t="str">
            <v>E31 E31</v>
          </cell>
          <cell r="F5574" t="str">
            <v>VB Manual reorder point planning</v>
          </cell>
          <cell r="G5574" t="str">
            <v>ERSA Spare parts</v>
          </cell>
          <cell r="H5574" t="str">
            <v>EN009     Bearings</v>
          </cell>
          <cell r="I5574" t="str">
            <v>L003 Ankleshwar</v>
          </cell>
          <cell r="J5574" t="str">
            <v>99 Input/Byprodt/Scrap</v>
          </cell>
          <cell r="K5574" t="str">
            <v>10.2012</v>
          </cell>
          <cell r="L5574">
            <v>10</v>
          </cell>
          <cell r="M5574" t="str">
            <v>EA</v>
          </cell>
          <cell r="N5574">
            <v>2005</v>
          </cell>
          <cell r="O5574" t="str">
            <v>INR</v>
          </cell>
        </row>
        <row r="5575">
          <cell r="A5575" t="str">
            <v>L003 Ankleshwar</v>
          </cell>
          <cell r="B5575">
            <v>692360</v>
          </cell>
          <cell r="C5575" t="str">
            <v>PTFE MATING O-RING,SSUT 1.3/8" (NDP)</v>
          </cell>
          <cell r="D5575" t="str">
            <v>L0030151                       EnggStore</v>
          </cell>
          <cell r="E5575" t="str">
            <v>E34 E34</v>
          </cell>
          <cell r="F5575" t="str">
            <v>VB Manual reorder point planning</v>
          </cell>
          <cell r="G5575" t="str">
            <v>ERSA Spare parts</v>
          </cell>
          <cell r="H5575" t="str">
            <v>EN038     MechanicalSeals&amp;Spar</v>
          </cell>
          <cell r="I5575" t="str">
            <v>L003 Ankleshwar</v>
          </cell>
          <cell r="J5575" t="str">
            <v>99 Input/Byprodt/Scrap</v>
          </cell>
          <cell r="K5575" t="str">
            <v>10.2012</v>
          </cell>
          <cell r="L5575">
            <v>3</v>
          </cell>
          <cell r="M5575" t="str">
            <v>EA</v>
          </cell>
          <cell r="N5575">
            <v>440.66</v>
          </cell>
          <cell r="O5575" t="str">
            <v>INR</v>
          </cell>
        </row>
        <row r="5576">
          <cell r="A5576" t="str">
            <v>L003 Ankleshwar</v>
          </cell>
          <cell r="B5576">
            <v>692361</v>
          </cell>
          <cell r="C5576" t="str">
            <v>V-BELT B-68 (NDP)</v>
          </cell>
          <cell r="D5576" t="str">
            <v>L0030151                       EnggStore</v>
          </cell>
          <cell r="E5576" t="str">
            <v>E31 E31</v>
          </cell>
          <cell r="F5576" t="str">
            <v>VB Manual reorder point planning</v>
          </cell>
          <cell r="G5576" t="str">
            <v>ERSA Spare parts</v>
          </cell>
          <cell r="H5576" t="str">
            <v>EN021     VbeltCoupling&amp;Pulley</v>
          </cell>
          <cell r="I5576" t="str">
            <v>L003 Ankleshwar</v>
          </cell>
          <cell r="J5576" t="str">
            <v>99 Input/Byprodt/Scrap</v>
          </cell>
          <cell r="K5576" t="str">
            <v>10.2012</v>
          </cell>
          <cell r="L5576">
            <v>5</v>
          </cell>
          <cell r="M5576" t="str">
            <v>EA</v>
          </cell>
          <cell r="N5576">
            <v>1039.75</v>
          </cell>
          <cell r="O5576" t="str">
            <v>INR</v>
          </cell>
        </row>
        <row r="5577">
          <cell r="A5577" t="str">
            <v>L003 Ankleshwar</v>
          </cell>
          <cell r="B5577">
            <v>692362</v>
          </cell>
          <cell r="C5577" t="str">
            <v>ROLLER BEARING , N-312 (NDP)</v>
          </cell>
          <cell r="D5577" t="str">
            <v>L0030151                       EnggStore</v>
          </cell>
          <cell r="E5577" t="str">
            <v>E31 E31</v>
          </cell>
          <cell r="F5577" t="str">
            <v>VB Manual reorder point planning</v>
          </cell>
          <cell r="G5577" t="str">
            <v>ERSA Spare parts</v>
          </cell>
          <cell r="H5577" t="str">
            <v>EN009     Bearings</v>
          </cell>
          <cell r="I5577" t="str">
            <v>L003 Ankleshwar</v>
          </cell>
          <cell r="J5577" t="str">
            <v>99 Input/Byprodt/Scrap</v>
          </cell>
          <cell r="K5577" t="str">
            <v>10.2012</v>
          </cell>
          <cell r="L5577">
            <v>3</v>
          </cell>
          <cell r="M5577" t="str">
            <v>EA</v>
          </cell>
          <cell r="N5577">
            <v>18628.740000000002</v>
          </cell>
          <cell r="O5577" t="str">
            <v>INR</v>
          </cell>
        </row>
        <row r="5578">
          <cell r="A5578" t="str">
            <v>L003 Ankleshwar</v>
          </cell>
          <cell r="B5578">
            <v>692364</v>
          </cell>
          <cell r="C5578" t="str">
            <v>OIL BREATHER PLUG KHIMLINE (NDP)</v>
          </cell>
          <cell r="D5578" t="str">
            <v>L0030151                       EnggStore</v>
          </cell>
          <cell r="E5578" t="str">
            <v>E34 E34</v>
          </cell>
          <cell r="F5578" t="str">
            <v>VB Manual reorder point planning</v>
          </cell>
          <cell r="G5578" t="str">
            <v>ERSA Spare parts</v>
          </cell>
          <cell r="H5578" t="str">
            <v>EN035     Measuring&amp;TestingIns</v>
          </cell>
          <cell r="I5578" t="str">
            <v>L003 Ankleshwar</v>
          </cell>
          <cell r="J5578" t="str">
            <v>99 Input/Byprodt/Scrap</v>
          </cell>
          <cell r="K5578" t="str">
            <v>10.2012</v>
          </cell>
          <cell r="L5578">
            <v>10</v>
          </cell>
          <cell r="M5578" t="str">
            <v>EA</v>
          </cell>
          <cell r="N5578">
            <v>2697.5</v>
          </cell>
          <cell r="O5578" t="str">
            <v>INR</v>
          </cell>
        </row>
        <row r="5579">
          <cell r="A5579" t="str">
            <v>L003 Ankleshwar</v>
          </cell>
          <cell r="B5579">
            <v>692365</v>
          </cell>
          <cell r="C5579" t="str">
            <v>HRC FUSE,GE,TYPE TIA-16A (NDP)</v>
          </cell>
          <cell r="D5579" t="str">
            <v>L0030151                       EnggStore</v>
          </cell>
          <cell r="E5579" t="str">
            <v>E36 E36</v>
          </cell>
          <cell r="F5579" t="str">
            <v>VB Manual reorder point planning</v>
          </cell>
          <cell r="G5579" t="str">
            <v>ERSA Spare parts</v>
          </cell>
          <cell r="H5579" t="str">
            <v>EN006     Elec Switchgear</v>
          </cell>
          <cell r="I5579" t="str">
            <v>L003 Ankleshwar</v>
          </cell>
          <cell r="J5579" t="str">
            <v>99 Input/Byprodt/Scrap</v>
          </cell>
          <cell r="K5579" t="str">
            <v>10.2012</v>
          </cell>
          <cell r="L5579">
            <v>4</v>
          </cell>
          <cell r="M5579" t="str">
            <v>EA</v>
          </cell>
          <cell r="N5579">
            <v>189</v>
          </cell>
          <cell r="O5579" t="str">
            <v>INR</v>
          </cell>
        </row>
        <row r="5580">
          <cell r="A5580" t="str">
            <v>L003 Ankleshwar</v>
          </cell>
          <cell r="B5580">
            <v>692366</v>
          </cell>
          <cell r="C5580" t="str">
            <v>CONTACTOR: 3TH30 22-OAUO, 240V (NDP)</v>
          </cell>
          <cell r="D5580" t="str">
            <v>L0030151                       EnggStore</v>
          </cell>
          <cell r="E5580" t="str">
            <v>E36 E36</v>
          </cell>
          <cell r="F5580" t="str">
            <v>VB Manual reorder point planning</v>
          </cell>
          <cell r="G5580" t="str">
            <v>ERSA Spare parts</v>
          </cell>
          <cell r="H5580" t="str">
            <v>EN006     Elec Switchgear</v>
          </cell>
          <cell r="I5580" t="str">
            <v>L003 Ankleshwar</v>
          </cell>
          <cell r="J5580" t="str">
            <v>99 Input/Byprodt/Scrap</v>
          </cell>
          <cell r="K5580" t="str">
            <v>10.2012</v>
          </cell>
          <cell r="L5580">
            <v>2</v>
          </cell>
          <cell r="M5580" t="str">
            <v>EA</v>
          </cell>
          <cell r="N5580">
            <v>952</v>
          </cell>
          <cell r="O5580" t="str">
            <v>INR</v>
          </cell>
        </row>
        <row r="5581">
          <cell r="A5581" t="str">
            <v>L003 Ankleshwar</v>
          </cell>
          <cell r="B5581">
            <v>692367</v>
          </cell>
          <cell r="C5581" t="str">
            <v>BALL BEARING, . 51310 (NDP)</v>
          </cell>
          <cell r="D5581" t="str">
            <v>L0030151                       EnggStore</v>
          </cell>
          <cell r="E5581" t="str">
            <v>E31 E31</v>
          </cell>
          <cell r="F5581" t="str">
            <v>VB Manual reorder point planning</v>
          </cell>
          <cell r="G5581" t="str">
            <v>ERSA Spare parts</v>
          </cell>
          <cell r="H5581" t="str">
            <v>EN009     Bearings</v>
          </cell>
          <cell r="I5581" t="str">
            <v>L003 Ankleshwar</v>
          </cell>
          <cell r="J5581" t="str">
            <v>99 Input/Byprodt/Scrap</v>
          </cell>
          <cell r="K5581" t="str">
            <v>10.2012</v>
          </cell>
          <cell r="L5581">
            <v>2</v>
          </cell>
          <cell r="M5581" t="str">
            <v>EA</v>
          </cell>
          <cell r="N5581">
            <v>5590.7399999999898</v>
          </cell>
          <cell r="O5581" t="str">
            <v>INR</v>
          </cell>
        </row>
        <row r="5582">
          <cell r="A5582" t="str">
            <v>L003 Ankleshwar</v>
          </cell>
          <cell r="B5582">
            <v>692368</v>
          </cell>
          <cell r="C5582" t="str">
            <v>V-BELT B-72 (NDP)</v>
          </cell>
          <cell r="D5582" t="str">
            <v>L0030151                       EnggStore</v>
          </cell>
          <cell r="E5582" t="str">
            <v>E35 E35</v>
          </cell>
          <cell r="F5582" t="str">
            <v>VB Manual reorder point planning</v>
          </cell>
          <cell r="G5582" t="str">
            <v>ERSA Spare parts</v>
          </cell>
          <cell r="H5582" t="str">
            <v>EN021     VbeltCoupling&amp;Pulley</v>
          </cell>
          <cell r="I5582" t="str">
            <v>L003 Ankleshwar</v>
          </cell>
          <cell r="J5582" t="str">
            <v>99 Input/Byprodt/Scrap</v>
          </cell>
          <cell r="K5582" t="str">
            <v>10.2012</v>
          </cell>
          <cell r="L5582">
            <v>4</v>
          </cell>
          <cell r="M5582" t="str">
            <v>EA</v>
          </cell>
          <cell r="N5582">
            <v>800.79999999999905</v>
          </cell>
          <cell r="O5582" t="str">
            <v>INR</v>
          </cell>
        </row>
        <row r="5583">
          <cell r="A5583" t="str">
            <v>L003 Ankleshwar</v>
          </cell>
          <cell r="B5583">
            <v>692370</v>
          </cell>
          <cell r="C5583" t="str">
            <v>HRC FUSE,GE, TYPE NS-2, 2A (NDP)</v>
          </cell>
          <cell r="D5583" t="str">
            <v>L0030151                       EnggStore</v>
          </cell>
          <cell r="E5583" t="str">
            <v>E36 E36</v>
          </cell>
          <cell r="F5583" t="str">
            <v>VB Manual reorder point planning</v>
          </cell>
          <cell r="G5583" t="str">
            <v>ERSA Spare parts</v>
          </cell>
          <cell r="H5583" t="str">
            <v>EN023     Valves&amp;spares</v>
          </cell>
          <cell r="I5583" t="str">
            <v>L003 Ankleshwar</v>
          </cell>
          <cell r="J5583" t="str">
            <v>99 Input/Byprodt/Scrap</v>
          </cell>
          <cell r="K5583" t="str">
            <v>10.2012</v>
          </cell>
          <cell r="L5583">
            <v>2</v>
          </cell>
          <cell r="M5583" t="str">
            <v>EA</v>
          </cell>
          <cell r="N5583">
            <v>61.5</v>
          </cell>
          <cell r="O5583" t="str">
            <v>INR</v>
          </cell>
        </row>
        <row r="5584">
          <cell r="A5584" t="str">
            <v>L003 Ankleshwar</v>
          </cell>
          <cell r="B5584">
            <v>692371</v>
          </cell>
          <cell r="C5584" t="str">
            <v>BALL BEARING 6212 ZZ (NDP)</v>
          </cell>
          <cell r="D5584" t="str">
            <v>L0030151                       EnggStore</v>
          </cell>
          <cell r="E5584" t="str">
            <v>E31 E31</v>
          </cell>
          <cell r="F5584" t="str">
            <v>VB Manual reorder point planning</v>
          </cell>
          <cell r="G5584" t="str">
            <v>ERSA Spare parts</v>
          </cell>
          <cell r="H5584" t="str">
            <v>EN009     Bearings</v>
          </cell>
          <cell r="I5584" t="str">
            <v>L003 Ankleshwar</v>
          </cell>
          <cell r="J5584" t="str">
            <v>99 Input/Byprodt/Scrap</v>
          </cell>
          <cell r="K5584" t="str">
            <v>10.2012</v>
          </cell>
          <cell r="L5584">
            <v>2</v>
          </cell>
          <cell r="M5584" t="str">
            <v>EA</v>
          </cell>
          <cell r="N5584">
            <v>1240.6099999999899</v>
          </cell>
          <cell r="O5584" t="str">
            <v>INR</v>
          </cell>
        </row>
        <row r="5585">
          <cell r="A5585" t="str">
            <v>L003 Ankleshwar</v>
          </cell>
          <cell r="B5585">
            <v>692372</v>
          </cell>
          <cell r="C5585" t="str">
            <v>SS-304 NEEDLE VALVE S/T 1/2" (NDP)</v>
          </cell>
          <cell r="D5585" t="str">
            <v>L0030151                       EnggStore</v>
          </cell>
          <cell r="E5585" t="str">
            <v>E31 E31</v>
          </cell>
          <cell r="F5585" t="str">
            <v>VB Manual reorder point planning</v>
          </cell>
          <cell r="G5585" t="str">
            <v>ERSA Spare parts</v>
          </cell>
          <cell r="H5585" t="str">
            <v>EN023     Valves&amp;spares</v>
          </cell>
          <cell r="I5585" t="str">
            <v>L003 Ankleshwar</v>
          </cell>
          <cell r="J5585" t="str">
            <v>99 Input/Byprodt/Scrap</v>
          </cell>
          <cell r="K5585" t="str">
            <v>10.2012</v>
          </cell>
          <cell r="L5585">
            <v>3</v>
          </cell>
          <cell r="M5585" t="str">
            <v>EA</v>
          </cell>
          <cell r="N5585">
            <v>486</v>
          </cell>
          <cell r="O5585" t="str">
            <v>INR</v>
          </cell>
        </row>
        <row r="5586">
          <cell r="A5586" t="str">
            <v>L003 Ankleshwar</v>
          </cell>
          <cell r="B5586">
            <v>692374</v>
          </cell>
          <cell r="C5586" t="str">
            <v>REPLACABLE GFT INSERT PT 5 (NDP)</v>
          </cell>
          <cell r="D5586" t="str">
            <v>L0030151                       EnggStore</v>
          </cell>
          <cell r="E5586" t="str">
            <v>E34 E34</v>
          </cell>
          <cell r="F5586" t="str">
            <v>VB Manual reorder point planning</v>
          </cell>
          <cell r="G5586" t="str">
            <v>ERSA Spare parts</v>
          </cell>
          <cell r="H5586" t="str">
            <v>EN038     MechanicalSeals&amp;Spar</v>
          </cell>
          <cell r="I5586" t="str">
            <v>L003 Ankleshwar</v>
          </cell>
          <cell r="J5586" t="str">
            <v>99 Input/Byprodt/Scrap</v>
          </cell>
          <cell r="K5586" t="str">
            <v>10.2012</v>
          </cell>
          <cell r="L5586">
            <v>6</v>
          </cell>
          <cell r="M5586" t="str">
            <v>EA</v>
          </cell>
          <cell r="N5586">
            <v>8736.77</v>
          </cell>
          <cell r="O5586" t="str">
            <v>INR</v>
          </cell>
        </row>
        <row r="5587">
          <cell r="A5587" t="str">
            <v>L003 Ankleshwar</v>
          </cell>
          <cell r="B5587">
            <v>692375</v>
          </cell>
          <cell r="C5587" t="str">
            <v>U-PACKING PTFEFOR SSRRUT 1.125 (NDP)</v>
          </cell>
          <cell r="D5587" t="str">
            <v>L0030151                       EnggStore</v>
          </cell>
          <cell r="E5587" t="str">
            <v>E34 E34</v>
          </cell>
          <cell r="F5587" t="str">
            <v>VB Manual reorder point planning</v>
          </cell>
          <cell r="G5587" t="str">
            <v>ERSA Spare parts</v>
          </cell>
          <cell r="H5587" t="str">
            <v>EN038     MechanicalSeals&amp;Spar</v>
          </cell>
          <cell r="I5587" t="str">
            <v>L003 Ankleshwar</v>
          </cell>
          <cell r="J5587" t="str">
            <v>99 Input/Byprodt/Scrap</v>
          </cell>
          <cell r="K5587" t="str">
            <v>10.2012</v>
          </cell>
          <cell r="L5587">
            <v>2</v>
          </cell>
          <cell r="M5587" t="str">
            <v>EA</v>
          </cell>
          <cell r="N5587">
            <v>472.00999999999902</v>
          </cell>
          <cell r="O5587" t="str">
            <v>INR</v>
          </cell>
        </row>
        <row r="5588">
          <cell r="A5588" t="str">
            <v>L003 Ankleshwar</v>
          </cell>
          <cell r="B5588">
            <v>692377</v>
          </cell>
          <cell r="C5588" t="str">
            <v>V-BELT B-60 (NDP)</v>
          </cell>
          <cell r="D5588" t="str">
            <v>L0030151                       EnggStore</v>
          </cell>
          <cell r="E5588" t="str">
            <v>E35 E35</v>
          </cell>
          <cell r="F5588" t="str">
            <v>VB Manual reorder point planning</v>
          </cell>
          <cell r="G5588" t="str">
            <v>ERSA Spare parts</v>
          </cell>
          <cell r="H5588" t="str">
            <v>EN021     VbeltCoupling&amp;Pulley</v>
          </cell>
          <cell r="I5588" t="str">
            <v>L003 Ankleshwar</v>
          </cell>
          <cell r="J5588" t="str">
            <v>99 Input/Byprodt/Scrap</v>
          </cell>
          <cell r="K5588" t="str">
            <v>10.2012</v>
          </cell>
          <cell r="L5588">
            <v>4</v>
          </cell>
          <cell r="M5588" t="str">
            <v>EA</v>
          </cell>
          <cell r="N5588">
            <v>662.03999999999905</v>
          </cell>
          <cell r="O5588" t="str">
            <v>INR</v>
          </cell>
        </row>
        <row r="5589">
          <cell r="A5589" t="str">
            <v>L003 Ankleshwar</v>
          </cell>
          <cell r="B5589">
            <v>692378</v>
          </cell>
          <cell r="C5589" t="str">
            <v>ROLLER BEARING NJ-307 ECP (NDP)</v>
          </cell>
          <cell r="D5589" t="str">
            <v>L0030151                       EnggStore</v>
          </cell>
          <cell r="E5589" t="str">
            <v>E31 E31</v>
          </cell>
          <cell r="F5589" t="str">
            <v>VB Manual reorder point planning</v>
          </cell>
          <cell r="G5589" t="str">
            <v>ERSA Spare parts</v>
          </cell>
          <cell r="H5589" t="str">
            <v>EN009     Bearings</v>
          </cell>
          <cell r="I5589" t="str">
            <v>L003 Ankleshwar</v>
          </cell>
          <cell r="J5589" t="str">
            <v>99 Input/Byprodt/Scrap</v>
          </cell>
          <cell r="K5589" t="str">
            <v>10.2012</v>
          </cell>
          <cell r="L5589">
            <v>2</v>
          </cell>
          <cell r="M5589" t="str">
            <v>EA</v>
          </cell>
          <cell r="N5589">
            <v>4227.6000000000004</v>
          </cell>
          <cell r="O5589" t="str">
            <v>INR</v>
          </cell>
        </row>
        <row r="5590">
          <cell r="A5590" t="str">
            <v>L003 Ankleshwar</v>
          </cell>
          <cell r="B5590">
            <v>692380</v>
          </cell>
          <cell r="C5590" t="str">
            <v>6"DL VACUUM GAUGE 0-760 HG 1/2"BSP (NDP)</v>
          </cell>
          <cell r="D5590" t="str">
            <v>L0030151                       EnggStore</v>
          </cell>
          <cell r="E5590" t="str">
            <v>E36 E36</v>
          </cell>
          <cell r="F5590" t="str">
            <v>VB Manual reorder point planning</v>
          </cell>
          <cell r="G5590" t="str">
            <v>ERSA Spare parts</v>
          </cell>
          <cell r="H5590" t="str">
            <v>EN035     Measuring&amp;TestingIns</v>
          </cell>
          <cell r="I5590" t="str">
            <v>L003 Ankleshwar</v>
          </cell>
          <cell r="J5590" t="str">
            <v>99 Input/Byprodt/Scrap</v>
          </cell>
          <cell r="K5590" t="str">
            <v>10.2012</v>
          </cell>
          <cell r="L5590">
            <v>2</v>
          </cell>
          <cell r="M5590" t="str">
            <v>EA</v>
          </cell>
          <cell r="N5590">
            <v>1700.5</v>
          </cell>
          <cell r="O5590" t="str">
            <v>INR</v>
          </cell>
        </row>
        <row r="5591">
          <cell r="A5591" t="str">
            <v>L003 Ankleshwar</v>
          </cell>
          <cell r="B5591">
            <v>692381</v>
          </cell>
          <cell r="C5591" t="str">
            <v>PTFE SECONDRY V PACKING (NDP)</v>
          </cell>
          <cell r="D5591" t="str">
            <v>L0030151                       EnggStore</v>
          </cell>
          <cell r="E5591" t="str">
            <v>E34 E34</v>
          </cell>
          <cell r="F5591" t="str">
            <v>VB Manual reorder point planning</v>
          </cell>
          <cell r="G5591" t="str">
            <v>ERSA Spare parts</v>
          </cell>
          <cell r="H5591" t="str">
            <v>EN038     MechanicalSeals&amp;Spar</v>
          </cell>
          <cell r="I5591" t="str">
            <v>L003 Ankleshwar</v>
          </cell>
          <cell r="J5591" t="str">
            <v>99 Input/Byprodt/Scrap</v>
          </cell>
          <cell r="K5591" t="str">
            <v>10.2012</v>
          </cell>
          <cell r="L5591">
            <v>13</v>
          </cell>
          <cell r="M5591" t="str">
            <v>EA</v>
          </cell>
          <cell r="N5591">
            <v>2857.6999999999898</v>
          </cell>
          <cell r="O5591" t="str">
            <v>INR</v>
          </cell>
        </row>
        <row r="5592">
          <cell r="A5592" t="str">
            <v>L003 Ankleshwar</v>
          </cell>
          <cell r="B5592">
            <v>692382</v>
          </cell>
          <cell r="C5592" t="str">
            <v>TEFLON BELLOW W/GFT INTEGRAL (NDP)</v>
          </cell>
          <cell r="D5592" t="str">
            <v>L0030151                       EnggStore</v>
          </cell>
          <cell r="E5592" t="str">
            <v>E34 E34</v>
          </cell>
          <cell r="F5592" t="str">
            <v>VB Manual reorder point planning</v>
          </cell>
          <cell r="G5592" t="str">
            <v>ERSA Spare parts</v>
          </cell>
          <cell r="H5592" t="str">
            <v>EN038     MechanicalSeals&amp;Spar</v>
          </cell>
          <cell r="I5592" t="str">
            <v>L003 Ankleshwar</v>
          </cell>
          <cell r="J5592" t="str">
            <v>99 Input/Byprodt/Scrap</v>
          </cell>
          <cell r="K5592" t="str">
            <v>10.2012</v>
          </cell>
          <cell r="L5592">
            <v>3</v>
          </cell>
          <cell r="M5592" t="str">
            <v>EA</v>
          </cell>
          <cell r="N5592">
            <v>14658.209999999901</v>
          </cell>
          <cell r="O5592" t="str">
            <v>INR</v>
          </cell>
        </row>
        <row r="5593">
          <cell r="A5593" t="str">
            <v>L003 Ankleshwar</v>
          </cell>
          <cell r="B5593">
            <v>692383</v>
          </cell>
          <cell r="C5593" t="str">
            <v>BALL BEARING 6208 (NDP)</v>
          </cell>
          <cell r="D5593" t="str">
            <v>L0030151                       EnggStore</v>
          </cell>
          <cell r="E5593" t="str">
            <v>E31 E31</v>
          </cell>
          <cell r="F5593" t="str">
            <v>VB Manual reorder point planning</v>
          </cell>
          <cell r="G5593" t="str">
            <v>ERSA Spare parts</v>
          </cell>
          <cell r="H5593" t="str">
            <v>EN009     Bearings</v>
          </cell>
          <cell r="I5593" t="str">
            <v>L003 Ankleshwar</v>
          </cell>
          <cell r="J5593" t="str">
            <v>99 Input/Byprodt/Scrap</v>
          </cell>
          <cell r="K5593" t="str">
            <v>10.2012</v>
          </cell>
          <cell r="L5593">
            <v>1</v>
          </cell>
          <cell r="M5593" t="str">
            <v>EA</v>
          </cell>
          <cell r="N5593">
            <v>248.819999999999</v>
          </cell>
          <cell r="O5593" t="str">
            <v>INR</v>
          </cell>
        </row>
        <row r="5594">
          <cell r="A5594" t="str">
            <v>L003 Ankleshwar</v>
          </cell>
          <cell r="B5594">
            <v>692385</v>
          </cell>
          <cell r="C5594" t="str">
            <v>BALL BEARING . 6315 (NDP)</v>
          </cell>
          <cell r="D5594" t="str">
            <v>L0030151                       EnggStore</v>
          </cell>
          <cell r="E5594" t="str">
            <v>E31 E31</v>
          </cell>
          <cell r="F5594" t="str">
            <v>VB Manual reorder point planning</v>
          </cell>
          <cell r="G5594" t="str">
            <v>ERSA Spare parts</v>
          </cell>
          <cell r="H5594" t="str">
            <v>EN009     Bearings</v>
          </cell>
          <cell r="I5594" t="str">
            <v>L003 Ankleshwar</v>
          </cell>
          <cell r="J5594" t="str">
            <v>99 Input/Byprodt/Scrap</v>
          </cell>
          <cell r="K5594" t="str">
            <v>10.2012</v>
          </cell>
          <cell r="L5594">
            <v>2</v>
          </cell>
          <cell r="M5594" t="str">
            <v>EA</v>
          </cell>
          <cell r="N5594">
            <v>7474.5299999999897</v>
          </cell>
          <cell r="O5594" t="str">
            <v>INR</v>
          </cell>
        </row>
        <row r="5595">
          <cell r="A5595" t="str">
            <v>L003 Ankleshwar</v>
          </cell>
          <cell r="B5595">
            <v>692386</v>
          </cell>
          <cell r="C5595" t="str">
            <v>CARBON SEAL RING SSUT 1-3/8" (NDP)</v>
          </cell>
          <cell r="D5595" t="str">
            <v>L0030151                       EnggStore</v>
          </cell>
          <cell r="E5595" t="str">
            <v>E34 E34</v>
          </cell>
          <cell r="F5595" t="str">
            <v>VB Manual reorder point planning</v>
          </cell>
          <cell r="G5595" t="str">
            <v>ERSA Spare parts</v>
          </cell>
          <cell r="H5595" t="str">
            <v>EN038     MechanicalSeals&amp;Spar</v>
          </cell>
          <cell r="I5595" t="str">
            <v>L003 Ankleshwar</v>
          </cell>
          <cell r="J5595" t="str">
            <v>99 Input/Byprodt/Scrap</v>
          </cell>
          <cell r="K5595" t="str">
            <v>10.2012</v>
          </cell>
          <cell r="L5595">
            <v>3</v>
          </cell>
          <cell r="M5595" t="str">
            <v>EA</v>
          </cell>
          <cell r="N5595">
            <v>3388.29</v>
          </cell>
          <cell r="O5595" t="str">
            <v>INR</v>
          </cell>
        </row>
        <row r="5596">
          <cell r="A5596" t="str">
            <v>L003 Ankleshwar</v>
          </cell>
          <cell r="B5596">
            <v>692387</v>
          </cell>
          <cell r="C5596" t="str">
            <v>CARBON SEAL RING SSUT 1-1/8" (NDP)</v>
          </cell>
          <cell r="D5596" t="str">
            <v>L0030151                       EnggStore</v>
          </cell>
          <cell r="E5596" t="str">
            <v>E34 E34</v>
          </cell>
          <cell r="F5596" t="str">
            <v>VB Manual reorder point planning</v>
          </cell>
          <cell r="G5596" t="str">
            <v>ERSA Spare parts</v>
          </cell>
          <cell r="H5596" t="str">
            <v>EN038     MechanicalSeals&amp;Spar</v>
          </cell>
          <cell r="I5596" t="str">
            <v>L003 Ankleshwar</v>
          </cell>
          <cell r="J5596" t="str">
            <v>99 Input/Byprodt/Scrap</v>
          </cell>
          <cell r="K5596" t="str">
            <v>10.2012</v>
          </cell>
          <cell r="L5596">
            <v>10</v>
          </cell>
          <cell r="M5596" t="str">
            <v>EA</v>
          </cell>
          <cell r="N5596">
            <v>9044.7299999999905</v>
          </cell>
          <cell r="O5596" t="str">
            <v>INR</v>
          </cell>
        </row>
        <row r="5597">
          <cell r="A5597" t="str">
            <v>L003 Ankleshwar</v>
          </cell>
          <cell r="B5597">
            <v>692388</v>
          </cell>
          <cell r="C5597" t="str">
            <v>BEARING PADASTAL: UCPX 15 (NDP)</v>
          </cell>
          <cell r="D5597" t="str">
            <v>L0030151                       EnggStore</v>
          </cell>
          <cell r="E5597" t="str">
            <v>E31 E31</v>
          </cell>
          <cell r="F5597" t="str">
            <v>VB Manual reorder point planning</v>
          </cell>
          <cell r="G5597" t="str">
            <v>ERSA Spare parts</v>
          </cell>
          <cell r="H5597" t="str">
            <v>EN009     Bearings</v>
          </cell>
          <cell r="I5597" t="str">
            <v>L003 Ankleshwar</v>
          </cell>
          <cell r="J5597" t="str">
            <v>99 Input/Byprodt/Scrap</v>
          </cell>
          <cell r="K5597" t="str">
            <v>10.2012</v>
          </cell>
          <cell r="L5597">
            <v>1</v>
          </cell>
          <cell r="M5597" t="str">
            <v>EA</v>
          </cell>
          <cell r="N5597">
            <v>6600</v>
          </cell>
          <cell r="O5597" t="str">
            <v>INR</v>
          </cell>
        </row>
        <row r="5598">
          <cell r="A5598" t="str">
            <v>L003 Ankleshwar</v>
          </cell>
          <cell r="B5598">
            <v>692389</v>
          </cell>
          <cell r="C5598" t="str">
            <v>BALL BEARING 6207 (NDP)_</v>
          </cell>
          <cell r="D5598" t="str">
            <v>L0030151                       EnggStore</v>
          </cell>
          <cell r="E5598" t="str">
            <v>E31 E31</v>
          </cell>
          <cell r="F5598" t="str">
            <v>VB Manual reorder point planning</v>
          </cell>
          <cell r="G5598" t="str">
            <v>ERSA Spare parts</v>
          </cell>
          <cell r="H5598" t="str">
            <v>EN009     Bearings</v>
          </cell>
          <cell r="I5598" t="str">
            <v>L003 Ankleshwar</v>
          </cell>
          <cell r="J5598" t="str">
            <v>99 Input/Byprodt/Scrap</v>
          </cell>
          <cell r="K5598" t="str">
            <v>10.2012</v>
          </cell>
          <cell r="L5598">
            <v>4</v>
          </cell>
          <cell r="M5598" t="str">
            <v>EA</v>
          </cell>
          <cell r="N5598">
            <v>931.48</v>
          </cell>
          <cell r="O5598" t="str">
            <v>INR</v>
          </cell>
        </row>
        <row r="5599">
          <cell r="A5599" t="str">
            <v>L003 Ankleshwar</v>
          </cell>
          <cell r="B5599">
            <v>692390</v>
          </cell>
          <cell r="C5599" t="str">
            <v>BALL BEARING .6310 (NDP)</v>
          </cell>
          <cell r="D5599" t="str">
            <v>L0030151                       EnggStore</v>
          </cell>
          <cell r="E5599" t="str">
            <v>E31 E31</v>
          </cell>
          <cell r="F5599" t="str">
            <v>VB Manual reorder point planning</v>
          </cell>
          <cell r="G5599" t="str">
            <v>ERSA Spare parts</v>
          </cell>
          <cell r="H5599" t="str">
            <v>EN009     Bearings</v>
          </cell>
          <cell r="I5599" t="str">
            <v>L003 Ankleshwar</v>
          </cell>
          <cell r="J5599" t="str">
            <v>99 Input/Byprodt/Scrap</v>
          </cell>
          <cell r="K5599" t="str">
            <v>10.2012</v>
          </cell>
          <cell r="L5599">
            <v>2</v>
          </cell>
          <cell r="M5599" t="str">
            <v>EA</v>
          </cell>
          <cell r="N5599">
            <v>1454.8399999999899</v>
          </cell>
          <cell r="O5599" t="str">
            <v>INR</v>
          </cell>
        </row>
        <row r="5600">
          <cell r="A5600" t="str">
            <v>L003 Ankleshwar</v>
          </cell>
          <cell r="B5600">
            <v>692391</v>
          </cell>
          <cell r="C5600" t="str">
            <v>BALL BEARING 6306-ZZ (NDP)</v>
          </cell>
          <cell r="D5600" t="str">
            <v>L0030151                       EnggStore</v>
          </cell>
          <cell r="E5600" t="str">
            <v>E31 E31</v>
          </cell>
          <cell r="F5600" t="str">
            <v>VB Manual reorder point planning</v>
          </cell>
          <cell r="G5600" t="str">
            <v>ERSA Spare parts</v>
          </cell>
          <cell r="H5600" t="str">
            <v>EN009     Bearings</v>
          </cell>
          <cell r="I5600" t="str">
            <v>L003 Ankleshwar</v>
          </cell>
          <cell r="J5600" t="str">
            <v>99 Input/Byprodt/Scrap</v>
          </cell>
          <cell r="K5600" t="str">
            <v>10.2012</v>
          </cell>
          <cell r="L5600">
            <v>2</v>
          </cell>
          <cell r="M5600" t="str">
            <v>EA</v>
          </cell>
          <cell r="N5600">
            <v>585.63999999999896</v>
          </cell>
          <cell r="O5600" t="str">
            <v>INR</v>
          </cell>
        </row>
        <row r="5601">
          <cell r="A5601" t="str">
            <v>L003 Ankleshwar</v>
          </cell>
          <cell r="B5601">
            <v>692392</v>
          </cell>
          <cell r="C5601" t="str">
            <v>ROLLER BEARING , N-314 ECP (NDP)</v>
          </cell>
          <cell r="D5601" t="str">
            <v>L0030151                       EnggStore</v>
          </cell>
          <cell r="E5601" t="str">
            <v>E31 E31</v>
          </cell>
          <cell r="F5601" t="str">
            <v>VB Manual reorder point planning</v>
          </cell>
          <cell r="G5601" t="str">
            <v>ERSA Spare parts</v>
          </cell>
          <cell r="H5601" t="str">
            <v>EN009     Bearings</v>
          </cell>
          <cell r="I5601" t="str">
            <v>L003 Ankleshwar</v>
          </cell>
          <cell r="J5601" t="str">
            <v>99 Input/Byprodt/Scrap</v>
          </cell>
          <cell r="K5601" t="str">
            <v>10.2012</v>
          </cell>
          <cell r="L5601">
            <v>2</v>
          </cell>
          <cell r="M5601" t="str">
            <v>EA</v>
          </cell>
          <cell r="N5601">
            <v>17734.11</v>
          </cell>
          <cell r="O5601" t="str">
            <v>INR</v>
          </cell>
        </row>
        <row r="5602">
          <cell r="A5602" t="str">
            <v>L003 Ankleshwar</v>
          </cell>
          <cell r="B5602">
            <v>692394</v>
          </cell>
          <cell r="C5602" t="str">
            <v>V-BELT B-80 (NDP)</v>
          </cell>
          <cell r="D5602" t="str">
            <v>L0030151                       EnggStore</v>
          </cell>
          <cell r="E5602" t="str">
            <v>E35 E35</v>
          </cell>
          <cell r="F5602" t="str">
            <v>VB Manual reorder point planning</v>
          </cell>
          <cell r="G5602" t="str">
            <v>ERSA Spare parts</v>
          </cell>
          <cell r="H5602" t="str">
            <v>EN021     VbeltCoupling&amp;Pulley</v>
          </cell>
          <cell r="I5602" t="str">
            <v>L003 Ankleshwar</v>
          </cell>
          <cell r="J5602" t="str">
            <v>99 Input/Byprodt/Scrap</v>
          </cell>
          <cell r="K5602" t="str">
            <v>10.2012</v>
          </cell>
          <cell r="L5602">
            <v>2</v>
          </cell>
          <cell r="M5602" t="str">
            <v>EA</v>
          </cell>
          <cell r="N5602">
            <v>473.88999999999902</v>
          </cell>
          <cell r="O5602" t="str">
            <v>INR</v>
          </cell>
        </row>
        <row r="5603">
          <cell r="A5603" t="str">
            <v>L003 Ankleshwar</v>
          </cell>
          <cell r="B5603">
            <v>692395</v>
          </cell>
          <cell r="C5603" t="str">
            <v>O-RING PTFE:HI-FAB SRRUT 0349 (NDP)</v>
          </cell>
          <cell r="D5603" t="str">
            <v>L0030151                       EnggStore</v>
          </cell>
          <cell r="E5603" t="str">
            <v>E34 E34</v>
          </cell>
          <cell r="F5603" t="str">
            <v>VB Manual reorder point planning</v>
          </cell>
          <cell r="G5603" t="str">
            <v>ERSA Spare parts</v>
          </cell>
          <cell r="H5603" t="str">
            <v>EN038     MechanicalSeals&amp;Spar</v>
          </cell>
          <cell r="I5603" t="str">
            <v>L003 Ankleshwar</v>
          </cell>
          <cell r="J5603" t="str">
            <v>99 Input/Byprodt/Scrap</v>
          </cell>
          <cell r="K5603" t="str">
            <v>10.2012</v>
          </cell>
          <cell r="L5603">
            <v>1</v>
          </cell>
          <cell r="M5603" t="str">
            <v>EA</v>
          </cell>
          <cell r="N5603">
            <v>237.22</v>
          </cell>
          <cell r="O5603" t="str">
            <v>INR</v>
          </cell>
        </row>
        <row r="5604">
          <cell r="A5604" t="str">
            <v>L003 Ankleshwar</v>
          </cell>
          <cell r="B5604">
            <v>692396</v>
          </cell>
          <cell r="C5604" t="str">
            <v>VEE BELT C-105 (NDP)</v>
          </cell>
          <cell r="D5604" t="str">
            <v>L0030151                       EnggStore</v>
          </cell>
          <cell r="E5604" t="str">
            <v>E35 E35</v>
          </cell>
          <cell r="F5604" t="str">
            <v>VB Manual reorder point planning</v>
          </cell>
          <cell r="G5604" t="str">
            <v>ERSA Spare parts</v>
          </cell>
          <cell r="H5604" t="str">
            <v>EN021     VbeltCoupling&amp;Pulley</v>
          </cell>
          <cell r="I5604" t="str">
            <v>L003 Ankleshwar</v>
          </cell>
          <cell r="J5604" t="str">
            <v>99 Input/Byprodt/Scrap</v>
          </cell>
          <cell r="K5604" t="str">
            <v>10.2012</v>
          </cell>
          <cell r="L5604">
            <v>2</v>
          </cell>
          <cell r="M5604" t="str">
            <v>EA</v>
          </cell>
          <cell r="N5604">
            <v>1121.71</v>
          </cell>
          <cell r="O5604" t="str">
            <v>INR</v>
          </cell>
        </row>
        <row r="5605">
          <cell r="A5605" t="str">
            <v>L003 Ankleshwar</v>
          </cell>
          <cell r="B5605">
            <v>692397</v>
          </cell>
          <cell r="C5605" t="str">
            <v>SS-316 BALL VALVE ASA-150 F/T 1" (NDP)</v>
          </cell>
          <cell r="D5605" t="str">
            <v>L0030151                       EnggStore</v>
          </cell>
          <cell r="E5605" t="str">
            <v>E31 E31</v>
          </cell>
          <cell r="F5605" t="str">
            <v>VB Manual reorder point planning</v>
          </cell>
          <cell r="G5605" t="str">
            <v>ERSA Spare parts</v>
          </cell>
          <cell r="H5605" t="str">
            <v>EN023     Valves&amp;spares</v>
          </cell>
          <cell r="I5605" t="str">
            <v>L003 Ankleshwar</v>
          </cell>
          <cell r="J5605" t="str">
            <v>99 Input/Byprodt/Scrap</v>
          </cell>
          <cell r="K5605" t="str">
            <v>10.2012</v>
          </cell>
          <cell r="L5605">
            <v>2</v>
          </cell>
          <cell r="M5605" t="str">
            <v>EA</v>
          </cell>
          <cell r="N5605">
            <v>3264.88</v>
          </cell>
          <cell r="O5605" t="str">
            <v>INR</v>
          </cell>
        </row>
        <row r="5606">
          <cell r="A5606" t="str">
            <v>L003 Ankleshwar</v>
          </cell>
          <cell r="B5606">
            <v>692398</v>
          </cell>
          <cell r="C5606" t="str">
            <v>STATIONARY SEAT-SL-TC SLUV-0285 (NDP)</v>
          </cell>
          <cell r="D5606" t="str">
            <v>L0030151                       EnggStore</v>
          </cell>
          <cell r="E5606" t="str">
            <v>E34 E34</v>
          </cell>
          <cell r="F5606" t="str">
            <v>VB Manual reorder point planning</v>
          </cell>
          <cell r="G5606" t="str">
            <v>ERSA Spare parts</v>
          </cell>
          <cell r="H5606" t="str">
            <v>EN038     MechanicalSeals&amp;Spar</v>
          </cell>
          <cell r="I5606" t="str">
            <v>L003 Ankleshwar</v>
          </cell>
          <cell r="J5606" t="str">
            <v>99 Input/Byprodt/Scrap</v>
          </cell>
          <cell r="K5606" t="str">
            <v>10.2012</v>
          </cell>
          <cell r="L5606">
            <v>1</v>
          </cell>
          <cell r="M5606" t="str">
            <v>EA</v>
          </cell>
          <cell r="N5606">
            <v>3233.9299999999898</v>
          </cell>
          <cell r="O5606" t="str">
            <v>INR</v>
          </cell>
        </row>
        <row r="5607">
          <cell r="A5607" t="str">
            <v>L003 Ankleshwar</v>
          </cell>
          <cell r="B5607">
            <v>692399</v>
          </cell>
          <cell r="C5607" t="str">
            <v>BALL BEARING, - 6014 (NDP)</v>
          </cell>
          <cell r="D5607" t="str">
            <v>L0030151                       EnggStore</v>
          </cell>
          <cell r="E5607" t="str">
            <v>E31 E31</v>
          </cell>
          <cell r="F5607" t="str">
            <v>VB Manual reorder point planning</v>
          </cell>
          <cell r="G5607" t="str">
            <v>ERSA Spare parts</v>
          </cell>
          <cell r="H5607" t="str">
            <v>EN009     Bearings</v>
          </cell>
          <cell r="I5607" t="str">
            <v>L003 Ankleshwar</v>
          </cell>
          <cell r="J5607" t="str">
            <v>99 Input/Byprodt/Scrap</v>
          </cell>
          <cell r="K5607" t="str">
            <v>10.2012</v>
          </cell>
          <cell r="L5607">
            <v>8</v>
          </cell>
          <cell r="M5607" t="str">
            <v>EA</v>
          </cell>
          <cell r="N5607">
            <v>14353.29</v>
          </cell>
          <cell r="O5607" t="str">
            <v>INR</v>
          </cell>
        </row>
        <row r="5608">
          <cell r="A5608" t="str">
            <v>L003 Ankleshwar</v>
          </cell>
          <cell r="B5608">
            <v>692401</v>
          </cell>
          <cell r="C5608" t="str">
            <v>BALL BEARING 6204-ZZ (NDP)</v>
          </cell>
          <cell r="D5608" t="str">
            <v>L0030151                       EnggStore</v>
          </cell>
          <cell r="E5608" t="str">
            <v>E31 E31</v>
          </cell>
          <cell r="F5608" t="str">
            <v>VB Manual reorder point planning</v>
          </cell>
          <cell r="G5608" t="str">
            <v>ERSA Spare parts</v>
          </cell>
          <cell r="H5608" t="str">
            <v>EN009     Bearings</v>
          </cell>
          <cell r="I5608" t="str">
            <v>L003 Ankleshwar</v>
          </cell>
          <cell r="J5608" t="str">
            <v>99 Input/Byprodt/Scrap</v>
          </cell>
          <cell r="K5608" t="str">
            <v>10.2012</v>
          </cell>
          <cell r="L5608">
            <v>5</v>
          </cell>
          <cell r="M5608" t="str">
            <v>EA</v>
          </cell>
          <cell r="N5608">
            <v>713.7</v>
          </cell>
          <cell r="O5608" t="str">
            <v>INR</v>
          </cell>
        </row>
        <row r="5609">
          <cell r="A5609" t="str">
            <v>L003 Ankleshwar</v>
          </cell>
          <cell r="B5609">
            <v>692402</v>
          </cell>
          <cell r="C5609" t="str">
            <v>SHAFT SLEEVE,SS316,SSUT 1.3/8" (NDP)</v>
          </cell>
          <cell r="D5609" t="str">
            <v>L0030151                       EnggStore</v>
          </cell>
          <cell r="E5609" t="str">
            <v>E34 E34</v>
          </cell>
          <cell r="F5609" t="str">
            <v>VB Manual reorder point planning</v>
          </cell>
          <cell r="G5609" t="str">
            <v>ERSA Spare parts</v>
          </cell>
          <cell r="H5609" t="str">
            <v>EN038     MechanicalSeals&amp;Spar</v>
          </cell>
          <cell r="I5609" t="str">
            <v>L003 Ankleshwar</v>
          </cell>
          <cell r="J5609" t="str">
            <v>99 Input/Byprodt/Scrap</v>
          </cell>
          <cell r="K5609" t="str">
            <v>10.2012</v>
          </cell>
          <cell r="L5609">
            <v>10</v>
          </cell>
          <cell r="M5609" t="str">
            <v>EA</v>
          </cell>
          <cell r="N5609">
            <v>14410</v>
          </cell>
          <cell r="O5609" t="str">
            <v>INR</v>
          </cell>
        </row>
        <row r="5610">
          <cell r="A5610" t="str">
            <v>L003 Ankleshwar</v>
          </cell>
          <cell r="B5610">
            <v>692403</v>
          </cell>
          <cell r="C5610" t="str">
            <v>V-BELT A-45 (NDP)</v>
          </cell>
          <cell r="D5610" t="str">
            <v>L0030151                       EnggStore</v>
          </cell>
          <cell r="E5610" t="str">
            <v>E35 E35</v>
          </cell>
          <cell r="F5610" t="str">
            <v>VB Manual reorder point planning</v>
          </cell>
          <cell r="G5610" t="str">
            <v>ERSA Spare parts</v>
          </cell>
          <cell r="H5610" t="str">
            <v>EN038     MechanicalSeals&amp;Spar</v>
          </cell>
          <cell r="I5610" t="str">
            <v>L003 Ankleshwar</v>
          </cell>
          <cell r="J5610" t="str">
            <v>99 Input/Byprodt/Scrap</v>
          </cell>
          <cell r="K5610" t="str">
            <v>10.2012</v>
          </cell>
          <cell r="L5610">
            <v>2</v>
          </cell>
          <cell r="M5610" t="str">
            <v>EA</v>
          </cell>
          <cell r="N5610">
            <v>205.19999999999899</v>
          </cell>
          <cell r="O5610" t="str">
            <v>INR</v>
          </cell>
        </row>
        <row r="5611">
          <cell r="A5611" t="str">
            <v>L003 Ankleshwar</v>
          </cell>
          <cell r="B5611">
            <v>692404</v>
          </cell>
          <cell r="C5611" t="str">
            <v>V-BELT B-84 (NDP)</v>
          </cell>
          <cell r="D5611" t="str">
            <v>L0030151                       EnggStore</v>
          </cell>
          <cell r="E5611" t="str">
            <v>E35 E35</v>
          </cell>
          <cell r="F5611" t="str">
            <v>VB Manual reorder point planning</v>
          </cell>
          <cell r="G5611" t="str">
            <v>ERSA Spare parts</v>
          </cell>
          <cell r="H5611" t="str">
            <v>EN021     VbeltCoupling&amp;Pulley</v>
          </cell>
          <cell r="I5611" t="str">
            <v>L003 Ankleshwar</v>
          </cell>
          <cell r="J5611" t="str">
            <v>99 Input/Byprodt/Scrap</v>
          </cell>
          <cell r="K5611" t="str">
            <v>10.2012</v>
          </cell>
          <cell r="L5611">
            <v>2</v>
          </cell>
          <cell r="M5611" t="str">
            <v>EA</v>
          </cell>
          <cell r="N5611">
            <v>454.68</v>
          </cell>
          <cell r="O5611" t="str">
            <v>INR</v>
          </cell>
        </row>
        <row r="5612">
          <cell r="A5612" t="str">
            <v>L003 Ankleshwar</v>
          </cell>
          <cell r="B5612">
            <v>692407</v>
          </cell>
          <cell r="C5612" t="str">
            <v>IMPELLER O RING  PT NO.KL4018 (NDP)</v>
          </cell>
          <cell r="D5612" t="str">
            <v>L0030151                       EnggStore</v>
          </cell>
          <cell r="E5612" t="str">
            <v>E34 E34</v>
          </cell>
          <cell r="F5612" t="str">
            <v>VB Manual reorder point planning</v>
          </cell>
          <cell r="G5612" t="str">
            <v>ERSA Spare parts</v>
          </cell>
          <cell r="H5612" t="str">
            <v>EN032     Pumpspares</v>
          </cell>
          <cell r="I5612" t="str">
            <v>L003 Ankleshwar</v>
          </cell>
          <cell r="J5612" t="str">
            <v>99 Input/Byprodt/Scrap</v>
          </cell>
          <cell r="K5612" t="str">
            <v>10.2012</v>
          </cell>
          <cell r="L5612">
            <v>2</v>
          </cell>
          <cell r="M5612" t="str">
            <v>EA</v>
          </cell>
          <cell r="N5612">
            <v>80</v>
          </cell>
          <cell r="O5612" t="str">
            <v>INR</v>
          </cell>
        </row>
        <row r="5613">
          <cell r="A5613" t="str">
            <v>L003 Ankleshwar</v>
          </cell>
          <cell r="B5613">
            <v>692408</v>
          </cell>
          <cell r="C5613" t="str">
            <v>SS316 SHAFT PROTECTING BUSH (NDP)</v>
          </cell>
          <cell r="D5613" t="str">
            <v>L0030151                       EnggStore</v>
          </cell>
          <cell r="E5613" t="str">
            <v>E34 E34</v>
          </cell>
          <cell r="F5613" t="str">
            <v>VB Manual reorder point planning</v>
          </cell>
          <cell r="G5613" t="str">
            <v>ERSA Spare parts</v>
          </cell>
          <cell r="H5613" t="str">
            <v>EN032     Pumpspares</v>
          </cell>
          <cell r="I5613" t="str">
            <v>L003 Ankleshwar</v>
          </cell>
          <cell r="J5613" t="str">
            <v>99 Input/Byprodt/Scrap</v>
          </cell>
          <cell r="K5613" t="str">
            <v>10.2012</v>
          </cell>
          <cell r="L5613">
            <v>2</v>
          </cell>
          <cell r="M5613" t="str">
            <v>EA</v>
          </cell>
          <cell r="N5613">
            <v>3600</v>
          </cell>
          <cell r="O5613" t="str">
            <v>INR</v>
          </cell>
        </row>
        <row r="5614">
          <cell r="A5614" t="str">
            <v>L003 Ankleshwar</v>
          </cell>
          <cell r="B5614">
            <v>692409</v>
          </cell>
          <cell r="C5614" t="str">
            <v>V-BELT B-78 (NDP)</v>
          </cell>
          <cell r="D5614" t="str">
            <v>L0030151                       EnggStore</v>
          </cell>
          <cell r="E5614" t="str">
            <v>E35 E35</v>
          </cell>
          <cell r="F5614" t="str">
            <v>VB Manual reorder point planning</v>
          </cell>
          <cell r="G5614" t="str">
            <v>ERSA Spare parts</v>
          </cell>
          <cell r="H5614" t="str">
            <v>EN021     VbeltCoupling&amp;Pulley</v>
          </cell>
          <cell r="I5614" t="str">
            <v>L003 Ankleshwar</v>
          </cell>
          <cell r="J5614" t="str">
            <v>99 Input/Byprodt/Scrap</v>
          </cell>
          <cell r="K5614" t="str">
            <v>10.2012</v>
          </cell>
          <cell r="L5614">
            <v>6</v>
          </cell>
          <cell r="M5614" t="str">
            <v>EA</v>
          </cell>
          <cell r="N5614">
            <v>1371.73</v>
          </cell>
          <cell r="O5614" t="str">
            <v>INR</v>
          </cell>
        </row>
        <row r="5615">
          <cell r="A5615" t="str">
            <v>L003 Ankleshwar</v>
          </cell>
          <cell r="B5615">
            <v>692410</v>
          </cell>
          <cell r="C5615" t="str">
            <v>CYLINDRICAL ROLLER BEARING NU-207 (NDP)</v>
          </cell>
          <cell r="D5615" t="str">
            <v>L0030151                       EnggStore</v>
          </cell>
          <cell r="E5615" t="str">
            <v>E31 E31</v>
          </cell>
          <cell r="F5615" t="str">
            <v>VB Manual reorder point planning</v>
          </cell>
          <cell r="G5615" t="str">
            <v>ERSA Spare parts</v>
          </cell>
          <cell r="H5615" t="str">
            <v>EN009     Bearings</v>
          </cell>
          <cell r="I5615" t="str">
            <v>L003 Ankleshwar</v>
          </cell>
          <cell r="J5615" t="str">
            <v>99 Input/Byprodt/Scrap</v>
          </cell>
          <cell r="K5615" t="str">
            <v>10.2012</v>
          </cell>
          <cell r="L5615">
            <v>2</v>
          </cell>
          <cell r="M5615" t="str">
            <v>EA</v>
          </cell>
          <cell r="N5615">
            <v>3175.29</v>
          </cell>
          <cell r="O5615" t="str">
            <v>INR</v>
          </cell>
        </row>
        <row r="5616">
          <cell r="A5616" t="str">
            <v>L003 Ankleshwar</v>
          </cell>
          <cell r="B5616">
            <v>692411</v>
          </cell>
          <cell r="C5616" t="str">
            <v>VEE BELT B-95 (NDP)</v>
          </cell>
          <cell r="D5616" t="str">
            <v>L0030151                       EnggStore</v>
          </cell>
          <cell r="E5616" t="str">
            <v>E35 E35</v>
          </cell>
          <cell r="F5616" t="str">
            <v>VB Manual reorder point planning</v>
          </cell>
          <cell r="G5616" t="str">
            <v>ERSA Spare parts</v>
          </cell>
          <cell r="H5616" t="str">
            <v>EN021     VbeltCoupling&amp;Pulley</v>
          </cell>
          <cell r="I5616" t="str">
            <v>L003 Ankleshwar</v>
          </cell>
          <cell r="J5616" t="str">
            <v>99 Input/Byprodt/Scrap</v>
          </cell>
          <cell r="K5616" t="str">
            <v>10.2012</v>
          </cell>
          <cell r="L5616">
            <v>2</v>
          </cell>
          <cell r="M5616" t="str">
            <v>EA</v>
          </cell>
          <cell r="N5616">
            <v>607.20000000000005</v>
          </cell>
          <cell r="O5616" t="str">
            <v>INR</v>
          </cell>
        </row>
        <row r="5617">
          <cell r="A5617" t="str">
            <v>L003 Ankleshwar</v>
          </cell>
          <cell r="B5617">
            <v>692412</v>
          </cell>
          <cell r="C5617" t="str">
            <v>MS PTFE LINED BALL VALVE F/T 1" (NDP)</v>
          </cell>
          <cell r="D5617" t="str">
            <v>L0030151                       EnggStore</v>
          </cell>
          <cell r="E5617" t="str">
            <v>E31 E31</v>
          </cell>
          <cell r="F5617" t="str">
            <v>VB Manual reorder point planning</v>
          </cell>
          <cell r="G5617" t="str">
            <v>ERSA Spare parts</v>
          </cell>
          <cell r="H5617" t="str">
            <v>EN023     Valves&amp;spares</v>
          </cell>
          <cell r="I5617" t="str">
            <v>L003 Ankleshwar</v>
          </cell>
          <cell r="J5617" t="str">
            <v>99 Input/Byprodt/Scrap</v>
          </cell>
          <cell r="K5617" t="str">
            <v>10.2012</v>
          </cell>
          <cell r="L5617">
            <v>3</v>
          </cell>
          <cell r="M5617" t="str">
            <v>EA</v>
          </cell>
          <cell r="N5617">
            <v>6910.14</v>
          </cell>
          <cell r="O5617" t="str">
            <v>INR</v>
          </cell>
        </row>
        <row r="5618">
          <cell r="A5618" t="str">
            <v>L003 Ankleshwar</v>
          </cell>
          <cell r="B5618">
            <v>692413</v>
          </cell>
          <cell r="C5618" t="str">
            <v>TEFLON BELLOW PT.NO.12 (NDP)</v>
          </cell>
          <cell r="D5618" t="str">
            <v>L0030151                       EnggStore</v>
          </cell>
          <cell r="E5618" t="str">
            <v>E34 E34</v>
          </cell>
          <cell r="F5618" t="str">
            <v>VB Manual reorder point planning</v>
          </cell>
          <cell r="G5618" t="str">
            <v>ERSA Spare parts</v>
          </cell>
          <cell r="H5618" t="str">
            <v>EN038     MechanicalSeals&amp;Spar</v>
          </cell>
          <cell r="I5618" t="str">
            <v>L003 Ankleshwar</v>
          </cell>
          <cell r="J5618" t="str">
            <v>99 Input/Byprodt/Scrap</v>
          </cell>
          <cell r="K5618" t="str">
            <v>10.2012</v>
          </cell>
          <cell r="L5618">
            <v>2</v>
          </cell>
          <cell r="M5618" t="str">
            <v>EA</v>
          </cell>
          <cell r="N5618">
            <v>3083.13</v>
          </cell>
          <cell r="O5618" t="str">
            <v>INR</v>
          </cell>
        </row>
        <row r="5619">
          <cell r="A5619" t="str">
            <v>L003 Ankleshwar</v>
          </cell>
          <cell r="B5619">
            <v>692414</v>
          </cell>
          <cell r="C5619" t="str">
            <v>SS316 SHAFT SLEEVE FOR CC40-160 (NDP)</v>
          </cell>
          <cell r="D5619" t="str">
            <v>L0030151                       EnggStore</v>
          </cell>
          <cell r="E5619" t="str">
            <v>E34 E34</v>
          </cell>
          <cell r="F5619" t="str">
            <v>VB Manual reorder point planning</v>
          </cell>
          <cell r="G5619" t="str">
            <v>ERSA Spare parts</v>
          </cell>
          <cell r="H5619" t="str">
            <v>EN038     MechanicalSeals&amp;Spar</v>
          </cell>
          <cell r="I5619" t="str">
            <v>L003 Ankleshwar</v>
          </cell>
          <cell r="J5619" t="str">
            <v>99 Input/Byprodt/Scrap</v>
          </cell>
          <cell r="K5619" t="str">
            <v>10.2012</v>
          </cell>
          <cell r="L5619">
            <v>2</v>
          </cell>
          <cell r="M5619" t="str">
            <v>EA</v>
          </cell>
          <cell r="N5619">
            <v>2959.05</v>
          </cell>
          <cell r="O5619" t="str">
            <v>INR</v>
          </cell>
        </row>
        <row r="5620">
          <cell r="A5620" t="str">
            <v>L003 Ankleshwar</v>
          </cell>
          <cell r="B5620">
            <v>692415</v>
          </cell>
          <cell r="C5620" t="str">
            <v>GFT INSERT (NDP)</v>
          </cell>
          <cell r="D5620" t="str">
            <v>L0030151                       EnggStore</v>
          </cell>
          <cell r="E5620" t="str">
            <v>E34 E34</v>
          </cell>
          <cell r="F5620" t="str">
            <v>VB Manual reorder point planning</v>
          </cell>
          <cell r="G5620" t="str">
            <v>ERSA Spare parts</v>
          </cell>
          <cell r="H5620" t="str">
            <v>EN038     MechanicalSeals&amp;Spar</v>
          </cell>
          <cell r="I5620" t="str">
            <v>L003 Ankleshwar</v>
          </cell>
          <cell r="J5620" t="str">
            <v>99 Input/Byprodt/Scrap</v>
          </cell>
          <cell r="K5620" t="str">
            <v>10.2012</v>
          </cell>
          <cell r="L5620">
            <v>1</v>
          </cell>
          <cell r="M5620" t="str">
            <v>EA</v>
          </cell>
          <cell r="N5620">
            <v>1366.0799999999899</v>
          </cell>
          <cell r="O5620" t="str">
            <v>INR</v>
          </cell>
        </row>
        <row r="5621">
          <cell r="A5621" t="str">
            <v>L003 Ankleshwar</v>
          </cell>
          <cell r="B5621">
            <v>692419</v>
          </cell>
          <cell r="C5621" t="str">
            <v>BALL BEARING -6017 (NDP)</v>
          </cell>
          <cell r="D5621" t="str">
            <v>L0030151                       EnggStore</v>
          </cell>
          <cell r="E5621" t="str">
            <v>E31 E31</v>
          </cell>
          <cell r="F5621" t="str">
            <v>VB Manual reorder point planning</v>
          </cell>
          <cell r="G5621" t="str">
            <v>ERSA Spare parts</v>
          </cell>
          <cell r="H5621" t="str">
            <v>EN009     Bearings</v>
          </cell>
          <cell r="I5621" t="str">
            <v>L003 Ankleshwar</v>
          </cell>
          <cell r="J5621" t="str">
            <v>99 Input/Byprodt/Scrap</v>
          </cell>
          <cell r="K5621" t="str">
            <v>10.2012</v>
          </cell>
          <cell r="L5621">
            <v>1</v>
          </cell>
          <cell r="M5621" t="str">
            <v>EA</v>
          </cell>
          <cell r="N5621">
            <v>1910.8099999999899</v>
          </cell>
          <cell r="O5621" t="str">
            <v>INR</v>
          </cell>
        </row>
        <row r="5622">
          <cell r="A5622" t="str">
            <v>L003 Ankleshwar</v>
          </cell>
          <cell r="B5622">
            <v>692420</v>
          </cell>
          <cell r="C5622" t="str">
            <v>BALL BEARING, . 6304-2Z (NDP)</v>
          </cell>
          <cell r="D5622" t="str">
            <v>L0030151                       EnggStore</v>
          </cell>
          <cell r="E5622" t="str">
            <v>E31 E31</v>
          </cell>
          <cell r="F5622" t="str">
            <v>VB Manual reorder point planning</v>
          </cell>
          <cell r="G5622" t="str">
            <v>ERSA Spare parts</v>
          </cell>
          <cell r="H5622" t="str">
            <v>EN009     Bearings</v>
          </cell>
          <cell r="I5622" t="str">
            <v>L003 Ankleshwar</v>
          </cell>
          <cell r="J5622" t="str">
            <v>99 Input/Byprodt/Scrap</v>
          </cell>
          <cell r="K5622" t="str">
            <v>10.2012</v>
          </cell>
          <cell r="L5622">
            <v>9</v>
          </cell>
          <cell r="M5622" t="str">
            <v>EA</v>
          </cell>
          <cell r="N5622">
            <v>1312.42</v>
          </cell>
          <cell r="O5622" t="str">
            <v>INR</v>
          </cell>
        </row>
        <row r="5623">
          <cell r="A5623" t="str">
            <v>L003 Ankleshwar</v>
          </cell>
          <cell r="B5623">
            <v>692422</v>
          </cell>
          <cell r="C5623" t="str">
            <v>COIL SPRING P.NO. SSUT 1.3/8" (NDP)</v>
          </cell>
          <cell r="D5623" t="str">
            <v>L0030151                       EnggStore</v>
          </cell>
          <cell r="E5623" t="str">
            <v>E34 E34</v>
          </cell>
          <cell r="F5623" t="str">
            <v>VB Manual reorder point planning</v>
          </cell>
          <cell r="G5623" t="str">
            <v>ERSA Spare parts</v>
          </cell>
          <cell r="H5623" t="str">
            <v>EN038     MechanicalSeals&amp;Spar</v>
          </cell>
          <cell r="I5623" t="str">
            <v>L003 Ankleshwar</v>
          </cell>
          <cell r="J5623" t="str">
            <v>99 Input/Byprodt/Scrap</v>
          </cell>
          <cell r="K5623" t="str">
            <v>10.2012</v>
          </cell>
          <cell r="L5623">
            <v>10</v>
          </cell>
          <cell r="M5623" t="str">
            <v>EA</v>
          </cell>
          <cell r="N5623">
            <v>681.49</v>
          </cell>
          <cell r="O5623" t="str">
            <v>INR</v>
          </cell>
        </row>
        <row r="5624">
          <cell r="A5624" t="str">
            <v>L003 Ankleshwar</v>
          </cell>
          <cell r="B5624">
            <v>692423</v>
          </cell>
          <cell r="C5624" t="str">
            <v>ROTARYHEAD COMPLFOR SSUT1.1/8"(NDP)</v>
          </cell>
          <cell r="D5624" t="str">
            <v>L0030151                       EnggStore</v>
          </cell>
          <cell r="E5624" t="str">
            <v>E34 E34</v>
          </cell>
          <cell r="F5624" t="str">
            <v>VB Manual reorder point planning</v>
          </cell>
          <cell r="G5624" t="str">
            <v>ERSA Spare parts</v>
          </cell>
          <cell r="H5624" t="str">
            <v>EN038     MechanicalSeals&amp;Spar</v>
          </cell>
          <cell r="I5624" t="str">
            <v>L003 Ankleshwar</v>
          </cell>
          <cell r="J5624" t="str">
            <v>99 Input/Byprodt/Scrap</v>
          </cell>
          <cell r="K5624" t="str">
            <v>10.2012</v>
          </cell>
          <cell r="L5624">
            <v>1</v>
          </cell>
          <cell r="M5624" t="str">
            <v>EA</v>
          </cell>
          <cell r="N5624">
            <v>2038.0899999999899</v>
          </cell>
          <cell r="O5624" t="str">
            <v>INR</v>
          </cell>
        </row>
        <row r="5625">
          <cell r="A5625" t="str">
            <v>L003 Ankleshwar</v>
          </cell>
          <cell r="B5625">
            <v>692424</v>
          </cell>
          <cell r="C5625" t="str">
            <v>`O'RING,PTFE, SSUT 1.1/8" (NDP)</v>
          </cell>
          <cell r="D5625" t="str">
            <v>L0030151                       EnggStore</v>
          </cell>
          <cell r="E5625" t="str">
            <v>E34 E34</v>
          </cell>
          <cell r="F5625" t="str">
            <v>VB Manual reorder point planning</v>
          </cell>
          <cell r="G5625" t="str">
            <v>ERSA Spare parts</v>
          </cell>
          <cell r="H5625" t="str">
            <v>EN038     MechanicalSeals&amp;Spar</v>
          </cell>
          <cell r="I5625" t="str">
            <v>L003 Ankleshwar</v>
          </cell>
          <cell r="J5625" t="str">
            <v>99 Input/Byprodt/Scrap</v>
          </cell>
          <cell r="K5625" t="str">
            <v>10.2012</v>
          </cell>
          <cell r="L5625">
            <v>1</v>
          </cell>
          <cell r="M5625" t="str">
            <v>EA</v>
          </cell>
          <cell r="N5625">
            <v>232.05</v>
          </cell>
          <cell r="O5625" t="str">
            <v>INR</v>
          </cell>
        </row>
        <row r="5626">
          <cell r="A5626" t="str">
            <v>L003 Ankleshwar</v>
          </cell>
          <cell r="B5626">
            <v>692425</v>
          </cell>
          <cell r="C5626" t="str">
            <v>V BELT A-40 (NDP)</v>
          </cell>
          <cell r="D5626" t="str">
            <v>L0030151                       EnggStore</v>
          </cell>
          <cell r="E5626" t="str">
            <v>E35 E35</v>
          </cell>
          <cell r="F5626" t="str">
            <v>VB Manual reorder point planning</v>
          </cell>
          <cell r="G5626" t="str">
            <v>ERSA Spare parts</v>
          </cell>
          <cell r="H5626" t="str">
            <v>EN021     VbeltCoupling&amp;Pulley</v>
          </cell>
          <cell r="I5626" t="str">
            <v>L003 Ankleshwar</v>
          </cell>
          <cell r="J5626" t="str">
            <v>99 Input/Byprodt/Scrap</v>
          </cell>
          <cell r="K5626" t="str">
            <v>10.2012</v>
          </cell>
          <cell r="L5626">
            <v>6</v>
          </cell>
          <cell r="M5626" t="str">
            <v>EA</v>
          </cell>
          <cell r="N5626">
            <v>644.13999999999896</v>
          </cell>
          <cell r="O5626" t="str">
            <v>INR</v>
          </cell>
        </row>
        <row r="5627">
          <cell r="A5627" t="str">
            <v>L003 Ankleshwar</v>
          </cell>
          <cell r="B5627">
            <v>692426</v>
          </cell>
          <cell r="C5627" t="str">
            <v>V-BELT B-40 (NDP)</v>
          </cell>
          <cell r="D5627" t="str">
            <v>L0030151                       EnggStore</v>
          </cell>
          <cell r="E5627" t="str">
            <v>E35 E35</v>
          </cell>
          <cell r="F5627" t="str">
            <v>VB Manual reorder point planning</v>
          </cell>
          <cell r="G5627" t="str">
            <v>ERSA Spare parts</v>
          </cell>
          <cell r="H5627" t="str">
            <v>EN021     VbeltCoupling&amp;Pulley</v>
          </cell>
          <cell r="I5627" t="str">
            <v>L003 Ankleshwar</v>
          </cell>
          <cell r="J5627" t="str">
            <v>99 Input/Byprodt/Scrap</v>
          </cell>
          <cell r="K5627" t="str">
            <v>10.2012</v>
          </cell>
          <cell r="L5627">
            <v>3</v>
          </cell>
          <cell r="M5627" t="str">
            <v>EA</v>
          </cell>
          <cell r="N5627">
            <v>390.5</v>
          </cell>
          <cell r="O5627" t="str">
            <v>INR</v>
          </cell>
        </row>
        <row r="5628">
          <cell r="A5628" t="str">
            <v>L003 Ankleshwar</v>
          </cell>
          <cell r="B5628">
            <v>692427</v>
          </cell>
          <cell r="C5628" t="str">
            <v>V-BELT B-70 (NDP)</v>
          </cell>
          <cell r="D5628" t="str">
            <v>L0030151                       EnggStore</v>
          </cell>
          <cell r="E5628" t="str">
            <v>E35 E35</v>
          </cell>
          <cell r="F5628" t="str">
            <v>VB Manual reorder point planning</v>
          </cell>
          <cell r="G5628" t="str">
            <v>ERSA Spare parts</v>
          </cell>
          <cell r="H5628" t="str">
            <v>EN021     VbeltCoupling&amp;Pulley</v>
          </cell>
          <cell r="I5628" t="str">
            <v>L003 Ankleshwar</v>
          </cell>
          <cell r="J5628" t="str">
            <v>99 Input/Byprodt/Scrap</v>
          </cell>
          <cell r="K5628" t="str">
            <v>10.2012</v>
          </cell>
          <cell r="L5628">
            <v>2</v>
          </cell>
          <cell r="M5628" t="str">
            <v>EA</v>
          </cell>
          <cell r="N5628">
            <v>423.54</v>
          </cell>
          <cell r="O5628" t="str">
            <v>INR</v>
          </cell>
        </row>
        <row r="5629">
          <cell r="A5629" t="str">
            <v>L003 Ankleshwar</v>
          </cell>
          <cell r="B5629">
            <v>692428</v>
          </cell>
          <cell r="C5629" t="str">
            <v>V-BELT C-124 (NDP)</v>
          </cell>
          <cell r="D5629" t="str">
            <v>L0030151                       EnggStore</v>
          </cell>
          <cell r="E5629" t="str">
            <v>E35 E35</v>
          </cell>
          <cell r="F5629" t="str">
            <v>VB Manual reorder point planning</v>
          </cell>
          <cell r="G5629" t="str">
            <v>ERSA Spare parts</v>
          </cell>
          <cell r="H5629" t="str">
            <v>EN021     VbeltCoupling&amp;Pulley</v>
          </cell>
          <cell r="I5629" t="str">
            <v>L003 Ankleshwar</v>
          </cell>
          <cell r="J5629" t="str">
            <v>99 Input/Byprodt/Scrap</v>
          </cell>
          <cell r="K5629" t="str">
            <v>10.2012</v>
          </cell>
          <cell r="L5629">
            <v>2</v>
          </cell>
          <cell r="M5629" t="str">
            <v>EA</v>
          </cell>
          <cell r="N5629">
            <v>1174.8</v>
          </cell>
          <cell r="O5629" t="str">
            <v>INR</v>
          </cell>
        </row>
        <row r="5630">
          <cell r="A5630" t="str">
            <v>L003 Ankleshwar</v>
          </cell>
          <cell r="B5630">
            <v>692429</v>
          </cell>
          <cell r="C5630" t="str">
            <v>VEE BELT B-92 (NDP)</v>
          </cell>
          <cell r="D5630" t="str">
            <v>L0030151                       EnggStore</v>
          </cell>
          <cell r="E5630" t="str">
            <v>E35 E35</v>
          </cell>
          <cell r="F5630" t="str">
            <v>VB Manual reorder point planning</v>
          </cell>
          <cell r="G5630" t="str">
            <v>ERSA Spare parts</v>
          </cell>
          <cell r="H5630" t="str">
            <v>EN021     VbeltCoupling&amp;Pulley</v>
          </cell>
          <cell r="I5630" t="str">
            <v>L003 Ankleshwar</v>
          </cell>
          <cell r="J5630" t="str">
            <v>99 Input/Byprodt/Scrap</v>
          </cell>
          <cell r="K5630" t="str">
            <v>10.2012</v>
          </cell>
          <cell r="L5630">
            <v>1</v>
          </cell>
          <cell r="M5630" t="str">
            <v>EA</v>
          </cell>
          <cell r="N5630">
            <v>290.94999999999902</v>
          </cell>
          <cell r="O5630" t="str">
            <v>INR</v>
          </cell>
        </row>
        <row r="5631">
          <cell r="A5631" t="str">
            <v>L003 Ankleshwar</v>
          </cell>
          <cell r="B5631">
            <v>692430</v>
          </cell>
          <cell r="C5631" t="str">
            <v>CS GLOVE VALVE  F/T NIBR 1-1/2" (NDP)</v>
          </cell>
          <cell r="D5631" t="str">
            <v>L0030151                       EnggStore</v>
          </cell>
          <cell r="E5631" t="str">
            <v>E31 E31</v>
          </cell>
          <cell r="F5631" t="str">
            <v>VB Manual reorder point planning</v>
          </cell>
          <cell r="G5631" t="str">
            <v>ERSA Spare parts</v>
          </cell>
          <cell r="H5631" t="str">
            <v>EN023     Valves&amp;spares</v>
          </cell>
          <cell r="I5631" t="str">
            <v>L003 Ankleshwar</v>
          </cell>
          <cell r="J5631" t="str">
            <v>99 Input/Byprodt/Scrap</v>
          </cell>
          <cell r="K5631" t="str">
            <v>10.2012</v>
          </cell>
          <cell r="L5631">
            <v>2</v>
          </cell>
          <cell r="M5631" t="str">
            <v>EA</v>
          </cell>
          <cell r="N5631">
            <v>5661</v>
          </cell>
          <cell r="O5631" t="str">
            <v>INR</v>
          </cell>
        </row>
        <row r="5632">
          <cell r="A5632" t="str">
            <v>L003 Ankleshwar</v>
          </cell>
          <cell r="B5632">
            <v>692431</v>
          </cell>
          <cell r="C5632" t="str">
            <v>SEAL RING SS+TC(TC ROTARY RING) (NDP)</v>
          </cell>
          <cell r="D5632" t="str">
            <v>L0030151                       EnggStore</v>
          </cell>
          <cell r="E5632" t="str">
            <v>E34 E34</v>
          </cell>
          <cell r="F5632" t="str">
            <v>VB Manual reorder point planning</v>
          </cell>
          <cell r="G5632" t="str">
            <v>ERSA Spare parts</v>
          </cell>
          <cell r="H5632" t="str">
            <v>EN038     MechanicalSeals&amp;Spar</v>
          </cell>
          <cell r="I5632" t="str">
            <v>L003 Ankleshwar</v>
          </cell>
          <cell r="J5632" t="str">
            <v>99 Input/Byprodt/Scrap</v>
          </cell>
          <cell r="K5632" t="str">
            <v>10.2012</v>
          </cell>
          <cell r="L5632">
            <v>1</v>
          </cell>
          <cell r="M5632" t="str">
            <v>EA</v>
          </cell>
          <cell r="N5632">
            <v>2342.67</v>
          </cell>
          <cell r="O5632" t="str">
            <v>INR</v>
          </cell>
        </row>
        <row r="5633">
          <cell r="A5633" t="str">
            <v>L003 Ankleshwar</v>
          </cell>
          <cell r="B5633">
            <v>692432</v>
          </cell>
          <cell r="C5633" t="str">
            <v>BIMETAO/LRELAY3UA52 00-2A,10-16A (NDP)</v>
          </cell>
          <cell r="D5633" t="str">
            <v>L0030151                       EnggStore</v>
          </cell>
          <cell r="E5633" t="str">
            <v>E36 E36</v>
          </cell>
          <cell r="F5633" t="str">
            <v>VB Manual reorder point planning</v>
          </cell>
          <cell r="G5633" t="str">
            <v>ERSA Spare parts</v>
          </cell>
          <cell r="H5633" t="str">
            <v>EN006     Elec Switchgear</v>
          </cell>
          <cell r="I5633" t="str">
            <v>L003 Ankleshwar</v>
          </cell>
          <cell r="J5633" t="str">
            <v>99 Input/Byprodt/Scrap</v>
          </cell>
          <cell r="K5633" t="str">
            <v>10.2012</v>
          </cell>
          <cell r="L5633">
            <v>1</v>
          </cell>
          <cell r="M5633" t="str">
            <v>EA</v>
          </cell>
          <cell r="N5633">
            <v>717.39999999999895</v>
          </cell>
          <cell r="O5633" t="str">
            <v>INR</v>
          </cell>
        </row>
        <row r="5634">
          <cell r="A5634" t="str">
            <v>L003 Ankleshwar</v>
          </cell>
          <cell r="B5634">
            <v>692433</v>
          </cell>
          <cell r="C5634" t="str">
            <v>SEAL RING CARBON SLUV-0285 (NDP)</v>
          </cell>
          <cell r="D5634" t="str">
            <v>L0030151                       EnggStore</v>
          </cell>
          <cell r="E5634" t="str">
            <v>E34 E34</v>
          </cell>
          <cell r="F5634" t="str">
            <v>VB Manual reorder point planning</v>
          </cell>
          <cell r="G5634" t="str">
            <v>ERSA Spare parts</v>
          </cell>
          <cell r="H5634" t="str">
            <v>EN038     MechanicalSeals&amp;Spar</v>
          </cell>
          <cell r="I5634" t="str">
            <v>L003 Ankleshwar</v>
          </cell>
          <cell r="J5634" t="str">
            <v>99 Input/Byprodt/Scrap</v>
          </cell>
          <cell r="K5634" t="str">
            <v>10.2012</v>
          </cell>
          <cell r="L5634">
            <v>1</v>
          </cell>
          <cell r="M5634" t="str">
            <v>EA</v>
          </cell>
          <cell r="N5634">
            <v>787.50999999999897</v>
          </cell>
          <cell r="O5634" t="str">
            <v>INR</v>
          </cell>
        </row>
        <row r="5635">
          <cell r="A5635" t="str">
            <v>L003 Ankleshwar</v>
          </cell>
          <cell r="B5635">
            <v>692436</v>
          </cell>
          <cell r="C5635" t="str">
            <v>GRUB SCREW SS304: SLUV-0285 (NDP)</v>
          </cell>
          <cell r="D5635" t="str">
            <v>L0030151                       EnggStore</v>
          </cell>
          <cell r="E5635" t="str">
            <v>E34 E34</v>
          </cell>
          <cell r="F5635" t="str">
            <v>VB Manual reorder point planning</v>
          </cell>
          <cell r="G5635" t="str">
            <v>ERSA Spare parts</v>
          </cell>
          <cell r="H5635" t="str">
            <v>EN038     MechanicalSeals&amp;Spar</v>
          </cell>
          <cell r="I5635" t="str">
            <v>L003 Ankleshwar</v>
          </cell>
          <cell r="J5635" t="str">
            <v>99 Input/Byprodt/Scrap</v>
          </cell>
          <cell r="K5635" t="str">
            <v>10.2012</v>
          </cell>
          <cell r="L5635">
            <v>1</v>
          </cell>
          <cell r="M5635" t="str">
            <v>EA</v>
          </cell>
          <cell r="N5635">
            <v>119.37</v>
          </cell>
          <cell r="O5635" t="str">
            <v>INR</v>
          </cell>
        </row>
        <row r="5636">
          <cell r="A5636" t="str">
            <v>L003 Ankleshwar</v>
          </cell>
          <cell r="B5636">
            <v>692437</v>
          </cell>
          <cell r="C5636" t="str">
            <v>HRCFUSE-NH00:3NA3805-7Y16 (NDP)</v>
          </cell>
          <cell r="D5636" t="str">
            <v>L0030151                       EnggStore</v>
          </cell>
          <cell r="E5636" t="str">
            <v>E36 E36</v>
          </cell>
          <cell r="F5636" t="str">
            <v>VB Manual reorder point planning</v>
          </cell>
          <cell r="G5636" t="str">
            <v>ERSA Spare parts</v>
          </cell>
          <cell r="H5636" t="str">
            <v>EN006     Elec Switchgear</v>
          </cell>
          <cell r="I5636" t="str">
            <v>L003 Ankleshwar</v>
          </cell>
          <cell r="J5636" t="str">
            <v>99 Input/Byprodt/Scrap</v>
          </cell>
          <cell r="K5636" t="str">
            <v>10.2012</v>
          </cell>
          <cell r="L5636">
            <v>1</v>
          </cell>
          <cell r="M5636" t="str">
            <v>EA</v>
          </cell>
          <cell r="N5636">
            <v>159.80000000000001</v>
          </cell>
          <cell r="O5636" t="str">
            <v>INR</v>
          </cell>
        </row>
        <row r="5637">
          <cell r="A5637" t="str">
            <v>L003 Ankleshwar</v>
          </cell>
          <cell r="B5637">
            <v>692438</v>
          </cell>
          <cell r="C5637" t="str">
            <v>V-BELT : C-104 (NDP)</v>
          </cell>
          <cell r="D5637" t="str">
            <v>L0030151                       EnggStore</v>
          </cell>
          <cell r="E5637" t="str">
            <v>E35 E35</v>
          </cell>
          <cell r="F5637" t="str">
            <v>VB Manual reorder point planning</v>
          </cell>
          <cell r="G5637" t="str">
            <v>ERSA Spare parts</v>
          </cell>
          <cell r="H5637" t="str">
            <v>EN021     VbeltCoupling&amp;Pulley</v>
          </cell>
          <cell r="I5637" t="str">
            <v>L003 Ankleshwar</v>
          </cell>
          <cell r="J5637" t="str">
            <v>99 Input/Byprodt/Scrap</v>
          </cell>
          <cell r="K5637" t="str">
            <v>10.2012</v>
          </cell>
          <cell r="L5637">
            <v>5</v>
          </cell>
          <cell r="M5637" t="str">
            <v>EA</v>
          </cell>
          <cell r="N5637">
            <v>2823.5599999999899</v>
          </cell>
          <cell r="O5637" t="str">
            <v>INR</v>
          </cell>
        </row>
        <row r="5638">
          <cell r="A5638" t="str">
            <v>L003 Ankleshwar</v>
          </cell>
          <cell r="B5638">
            <v>692440</v>
          </cell>
          <cell r="C5638" t="str">
            <v>BALL BEARING, .3306 -ATN9 (NDP)</v>
          </cell>
          <cell r="D5638" t="str">
            <v>L0030151                       EnggStore</v>
          </cell>
          <cell r="E5638" t="str">
            <v>E31 E31</v>
          </cell>
          <cell r="F5638" t="str">
            <v>VB Manual reorder point planning</v>
          </cell>
          <cell r="G5638" t="str">
            <v>ERSA Spare parts</v>
          </cell>
          <cell r="H5638" t="str">
            <v>EN009     Bearings</v>
          </cell>
          <cell r="I5638" t="str">
            <v>L003 Ankleshwar</v>
          </cell>
          <cell r="J5638" t="str">
            <v>99 Input/Byprodt/Scrap</v>
          </cell>
          <cell r="K5638" t="str">
            <v>10.2012</v>
          </cell>
          <cell r="L5638">
            <v>1</v>
          </cell>
          <cell r="M5638" t="str">
            <v>EA</v>
          </cell>
          <cell r="N5638">
            <v>2337.15</v>
          </cell>
          <cell r="O5638" t="str">
            <v>INR</v>
          </cell>
        </row>
        <row r="5639">
          <cell r="A5639" t="str">
            <v>L003 Ankleshwar</v>
          </cell>
          <cell r="B5639">
            <v>692441</v>
          </cell>
          <cell r="C5639" t="str">
            <v>BALL BEARING: 6203 ZZ (NDP)</v>
          </cell>
          <cell r="D5639" t="str">
            <v>L0030151                       EnggStore</v>
          </cell>
          <cell r="E5639" t="str">
            <v>E31 E31</v>
          </cell>
          <cell r="F5639" t="str">
            <v>VB Manual reorder point planning</v>
          </cell>
          <cell r="G5639" t="str">
            <v>ERSA Spare parts</v>
          </cell>
          <cell r="H5639" t="str">
            <v>EN009     Bearings</v>
          </cell>
          <cell r="I5639" t="str">
            <v>L003 Ankleshwar</v>
          </cell>
          <cell r="J5639" t="str">
            <v>99 Input/Byprodt/Scrap</v>
          </cell>
          <cell r="K5639" t="str">
            <v>10.2012</v>
          </cell>
          <cell r="L5639">
            <v>1</v>
          </cell>
          <cell r="M5639" t="str">
            <v>EA</v>
          </cell>
          <cell r="N5639">
            <v>90.48</v>
          </cell>
          <cell r="O5639" t="str">
            <v>INR</v>
          </cell>
        </row>
        <row r="5640">
          <cell r="A5640" t="str">
            <v>L003 Ankleshwar</v>
          </cell>
          <cell r="B5640">
            <v>692442</v>
          </cell>
          <cell r="C5640" t="str">
            <v>BALL BEARING 6206 ZZ (NDP)</v>
          </cell>
          <cell r="D5640" t="str">
            <v>L0030151                       EnggStore</v>
          </cell>
          <cell r="E5640" t="str">
            <v>E31 E31</v>
          </cell>
          <cell r="F5640" t="str">
            <v>VB Manual reorder point planning</v>
          </cell>
          <cell r="G5640" t="str">
            <v>ERSA Spare parts</v>
          </cell>
          <cell r="H5640" t="str">
            <v>EN009     Bearings</v>
          </cell>
          <cell r="I5640" t="str">
            <v>L003 Ankleshwar</v>
          </cell>
          <cell r="J5640" t="str">
            <v>99 Input/Byprodt/Scrap</v>
          </cell>
          <cell r="K5640" t="str">
            <v>10.2012</v>
          </cell>
          <cell r="L5640">
            <v>1</v>
          </cell>
          <cell r="M5640" t="str">
            <v>EA</v>
          </cell>
          <cell r="N5640">
            <v>232.44</v>
          </cell>
          <cell r="O5640" t="str">
            <v>INR</v>
          </cell>
        </row>
        <row r="5641">
          <cell r="A5641" t="str">
            <v>L003 Ankleshwar</v>
          </cell>
          <cell r="B5641">
            <v>692443</v>
          </cell>
          <cell r="C5641" t="str">
            <v>ROLLER BEARING 22209CC K/C3 W33 (NDP)</v>
          </cell>
          <cell r="D5641" t="str">
            <v>L0030151                       EnggStore</v>
          </cell>
          <cell r="E5641" t="str">
            <v>E31 E31</v>
          </cell>
          <cell r="F5641" t="str">
            <v>VB Manual reorder point planning</v>
          </cell>
          <cell r="G5641" t="str">
            <v>ERSA Spare parts</v>
          </cell>
          <cell r="H5641" t="str">
            <v>EN009     Bearings</v>
          </cell>
          <cell r="I5641" t="str">
            <v>L003 Ankleshwar</v>
          </cell>
          <cell r="J5641" t="str">
            <v>99 Input/Byprodt/Scrap</v>
          </cell>
          <cell r="K5641" t="str">
            <v>10.2012</v>
          </cell>
          <cell r="L5641">
            <v>2</v>
          </cell>
          <cell r="M5641" t="str">
            <v>EA</v>
          </cell>
          <cell r="N5641">
            <v>7036.1</v>
          </cell>
          <cell r="O5641" t="str">
            <v>INR</v>
          </cell>
        </row>
        <row r="5642">
          <cell r="A5642" t="str">
            <v>L003 Ankleshwar</v>
          </cell>
          <cell r="B5642">
            <v>692444</v>
          </cell>
          <cell r="C5642" t="str">
            <v>WEDGE,`V' PACK 508.5-18 (NDP)</v>
          </cell>
          <cell r="D5642" t="str">
            <v>L0030151                       EnggStore</v>
          </cell>
          <cell r="E5642" t="str">
            <v>E34 E34</v>
          </cell>
          <cell r="F5642" t="str">
            <v>VB Manual reorder point planning</v>
          </cell>
          <cell r="G5642" t="str">
            <v>ERSA Spare parts</v>
          </cell>
          <cell r="H5642" t="str">
            <v>EN038     MechanicalSeals&amp;Spar</v>
          </cell>
          <cell r="I5642" t="str">
            <v>L003 Ankleshwar</v>
          </cell>
          <cell r="J5642" t="str">
            <v>99 Input/Byprodt/Scrap</v>
          </cell>
          <cell r="K5642" t="str">
            <v>10.2012</v>
          </cell>
          <cell r="L5642">
            <v>1</v>
          </cell>
          <cell r="M5642" t="str">
            <v>EA</v>
          </cell>
          <cell r="N5642">
            <v>189.22</v>
          </cell>
          <cell r="O5642" t="str">
            <v>INR</v>
          </cell>
        </row>
        <row r="5643">
          <cell r="A5643" t="str">
            <v>L003 Ankleshwar</v>
          </cell>
          <cell r="B5643">
            <v>692445</v>
          </cell>
          <cell r="C5643" t="str">
            <v>GRUB SCREW SS316 1.3/8" TC/TC (NDP)</v>
          </cell>
          <cell r="D5643" t="str">
            <v>L0030151                       EnggStore</v>
          </cell>
          <cell r="E5643" t="str">
            <v>E34 E34</v>
          </cell>
          <cell r="F5643" t="str">
            <v>VB Manual reorder point planning</v>
          </cell>
          <cell r="G5643" t="str">
            <v>ERSA Spare parts</v>
          </cell>
          <cell r="H5643" t="str">
            <v>EN038     MechanicalSeals&amp;Spar</v>
          </cell>
          <cell r="I5643" t="str">
            <v>L003 Ankleshwar</v>
          </cell>
          <cell r="J5643" t="str">
            <v>99 Input/Byprodt/Scrap</v>
          </cell>
          <cell r="K5643" t="str">
            <v>10.2012</v>
          </cell>
          <cell r="L5643">
            <v>13</v>
          </cell>
          <cell r="M5643" t="str">
            <v>EA</v>
          </cell>
          <cell r="N5643">
            <v>1876.97</v>
          </cell>
          <cell r="O5643" t="str">
            <v>INR</v>
          </cell>
        </row>
        <row r="5644">
          <cell r="A5644" t="str">
            <v>L003 Ankleshwar</v>
          </cell>
          <cell r="B5644">
            <v>692446</v>
          </cell>
          <cell r="C5644" t="str">
            <v>SCREW,SS316 (NDP)</v>
          </cell>
          <cell r="D5644" t="str">
            <v>L0030151                       EnggStore</v>
          </cell>
          <cell r="E5644" t="str">
            <v>E34 E34</v>
          </cell>
          <cell r="F5644" t="str">
            <v>VB Manual reorder point planning</v>
          </cell>
          <cell r="G5644" t="str">
            <v>ERSA Spare parts</v>
          </cell>
          <cell r="H5644" t="str">
            <v>EN038     MechanicalSeals&amp;Spar</v>
          </cell>
          <cell r="I5644" t="str">
            <v>L003 Ankleshwar</v>
          </cell>
          <cell r="J5644" t="str">
            <v>99 Input/Byprodt/Scrap</v>
          </cell>
          <cell r="K5644" t="str">
            <v>10.2012</v>
          </cell>
          <cell r="L5644">
            <v>1</v>
          </cell>
          <cell r="M5644" t="str">
            <v>EA</v>
          </cell>
          <cell r="N5644">
            <v>16.93</v>
          </cell>
          <cell r="O5644" t="str">
            <v>INR</v>
          </cell>
        </row>
        <row r="5645">
          <cell r="A5645" t="str">
            <v>L003 Ankleshwar</v>
          </cell>
          <cell r="B5645">
            <v>692447</v>
          </cell>
          <cell r="C5645" t="str">
            <v>V-BELT A-32 (NDP)</v>
          </cell>
          <cell r="D5645" t="str">
            <v>L0030151                       EnggStore</v>
          </cell>
          <cell r="E5645" t="str">
            <v>E35 E35</v>
          </cell>
          <cell r="F5645" t="str">
            <v>VB Manual reorder point planning</v>
          </cell>
          <cell r="G5645" t="str">
            <v>ERSA Spare parts</v>
          </cell>
          <cell r="H5645" t="str">
            <v>EN021     VbeltCoupling&amp;Pulley</v>
          </cell>
          <cell r="I5645" t="str">
            <v>L003 Ankleshwar</v>
          </cell>
          <cell r="J5645" t="str">
            <v>99 Input/Byprodt/Scrap</v>
          </cell>
          <cell r="K5645" t="str">
            <v>10.2012</v>
          </cell>
          <cell r="L5645">
            <v>1</v>
          </cell>
          <cell r="M5645" t="str">
            <v>EA</v>
          </cell>
          <cell r="N5645">
            <v>81</v>
          </cell>
          <cell r="O5645" t="str">
            <v>INR</v>
          </cell>
        </row>
        <row r="5646">
          <cell r="A5646" t="str">
            <v>L003 Ankleshwar</v>
          </cell>
          <cell r="B5646">
            <v>692448</v>
          </cell>
          <cell r="C5646" t="str">
            <v>CI BEARING BLOCK PT.NO.611 (NDP)</v>
          </cell>
          <cell r="D5646" t="str">
            <v>L0030151                       EnggStore</v>
          </cell>
          <cell r="E5646" t="str">
            <v>E34 E34</v>
          </cell>
          <cell r="F5646" t="str">
            <v>VB Manual reorder point planning</v>
          </cell>
          <cell r="G5646" t="str">
            <v>ERSA Spare parts</v>
          </cell>
          <cell r="H5646" t="str">
            <v>EN032     Pumpspares</v>
          </cell>
          <cell r="I5646" t="str">
            <v>L003 Ankleshwar</v>
          </cell>
          <cell r="J5646" t="str">
            <v>99 Input/Byprodt/Scrap</v>
          </cell>
          <cell r="K5646" t="str">
            <v>10.2012</v>
          </cell>
          <cell r="L5646">
            <v>1</v>
          </cell>
          <cell r="M5646" t="str">
            <v>EA</v>
          </cell>
          <cell r="N5646">
            <v>3375.1799999999898</v>
          </cell>
          <cell r="O5646" t="str">
            <v>INR</v>
          </cell>
        </row>
        <row r="5647">
          <cell r="A5647" t="str">
            <v>L003 Ankleshwar</v>
          </cell>
          <cell r="B5647">
            <v>692449</v>
          </cell>
          <cell r="C5647" t="str">
            <v>SS316 SHAFT PT.NO.6  (NDP)</v>
          </cell>
          <cell r="D5647" t="str">
            <v>L0030151                       EnggStore</v>
          </cell>
          <cell r="E5647" t="str">
            <v>E34 E34</v>
          </cell>
          <cell r="F5647" t="str">
            <v>VB Manual reorder point planning</v>
          </cell>
          <cell r="G5647" t="str">
            <v>ERSA Spare parts</v>
          </cell>
          <cell r="H5647" t="str">
            <v>EN032     Pumpspares</v>
          </cell>
          <cell r="I5647" t="str">
            <v>L003 Ankleshwar</v>
          </cell>
          <cell r="J5647" t="str">
            <v>99 Input/Byprodt/Scrap</v>
          </cell>
          <cell r="K5647" t="str">
            <v>10.2012</v>
          </cell>
          <cell r="L5647">
            <v>1</v>
          </cell>
          <cell r="M5647" t="str">
            <v>EA</v>
          </cell>
          <cell r="N5647">
            <v>3029.4</v>
          </cell>
          <cell r="O5647" t="str">
            <v>INR</v>
          </cell>
        </row>
        <row r="5648">
          <cell r="A5648" t="str">
            <v>L003 Ankleshwar</v>
          </cell>
          <cell r="B5648">
            <v>692450</v>
          </cell>
          <cell r="C5648" t="str">
            <v>SHAFT SS-316 PT.501 (35026008) (NDP)</v>
          </cell>
          <cell r="D5648" t="str">
            <v>L0030151                       EnggStore</v>
          </cell>
          <cell r="E5648" t="str">
            <v>E34 E34</v>
          </cell>
          <cell r="F5648" t="str">
            <v>VB Manual reorder point planning</v>
          </cell>
          <cell r="G5648" t="str">
            <v>ERSA Spare parts</v>
          </cell>
          <cell r="H5648" t="str">
            <v>EN032     Pumpspares</v>
          </cell>
          <cell r="I5648" t="str">
            <v>L003 Ankleshwar</v>
          </cell>
          <cell r="J5648" t="str">
            <v>99 Input/Byprodt/Scrap</v>
          </cell>
          <cell r="K5648" t="str">
            <v>10.2012</v>
          </cell>
          <cell r="L5648">
            <v>1</v>
          </cell>
          <cell r="M5648" t="str">
            <v>EA</v>
          </cell>
          <cell r="N5648">
            <v>2730.55</v>
          </cell>
          <cell r="O5648" t="str">
            <v>INR</v>
          </cell>
        </row>
        <row r="5649">
          <cell r="A5649" t="str">
            <v>L003 Ankleshwar</v>
          </cell>
          <cell r="B5649">
            <v>692451</v>
          </cell>
          <cell r="C5649" t="str">
            <v>V-BELT B-98 (NDP)</v>
          </cell>
          <cell r="D5649" t="str">
            <v>L0030151                       EnggStore</v>
          </cell>
          <cell r="E5649" t="str">
            <v>E35 E35</v>
          </cell>
          <cell r="F5649" t="str">
            <v>VB Manual reorder point planning</v>
          </cell>
          <cell r="G5649" t="str">
            <v>ERSA Spare parts</v>
          </cell>
          <cell r="H5649" t="str">
            <v>EN021     VbeltCoupling&amp;Pulley</v>
          </cell>
          <cell r="I5649" t="str">
            <v>L003 Ankleshwar</v>
          </cell>
          <cell r="J5649" t="str">
            <v>99 Input/Byprodt/Scrap</v>
          </cell>
          <cell r="K5649" t="str">
            <v>10.2012</v>
          </cell>
          <cell r="L5649">
            <v>4</v>
          </cell>
          <cell r="M5649" t="str">
            <v>EA</v>
          </cell>
          <cell r="N5649">
            <v>1247.4000000000001</v>
          </cell>
          <cell r="O5649" t="str">
            <v>INR</v>
          </cell>
        </row>
        <row r="5650">
          <cell r="A5650" t="str">
            <v>L003 Ankleshwar</v>
          </cell>
          <cell r="B5650">
            <v>692453</v>
          </cell>
          <cell r="C5650" t="str">
            <v>BALL BEARING 7311B (NDP)</v>
          </cell>
          <cell r="D5650" t="str">
            <v>L0030151                       EnggStore</v>
          </cell>
          <cell r="E5650" t="str">
            <v>E31 E31</v>
          </cell>
          <cell r="F5650" t="str">
            <v>VB Manual reorder point planning</v>
          </cell>
          <cell r="G5650" t="str">
            <v>ERSA Spare parts</v>
          </cell>
          <cell r="H5650" t="str">
            <v>EN009     Bearings</v>
          </cell>
          <cell r="I5650" t="str">
            <v>L003 Ankleshwar</v>
          </cell>
          <cell r="J5650" t="str">
            <v>99 Input/Byprodt/Scrap</v>
          </cell>
          <cell r="K5650" t="str">
            <v>10.2012</v>
          </cell>
          <cell r="L5650">
            <v>1</v>
          </cell>
          <cell r="M5650" t="str">
            <v>EA</v>
          </cell>
          <cell r="N5650">
            <v>3341.5</v>
          </cell>
          <cell r="O5650" t="str">
            <v>INR</v>
          </cell>
        </row>
        <row r="5651">
          <cell r="A5651" t="str">
            <v>L003 Ankleshwar</v>
          </cell>
          <cell r="B5651">
            <v>692454</v>
          </cell>
          <cell r="C5651" t="str">
            <v>SS-316 BALL VALVE 150 F/T 2" (NDP)</v>
          </cell>
          <cell r="D5651" t="str">
            <v>L0030151                       EnggStore</v>
          </cell>
          <cell r="E5651" t="str">
            <v>E31 E31</v>
          </cell>
          <cell r="F5651" t="str">
            <v>VB Manual reorder point planning</v>
          </cell>
          <cell r="G5651" t="str">
            <v>ERSA Spare parts</v>
          </cell>
          <cell r="H5651" t="str">
            <v>EN023     Valves&amp;spares</v>
          </cell>
          <cell r="I5651" t="str">
            <v>L003 Ankleshwar</v>
          </cell>
          <cell r="J5651" t="str">
            <v>99 Input/Byprodt/Scrap</v>
          </cell>
          <cell r="K5651" t="str">
            <v>10.2012</v>
          </cell>
          <cell r="L5651">
            <v>1</v>
          </cell>
          <cell r="M5651" t="str">
            <v>EA</v>
          </cell>
          <cell r="N5651">
            <v>4848.5200000000004</v>
          </cell>
          <cell r="O5651" t="str">
            <v>INR</v>
          </cell>
        </row>
        <row r="5652">
          <cell r="A5652" t="str">
            <v>L003 Ankleshwar</v>
          </cell>
          <cell r="B5652">
            <v>692455</v>
          </cell>
          <cell r="C5652" t="str">
            <v>MS TEFLON BALL VALVE F/T 1-1/2"(NDP)</v>
          </cell>
          <cell r="D5652" t="str">
            <v>L0030151                       EnggStore</v>
          </cell>
          <cell r="E5652" t="str">
            <v>E31 E31</v>
          </cell>
          <cell r="F5652" t="str">
            <v>VB Manual reorder point planning</v>
          </cell>
          <cell r="G5652" t="str">
            <v>ERSA Spare parts</v>
          </cell>
          <cell r="H5652" t="str">
            <v>EN023     Valves&amp;spares</v>
          </cell>
          <cell r="I5652" t="str">
            <v>L003 Ankleshwar</v>
          </cell>
          <cell r="J5652" t="str">
            <v>99 Input/Byprodt/Scrap</v>
          </cell>
          <cell r="K5652" t="str">
            <v>10.2012</v>
          </cell>
          <cell r="L5652">
            <v>1</v>
          </cell>
          <cell r="M5652" t="str">
            <v>EA</v>
          </cell>
          <cell r="N5652">
            <v>3703.77</v>
          </cell>
          <cell r="O5652" t="str">
            <v>INR</v>
          </cell>
        </row>
        <row r="5653">
          <cell r="A5653" t="str">
            <v>L003 Ankleshwar</v>
          </cell>
          <cell r="B5653">
            <v>692456</v>
          </cell>
          <cell r="C5653" t="str">
            <v>MS PTFE LINED BALL VALVE  F/T 3"(NDP)</v>
          </cell>
          <cell r="D5653" t="str">
            <v>L0030151                       EnggStore</v>
          </cell>
          <cell r="E5653" t="str">
            <v>E31 E31</v>
          </cell>
          <cell r="F5653" t="str">
            <v>VB Manual reorder point planning</v>
          </cell>
          <cell r="G5653" t="str">
            <v>ERSA Spare parts</v>
          </cell>
          <cell r="H5653" t="str">
            <v>EN023     Valves&amp;spares</v>
          </cell>
          <cell r="I5653" t="str">
            <v>L003 Ankleshwar</v>
          </cell>
          <cell r="J5653" t="str">
            <v>99 Input/Byprodt/Scrap</v>
          </cell>
          <cell r="K5653" t="str">
            <v>10.2012</v>
          </cell>
          <cell r="L5653">
            <v>1</v>
          </cell>
          <cell r="M5653" t="str">
            <v>EA</v>
          </cell>
          <cell r="N5653">
            <v>9271.36</v>
          </cell>
          <cell r="O5653" t="str">
            <v>INR</v>
          </cell>
        </row>
        <row r="5654">
          <cell r="A5654" t="str">
            <v>L003 Ankleshwar</v>
          </cell>
          <cell r="B5654">
            <v>692457</v>
          </cell>
          <cell r="C5654" t="str">
            <v>MS CANOPY SINGLE FOR FLP P.B.S. (NDP)</v>
          </cell>
          <cell r="D5654" t="str">
            <v>L0030151                       EnggStore</v>
          </cell>
          <cell r="E5654" t="str">
            <v>E36 E36</v>
          </cell>
          <cell r="F5654" t="str">
            <v>VB Manual reorder point planning</v>
          </cell>
          <cell r="G5654" t="str">
            <v>ERSA Spare parts</v>
          </cell>
          <cell r="H5654" t="str">
            <v>EN003     ElectricalSpares</v>
          </cell>
          <cell r="I5654" t="str">
            <v>L003 Ankleshwar</v>
          </cell>
          <cell r="J5654" t="str">
            <v>99 Input/Byprodt/Scrap</v>
          </cell>
          <cell r="K5654" t="str">
            <v>10.2012</v>
          </cell>
          <cell r="L5654">
            <v>7</v>
          </cell>
          <cell r="M5654" t="str">
            <v>EA</v>
          </cell>
          <cell r="N5654">
            <v>1428.38</v>
          </cell>
          <cell r="O5654" t="str">
            <v>INR</v>
          </cell>
        </row>
        <row r="5655">
          <cell r="A5655" t="str">
            <v>L003 Ankleshwar</v>
          </cell>
          <cell r="B5655">
            <v>692458</v>
          </cell>
          <cell r="C5655" t="str">
            <v>6"DL PG 0+6 KG 1/2" BSP (NDP)</v>
          </cell>
          <cell r="D5655" t="str">
            <v>L0030151                       EnggStore</v>
          </cell>
          <cell r="E5655" t="str">
            <v>E36 E36</v>
          </cell>
          <cell r="F5655" t="str">
            <v>VB Manual reorder point planning</v>
          </cell>
          <cell r="G5655" t="str">
            <v>ERSA Spare parts</v>
          </cell>
          <cell r="H5655" t="str">
            <v>EN035     Measuring&amp;TestingIns</v>
          </cell>
          <cell r="I5655" t="str">
            <v>L003 Ankleshwar</v>
          </cell>
          <cell r="J5655" t="str">
            <v>99 Input/Byprodt/Scrap</v>
          </cell>
          <cell r="K5655" t="str">
            <v>10.2012</v>
          </cell>
          <cell r="L5655">
            <v>3</v>
          </cell>
          <cell r="M5655" t="str">
            <v>EA</v>
          </cell>
          <cell r="N5655">
            <v>3114.0599999999899</v>
          </cell>
          <cell r="O5655" t="str">
            <v>INR</v>
          </cell>
        </row>
        <row r="5656">
          <cell r="A5656" t="str">
            <v>L003 Ankleshwar</v>
          </cell>
          <cell r="B5656">
            <v>692459</v>
          </cell>
          <cell r="C5656" t="str">
            <v>4"DL VACUUM GAUGE 0-760 HG 1/2"BSP(NDP)</v>
          </cell>
          <cell r="D5656" t="str">
            <v>L0030151                       EnggStore</v>
          </cell>
          <cell r="E5656" t="str">
            <v>E36 E36</v>
          </cell>
          <cell r="F5656" t="str">
            <v>VB Manual reorder point planning</v>
          </cell>
          <cell r="G5656" t="str">
            <v>ERSA Spare parts</v>
          </cell>
          <cell r="H5656" t="str">
            <v>EN035     Measuring&amp;TestingIns</v>
          </cell>
          <cell r="I5656" t="str">
            <v>L003 Ankleshwar</v>
          </cell>
          <cell r="J5656" t="str">
            <v>99 Input/Byprodt/Scrap</v>
          </cell>
          <cell r="K5656" t="str">
            <v>10.2012</v>
          </cell>
          <cell r="L5656">
            <v>1</v>
          </cell>
          <cell r="M5656" t="str">
            <v>EA</v>
          </cell>
          <cell r="N5656">
            <v>1048.67</v>
          </cell>
          <cell r="O5656" t="str">
            <v>INR</v>
          </cell>
        </row>
        <row r="5657">
          <cell r="A5657" t="str">
            <v>L003 Ankleshwar</v>
          </cell>
          <cell r="B5657">
            <v>692460</v>
          </cell>
          <cell r="C5657" t="str">
            <v>GFD INSERT MTG (NDP)</v>
          </cell>
          <cell r="D5657" t="str">
            <v>L0030151                       EnggStore</v>
          </cell>
          <cell r="E5657" t="str">
            <v>E34 E34</v>
          </cell>
          <cell r="F5657" t="str">
            <v>VB Manual reorder point planning</v>
          </cell>
          <cell r="G5657" t="str">
            <v>ERSA Spare parts</v>
          </cell>
          <cell r="H5657" t="str">
            <v>EN038     MechanicalSeals&amp;Spar</v>
          </cell>
          <cell r="I5657" t="str">
            <v>L003 Ankleshwar</v>
          </cell>
          <cell r="J5657" t="str">
            <v>99 Input/Byprodt/Scrap</v>
          </cell>
          <cell r="K5657" t="str">
            <v>10.2012</v>
          </cell>
          <cell r="L5657">
            <v>1</v>
          </cell>
          <cell r="M5657" t="str">
            <v>EA</v>
          </cell>
          <cell r="N5657">
            <v>1237.1199999999899</v>
          </cell>
          <cell r="O5657" t="str">
            <v>INR</v>
          </cell>
        </row>
        <row r="5658">
          <cell r="A5658" t="str">
            <v>L003 Ankleshwar</v>
          </cell>
          <cell r="B5658">
            <v>692461</v>
          </cell>
          <cell r="C5658" t="str">
            <v>GASKET DMC 340 (NDP)</v>
          </cell>
          <cell r="D5658" t="str">
            <v>L0030151                       EnggStore</v>
          </cell>
          <cell r="E5658" t="str">
            <v>E34 E34</v>
          </cell>
          <cell r="F5658" t="str">
            <v>VB Manual reorder point planning</v>
          </cell>
          <cell r="G5658" t="str">
            <v>ERSA Spare parts</v>
          </cell>
          <cell r="H5658" t="str">
            <v>EN038     MechanicalSeals&amp;Spar</v>
          </cell>
          <cell r="I5658" t="str">
            <v>L003 Ankleshwar</v>
          </cell>
          <cell r="J5658" t="str">
            <v>99 Input/Byprodt/Scrap</v>
          </cell>
          <cell r="K5658" t="str">
            <v>10.2012</v>
          </cell>
          <cell r="L5658">
            <v>1</v>
          </cell>
          <cell r="M5658" t="str">
            <v>EA</v>
          </cell>
          <cell r="N5658">
            <v>2951.17</v>
          </cell>
          <cell r="O5658" t="str">
            <v>INR</v>
          </cell>
        </row>
        <row r="5659">
          <cell r="A5659" t="str">
            <v>L003 Ankleshwar</v>
          </cell>
          <cell r="B5659">
            <v>692462</v>
          </cell>
          <cell r="C5659" t="str">
            <v>COIL SPRING SS316 [SET=8NOS] (NDP)</v>
          </cell>
          <cell r="D5659" t="str">
            <v>L0030151                       EnggStore</v>
          </cell>
          <cell r="E5659" t="str">
            <v>E34 E34</v>
          </cell>
          <cell r="F5659" t="str">
            <v>VB Manual reorder point planning</v>
          </cell>
          <cell r="G5659" t="str">
            <v>ERSA Spare parts</v>
          </cell>
          <cell r="H5659" t="str">
            <v>EN038     MechanicalSeals&amp;Spar</v>
          </cell>
          <cell r="I5659" t="str">
            <v>L003 Ankleshwar</v>
          </cell>
          <cell r="J5659" t="str">
            <v>99 Input/Byprodt/Scrap</v>
          </cell>
          <cell r="K5659" t="str">
            <v>10.2012</v>
          </cell>
          <cell r="L5659">
            <v>1</v>
          </cell>
          <cell r="M5659" t="str">
            <v>EA</v>
          </cell>
          <cell r="N5659">
            <v>416.85</v>
          </cell>
          <cell r="O5659" t="str">
            <v>INR</v>
          </cell>
        </row>
        <row r="5660">
          <cell r="A5660" t="str">
            <v>L003 Ankleshwar</v>
          </cell>
          <cell r="B5660">
            <v>692463</v>
          </cell>
          <cell r="C5660" t="str">
            <v>SS 316 CLAMP RING (NDP)</v>
          </cell>
          <cell r="D5660" t="str">
            <v>L0030151                       EnggStore</v>
          </cell>
          <cell r="E5660" t="str">
            <v>E34 E34</v>
          </cell>
          <cell r="F5660" t="str">
            <v>VB Manual reorder point planning</v>
          </cell>
          <cell r="G5660" t="str">
            <v>ERSA Spare parts</v>
          </cell>
          <cell r="H5660" t="str">
            <v>EN038     MechanicalSeals&amp;Spar</v>
          </cell>
          <cell r="I5660" t="str">
            <v>L003 Ankleshwar</v>
          </cell>
          <cell r="J5660" t="str">
            <v>99 Input/Byprodt/Scrap</v>
          </cell>
          <cell r="K5660" t="str">
            <v>10.2012</v>
          </cell>
          <cell r="L5660">
            <v>4</v>
          </cell>
          <cell r="M5660" t="str">
            <v>EA</v>
          </cell>
          <cell r="N5660">
            <v>4210.4399999999896</v>
          </cell>
          <cell r="O5660" t="str">
            <v>INR</v>
          </cell>
        </row>
        <row r="5661">
          <cell r="A5661" t="str">
            <v>L003 Ankleshwar</v>
          </cell>
          <cell r="B5661">
            <v>692464</v>
          </cell>
          <cell r="C5661" t="str">
            <v>CARBON SEAL RING (NDP)</v>
          </cell>
          <cell r="D5661" t="str">
            <v>L0030151                       EnggStore</v>
          </cell>
          <cell r="E5661" t="str">
            <v>E34 E34</v>
          </cell>
          <cell r="F5661" t="str">
            <v>VB Manual reorder point planning</v>
          </cell>
          <cell r="G5661" t="str">
            <v>ERSA Spare parts</v>
          </cell>
          <cell r="H5661" t="str">
            <v>EN038     MechanicalSeals&amp;Spar</v>
          </cell>
          <cell r="I5661" t="str">
            <v>L003 Ankleshwar</v>
          </cell>
          <cell r="J5661" t="str">
            <v>99 Input/Byprodt/Scrap</v>
          </cell>
          <cell r="K5661" t="str">
            <v>10.2012</v>
          </cell>
          <cell r="L5661">
            <v>1</v>
          </cell>
          <cell r="M5661" t="str">
            <v>EA</v>
          </cell>
          <cell r="N5661">
            <v>10215.59</v>
          </cell>
          <cell r="O5661" t="str">
            <v>INR</v>
          </cell>
        </row>
        <row r="5662">
          <cell r="A5662" t="str">
            <v>L003 Ankleshwar</v>
          </cell>
          <cell r="B5662">
            <v>692465</v>
          </cell>
          <cell r="C5662" t="str">
            <v>SICOP CONTACTOR TYPE 3TF45 22-0A,220 V (</v>
          </cell>
          <cell r="D5662" t="str">
            <v>L0030151                       EnggStore</v>
          </cell>
          <cell r="E5662" t="str">
            <v>E36 E36</v>
          </cell>
          <cell r="F5662" t="str">
            <v>VB Manual reorder point planning</v>
          </cell>
          <cell r="G5662" t="str">
            <v>ERSA Spare parts</v>
          </cell>
          <cell r="H5662" t="str">
            <v>EN006     Elec Switchgear</v>
          </cell>
          <cell r="I5662" t="str">
            <v>L003 Ankleshwar</v>
          </cell>
          <cell r="J5662" t="str">
            <v>99 Input/Byprodt/Scrap</v>
          </cell>
          <cell r="K5662" t="str">
            <v>10.2012</v>
          </cell>
          <cell r="L5662">
            <v>1</v>
          </cell>
          <cell r="M5662" t="str">
            <v>EA</v>
          </cell>
          <cell r="N5662">
            <v>3256.8</v>
          </cell>
          <cell r="O5662" t="str">
            <v>INR</v>
          </cell>
        </row>
        <row r="5663">
          <cell r="A5663" t="str">
            <v>L003 Ankleshwar</v>
          </cell>
          <cell r="B5663">
            <v>692466</v>
          </cell>
          <cell r="C5663" t="str">
            <v>BIMETAL O/L RELAY,3UA5500-2C,16-25A (NDP</v>
          </cell>
          <cell r="D5663" t="str">
            <v>L0030151                       EnggStore</v>
          </cell>
          <cell r="E5663" t="str">
            <v>E36 E36</v>
          </cell>
          <cell r="F5663" t="str">
            <v>VB Manual reorder point planning</v>
          </cell>
          <cell r="G5663" t="str">
            <v>ERSA Spare parts</v>
          </cell>
          <cell r="H5663" t="str">
            <v>EN006     Elec Switchgear</v>
          </cell>
          <cell r="I5663" t="str">
            <v>L003 Ankleshwar</v>
          </cell>
          <cell r="J5663" t="str">
            <v>99 Input/Byprodt/Scrap</v>
          </cell>
          <cell r="K5663" t="str">
            <v>10.2012</v>
          </cell>
          <cell r="L5663">
            <v>2</v>
          </cell>
          <cell r="M5663" t="str">
            <v>EA</v>
          </cell>
          <cell r="N5663">
            <v>2259.1999999999898</v>
          </cell>
          <cell r="O5663" t="str">
            <v>INR</v>
          </cell>
        </row>
        <row r="5664">
          <cell r="A5664" t="str">
            <v>L003 Ankleshwar</v>
          </cell>
          <cell r="B5664">
            <v>692467</v>
          </cell>
          <cell r="C5664" t="str">
            <v>BIMETAL O/L RELAY,3UA5000-1H,5-8A (NDP)</v>
          </cell>
          <cell r="D5664" t="str">
            <v>L0030151                       EnggStore</v>
          </cell>
          <cell r="E5664" t="str">
            <v>E36 E36</v>
          </cell>
          <cell r="F5664" t="str">
            <v>VB Manual reorder point planning</v>
          </cell>
          <cell r="G5664" t="str">
            <v>ERSA Spare parts</v>
          </cell>
          <cell r="H5664" t="str">
            <v>EN006     Elec Switchgear</v>
          </cell>
          <cell r="I5664" t="str">
            <v>L003 Ankleshwar</v>
          </cell>
          <cell r="J5664" t="str">
            <v>99 Input/Byprodt/Scrap</v>
          </cell>
          <cell r="K5664" t="str">
            <v>10.2012</v>
          </cell>
          <cell r="L5664">
            <v>1</v>
          </cell>
          <cell r="M5664" t="str">
            <v>EA</v>
          </cell>
          <cell r="N5664">
            <v>683.39999999999895</v>
          </cell>
          <cell r="O5664" t="str">
            <v>INR</v>
          </cell>
        </row>
        <row r="5665">
          <cell r="A5665" t="str">
            <v>L003 Ankleshwar</v>
          </cell>
          <cell r="B5665">
            <v>692570</v>
          </cell>
          <cell r="C5665" t="str">
            <v>SHAFT SLEEVE FOR PUMP SCT 250/30</v>
          </cell>
          <cell r="D5665" t="str">
            <v>L0030151                       EnggStore</v>
          </cell>
          <cell r="E5665">
            <v>0</v>
          </cell>
          <cell r="F5665" t="str">
            <v>ND No planning</v>
          </cell>
          <cell r="G5665" t="str">
            <v>ERSA Spare parts</v>
          </cell>
          <cell r="H5665" t="str">
            <v>EN032     Pumpspares</v>
          </cell>
          <cell r="I5665" t="str">
            <v>L003 Ankleshwar</v>
          </cell>
          <cell r="J5665" t="str">
            <v>99 Input/Byprodt/Scrap</v>
          </cell>
          <cell r="K5665" t="str">
            <v>10.2012</v>
          </cell>
          <cell r="L5665">
            <v>2</v>
          </cell>
          <cell r="M5665" t="str">
            <v>EA</v>
          </cell>
          <cell r="N5665">
            <v>8648.75</v>
          </cell>
          <cell r="O5665" t="str">
            <v>INR</v>
          </cell>
        </row>
        <row r="5666">
          <cell r="A5666" t="str">
            <v>L003 Ankleshwar</v>
          </cell>
          <cell r="B5666">
            <v>692604</v>
          </cell>
          <cell r="C5666" t="str">
            <v>ELBOW SH-MS/HDPEL-90DEG-F/T ASA150:40MM</v>
          </cell>
          <cell r="D5666" t="str">
            <v>L0030151                       EnggStore</v>
          </cell>
          <cell r="E5666">
            <v>0</v>
          </cell>
          <cell r="F5666" t="str">
            <v>ND No planning</v>
          </cell>
          <cell r="G5666" t="str">
            <v>ERSA Spare parts</v>
          </cell>
          <cell r="H5666" t="str">
            <v>EN028     Pipes&amp;pipefittings</v>
          </cell>
          <cell r="I5666" t="str">
            <v>L003 Ankleshwar</v>
          </cell>
          <cell r="J5666" t="str">
            <v>99 Input/Byprodt/Scrap</v>
          </cell>
          <cell r="K5666" t="str">
            <v>10.2012</v>
          </cell>
          <cell r="L5666">
            <v>6</v>
          </cell>
          <cell r="M5666" t="str">
            <v>EA</v>
          </cell>
          <cell r="N5666">
            <v>4144.0699999999897</v>
          </cell>
          <cell r="O5666" t="str">
            <v>INR</v>
          </cell>
        </row>
        <row r="5667">
          <cell r="A5667" t="str">
            <v>L003 Ankleshwar</v>
          </cell>
          <cell r="B5667">
            <v>692735</v>
          </cell>
          <cell r="C5667" t="str">
            <v>CI COOLING FAN,E-200L, CROMPTON</v>
          </cell>
          <cell r="D5667" t="str">
            <v>L0030151                       EnggStore</v>
          </cell>
          <cell r="E5667">
            <v>0</v>
          </cell>
          <cell r="F5667" t="str">
            <v>ND No planning</v>
          </cell>
          <cell r="G5667" t="str">
            <v>ERSA Spare parts</v>
          </cell>
          <cell r="H5667" t="str">
            <v>EN007     Elec Motors &amp; Spares</v>
          </cell>
          <cell r="I5667" t="str">
            <v>L003 Ankleshwar</v>
          </cell>
          <cell r="J5667" t="str">
            <v>99 Input/Byprodt/Scrap</v>
          </cell>
          <cell r="K5667" t="str">
            <v>10.2012</v>
          </cell>
          <cell r="L5667">
            <v>1</v>
          </cell>
          <cell r="M5667" t="str">
            <v>EA</v>
          </cell>
          <cell r="N5667">
            <v>1400</v>
          </cell>
          <cell r="O5667" t="str">
            <v>INR</v>
          </cell>
        </row>
        <row r="5668">
          <cell r="A5668" t="str">
            <v>L003 Ankleshwar</v>
          </cell>
          <cell r="B5668">
            <v>692736</v>
          </cell>
          <cell r="C5668" t="str">
            <v>COOLING FAN COVER, E-200L, CROMPTON</v>
          </cell>
          <cell r="D5668" t="str">
            <v>L0030151                       EnggStore</v>
          </cell>
          <cell r="E5668">
            <v>0</v>
          </cell>
          <cell r="F5668" t="str">
            <v>ND No planning</v>
          </cell>
          <cell r="G5668" t="str">
            <v>ERSA Spare parts</v>
          </cell>
          <cell r="H5668" t="str">
            <v>EN007     Elec Motors &amp; Spares</v>
          </cell>
          <cell r="I5668" t="str">
            <v>L003 Ankleshwar</v>
          </cell>
          <cell r="J5668" t="str">
            <v>99 Input/Byprodt/Scrap</v>
          </cell>
          <cell r="K5668" t="str">
            <v>10.2012</v>
          </cell>
          <cell r="L5668">
            <v>1</v>
          </cell>
          <cell r="M5668" t="str">
            <v>EA</v>
          </cell>
          <cell r="N5668">
            <v>3983.75</v>
          </cell>
          <cell r="O5668" t="str">
            <v>INR</v>
          </cell>
        </row>
        <row r="5669">
          <cell r="A5669" t="str">
            <v>L003 Ankleshwar</v>
          </cell>
          <cell r="B5669">
            <v>692798</v>
          </cell>
          <cell r="C5669" t="str">
            <v>ADJUSTING BUSH P.N 2115:PUMP-CCR 25-160</v>
          </cell>
          <cell r="D5669" t="str">
            <v>L0030151                       EnggStore</v>
          </cell>
          <cell r="E5669">
            <v>0</v>
          </cell>
          <cell r="F5669" t="str">
            <v>ND No planning</v>
          </cell>
          <cell r="G5669" t="str">
            <v>ERSA Spare parts</v>
          </cell>
          <cell r="H5669" t="str">
            <v>EN032     Pumpspares</v>
          </cell>
          <cell r="I5669" t="str">
            <v>L003 Ankleshwar</v>
          </cell>
          <cell r="J5669" t="str">
            <v>99 Input/Byprodt/Scrap</v>
          </cell>
          <cell r="K5669" t="str">
            <v>10.2012</v>
          </cell>
          <cell r="L5669">
            <v>2</v>
          </cell>
          <cell r="M5669" t="str">
            <v>EA</v>
          </cell>
          <cell r="N5669">
            <v>2315.4</v>
          </cell>
          <cell r="O5669" t="str">
            <v>INR</v>
          </cell>
        </row>
        <row r="5670">
          <cell r="A5670" t="str">
            <v>L003 Ankleshwar</v>
          </cell>
          <cell r="B5670">
            <v>692853</v>
          </cell>
          <cell r="C5670" t="str">
            <v>BONDED STATOR - RDCA-513 ROTO PUMP</v>
          </cell>
          <cell r="D5670" t="str">
            <v>L0030151                       EnggStore</v>
          </cell>
          <cell r="E5670" t="str">
            <v>E34 E34</v>
          </cell>
          <cell r="F5670" t="str">
            <v>VB Manual reorder point planning</v>
          </cell>
          <cell r="G5670" t="str">
            <v>ERSA Spare parts</v>
          </cell>
          <cell r="H5670" t="str">
            <v>EN032     Pumpspares</v>
          </cell>
          <cell r="I5670" t="str">
            <v>L003 Ankleshwar</v>
          </cell>
          <cell r="J5670" t="str">
            <v>99 Input/Byprodt/Scrap</v>
          </cell>
          <cell r="K5670" t="str">
            <v>10.2012</v>
          </cell>
          <cell r="L5670">
            <v>2</v>
          </cell>
          <cell r="M5670" t="str">
            <v>EA</v>
          </cell>
          <cell r="N5670">
            <v>6025.68</v>
          </cell>
          <cell r="O5670" t="str">
            <v>INR</v>
          </cell>
        </row>
        <row r="5671">
          <cell r="A5671" t="str">
            <v>L003 Ankleshwar</v>
          </cell>
          <cell r="B5671">
            <v>692854</v>
          </cell>
          <cell r="C5671" t="str">
            <v>BONDED STATOR- RLAB-571-H7CF1V ROTO PUMP</v>
          </cell>
          <cell r="D5671" t="str">
            <v>L0030151                       EnggStore</v>
          </cell>
          <cell r="E5671" t="str">
            <v>E34 E34</v>
          </cell>
          <cell r="F5671" t="str">
            <v>VB Manual reorder point planning</v>
          </cell>
          <cell r="G5671" t="str">
            <v>ERSA Spare parts</v>
          </cell>
          <cell r="H5671" t="str">
            <v>EN032     Pumpspares</v>
          </cell>
          <cell r="I5671" t="str">
            <v>L003 Ankleshwar</v>
          </cell>
          <cell r="J5671" t="str">
            <v>99 Input/Byprodt/Scrap</v>
          </cell>
          <cell r="K5671" t="str">
            <v>10.2012</v>
          </cell>
          <cell r="L5671">
            <v>1</v>
          </cell>
          <cell r="M5671" t="str">
            <v>EA</v>
          </cell>
          <cell r="N5671">
            <v>8717.59</v>
          </cell>
          <cell r="O5671" t="str">
            <v>INR</v>
          </cell>
        </row>
        <row r="5672">
          <cell r="A5672" t="str">
            <v>L003 Ankleshwar</v>
          </cell>
          <cell r="B5672">
            <v>692855</v>
          </cell>
          <cell r="C5672" t="str">
            <v>NM GASKET-CL1&amp;2:700MMX765MM</v>
          </cell>
          <cell r="D5672" t="str">
            <v>L0030151                       EnggStore</v>
          </cell>
          <cell r="E5672" t="str">
            <v>E01 E01</v>
          </cell>
          <cell r="F5672" t="str">
            <v>ND No planning</v>
          </cell>
          <cell r="G5672" t="str">
            <v>ERSA Spare parts</v>
          </cell>
          <cell r="H5672" t="str">
            <v>EN024     EnggConsumables</v>
          </cell>
          <cell r="I5672" t="str">
            <v>L003 Ankleshwar</v>
          </cell>
          <cell r="J5672" t="str">
            <v>99 Input/Byprodt/Scrap</v>
          </cell>
          <cell r="K5672" t="str">
            <v>10.2012</v>
          </cell>
          <cell r="L5672">
            <v>5</v>
          </cell>
          <cell r="M5672" t="str">
            <v>EA</v>
          </cell>
          <cell r="N5672">
            <v>1550</v>
          </cell>
          <cell r="O5672" t="str">
            <v>INR</v>
          </cell>
        </row>
        <row r="5673">
          <cell r="A5673" t="str">
            <v>L003 Ankleshwar</v>
          </cell>
          <cell r="B5673">
            <v>692872</v>
          </cell>
          <cell r="C5673" t="str">
            <v>SIGHT GLASS-DW-MS/HDPE-F/T ASA150: 25MM</v>
          </cell>
          <cell r="D5673" t="str">
            <v>L0030201                       Cons StoreKP</v>
          </cell>
          <cell r="E5673" t="str">
            <v>E01 E01</v>
          </cell>
          <cell r="F5673" t="str">
            <v>ND No planning</v>
          </cell>
          <cell r="G5673" t="str">
            <v>ERSA Spare parts</v>
          </cell>
          <cell r="H5673" t="str">
            <v>EN028     Pipes&amp;pipefittings</v>
          </cell>
          <cell r="I5673" t="str">
            <v>L003 Ankleshwar</v>
          </cell>
          <cell r="J5673" t="str">
            <v>99 Input/Byprodt/Scrap</v>
          </cell>
          <cell r="K5673" t="str">
            <v>10.2012</v>
          </cell>
          <cell r="L5673">
            <v>6</v>
          </cell>
          <cell r="M5673" t="str">
            <v>EA</v>
          </cell>
          <cell r="N5673">
            <v>6622.96</v>
          </cell>
          <cell r="O5673" t="str">
            <v>INR</v>
          </cell>
        </row>
        <row r="5674">
          <cell r="A5674" t="str">
            <v>L003 Ankleshwar</v>
          </cell>
          <cell r="B5674">
            <v>692873</v>
          </cell>
          <cell r="C5674" t="str">
            <v>SIGHT GLASS-DW-MS/HDPE-F/T ASA150: 50MM</v>
          </cell>
          <cell r="D5674" t="str">
            <v>L0030151                       EnggStore</v>
          </cell>
          <cell r="E5674" t="str">
            <v>E34 E34</v>
          </cell>
          <cell r="F5674" t="str">
            <v>VB Manual reorder point planning</v>
          </cell>
          <cell r="G5674" t="str">
            <v>ERSA Spare parts</v>
          </cell>
          <cell r="H5674" t="str">
            <v>EN023     Valves&amp;spares</v>
          </cell>
          <cell r="I5674" t="str">
            <v>L003 Ankleshwar</v>
          </cell>
          <cell r="J5674" t="str">
            <v>99 Input/Byprodt/Scrap</v>
          </cell>
          <cell r="K5674" t="str">
            <v>10.2012</v>
          </cell>
          <cell r="L5674">
            <v>2</v>
          </cell>
          <cell r="M5674" t="str">
            <v>EA</v>
          </cell>
          <cell r="N5674">
            <v>5319.8199999999897</v>
          </cell>
          <cell r="O5674" t="str">
            <v>INR</v>
          </cell>
        </row>
        <row r="5675">
          <cell r="A5675" t="str">
            <v>L003 Ankleshwar</v>
          </cell>
          <cell r="B5675">
            <v>692874</v>
          </cell>
          <cell r="C5675" t="str">
            <v>SIGHT GLASS-DW-MS/HDPE-F/T ASA150: 80MM</v>
          </cell>
          <cell r="D5675" t="str">
            <v>L0030201                       Cons StoreKP</v>
          </cell>
          <cell r="E5675" t="str">
            <v>E34 E34</v>
          </cell>
          <cell r="F5675" t="str">
            <v>VB Manual reorder point planning</v>
          </cell>
          <cell r="G5675" t="str">
            <v>ERSA Spare parts</v>
          </cell>
          <cell r="H5675" t="str">
            <v>EN023     Valves&amp;spares</v>
          </cell>
          <cell r="I5675" t="str">
            <v>L003 Ankleshwar</v>
          </cell>
          <cell r="J5675" t="str">
            <v>99 Input/Byprodt/Scrap</v>
          </cell>
          <cell r="K5675" t="str">
            <v>10.2012</v>
          </cell>
          <cell r="L5675">
            <v>2</v>
          </cell>
          <cell r="M5675" t="str">
            <v>EA</v>
          </cell>
          <cell r="N5675">
            <v>7174.8599999999897</v>
          </cell>
          <cell r="O5675" t="str">
            <v>INR</v>
          </cell>
        </row>
        <row r="5676">
          <cell r="A5676" t="str">
            <v>L003 Ankleshwar</v>
          </cell>
          <cell r="B5676">
            <v>692880</v>
          </cell>
          <cell r="C5676" t="str">
            <v>O SEAL - VALVE GUIDE,PNO.01179104</v>
          </cell>
          <cell r="D5676" t="str">
            <v>L0030151                       EnggStore</v>
          </cell>
          <cell r="E5676" t="str">
            <v>E01 E01</v>
          </cell>
          <cell r="F5676" t="str">
            <v>ND No planning</v>
          </cell>
          <cell r="G5676" t="str">
            <v>ERSA Spare parts</v>
          </cell>
          <cell r="H5676" t="str">
            <v>EN029     Powerplantitems</v>
          </cell>
          <cell r="I5676" t="str">
            <v>L003 Ankleshwar</v>
          </cell>
          <cell r="J5676" t="str">
            <v>99 Input/Byprodt/Scrap</v>
          </cell>
          <cell r="K5676" t="str">
            <v>10.2012</v>
          </cell>
          <cell r="L5676">
            <v>9</v>
          </cell>
          <cell r="M5676" t="str">
            <v>EA</v>
          </cell>
          <cell r="N5676">
            <v>4846.0299999999897</v>
          </cell>
          <cell r="O5676" t="str">
            <v>INR</v>
          </cell>
        </row>
        <row r="5677">
          <cell r="A5677" t="str">
            <v>L003 Ankleshwar</v>
          </cell>
          <cell r="B5677">
            <v>693036</v>
          </cell>
          <cell r="C5677" t="str">
            <v>EN24 SHAFT: D PARIKH 36" CF (NEW DESIGN)</v>
          </cell>
          <cell r="D5677" t="str">
            <v>L0030151                       EnggStore</v>
          </cell>
          <cell r="E5677">
            <v>0</v>
          </cell>
          <cell r="F5677" t="str">
            <v>ND No planning</v>
          </cell>
          <cell r="G5677" t="str">
            <v>ERSA Spare parts</v>
          </cell>
          <cell r="H5677" t="str">
            <v>EN039     PlantEquipmentSpares</v>
          </cell>
          <cell r="I5677" t="str">
            <v>L003 Ankleshwar</v>
          </cell>
          <cell r="J5677" t="str">
            <v>99 Input/Byprodt/Scrap</v>
          </cell>
          <cell r="K5677" t="str">
            <v>10.2012</v>
          </cell>
          <cell r="L5677">
            <v>1</v>
          </cell>
          <cell r="M5677" t="str">
            <v>EA</v>
          </cell>
          <cell r="N5677">
            <v>4465</v>
          </cell>
          <cell r="O5677" t="str">
            <v>INR</v>
          </cell>
        </row>
        <row r="5678">
          <cell r="A5678" t="str">
            <v>L003 Ankleshwar</v>
          </cell>
          <cell r="B5678">
            <v>693038</v>
          </cell>
          <cell r="C5678" t="str">
            <v>BEARING LOCK NUT: MDL-SP-3-KIRLOSKAR</v>
          </cell>
          <cell r="D5678" t="str">
            <v>L0030151                       EnggStore</v>
          </cell>
          <cell r="E5678">
            <v>0</v>
          </cell>
          <cell r="F5678" t="str">
            <v>ND No planning</v>
          </cell>
          <cell r="G5678" t="str">
            <v>ERSA Spare parts</v>
          </cell>
          <cell r="H5678" t="str">
            <v>EN032     Pumpspares</v>
          </cell>
          <cell r="I5678" t="str">
            <v>L003 Ankleshwar</v>
          </cell>
          <cell r="J5678" t="str">
            <v>99 Input/Byprodt/Scrap</v>
          </cell>
          <cell r="K5678" t="str">
            <v>10.2012</v>
          </cell>
          <cell r="L5678">
            <v>2</v>
          </cell>
          <cell r="M5678" t="str">
            <v>EA</v>
          </cell>
          <cell r="N5678">
            <v>259</v>
          </cell>
          <cell r="O5678" t="str">
            <v>INR</v>
          </cell>
        </row>
        <row r="5679">
          <cell r="A5679" t="str">
            <v>L003 Ankleshwar</v>
          </cell>
          <cell r="B5679">
            <v>693039</v>
          </cell>
          <cell r="C5679" t="str">
            <v>RUBBER V SEAL: ID-64MM DIA</v>
          </cell>
          <cell r="D5679" t="str">
            <v>L0030151                       EnggStore</v>
          </cell>
          <cell r="E5679" t="str">
            <v>E34 E34</v>
          </cell>
          <cell r="F5679" t="str">
            <v>VB Manual reorder point planning</v>
          </cell>
          <cell r="G5679" t="str">
            <v>ERSA Spare parts</v>
          </cell>
          <cell r="H5679" t="str">
            <v>EN020     RubberItems&amp;Oil Seal</v>
          </cell>
          <cell r="I5679" t="str">
            <v>L003 Ankleshwar</v>
          </cell>
          <cell r="J5679" t="str">
            <v>99 Input/Byprodt/Scrap</v>
          </cell>
          <cell r="K5679" t="str">
            <v>10.2012</v>
          </cell>
          <cell r="L5679">
            <v>8</v>
          </cell>
          <cell r="M5679" t="str">
            <v>EA</v>
          </cell>
          <cell r="N5679">
            <v>720</v>
          </cell>
          <cell r="O5679" t="str">
            <v>INR</v>
          </cell>
        </row>
        <row r="5680">
          <cell r="A5680" t="str">
            <v>L003 Ankleshwar</v>
          </cell>
          <cell r="B5680">
            <v>693040</v>
          </cell>
          <cell r="C5680" t="str">
            <v>RUBBER V SEAL: ID-74MM DIA</v>
          </cell>
          <cell r="D5680" t="str">
            <v>L0030151                       EnggStore</v>
          </cell>
          <cell r="E5680" t="str">
            <v>E36 E36</v>
          </cell>
          <cell r="F5680" t="str">
            <v>VB Manual reorder point planning</v>
          </cell>
          <cell r="G5680" t="str">
            <v>ERSA Spare parts</v>
          </cell>
          <cell r="H5680" t="str">
            <v>EN020     RubberItems&amp;Oil Seal</v>
          </cell>
          <cell r="I5680" t="str">
            <v>L003 Ankleshwar</v>
          </cell>
          <cell r="J5680" t="str">
            <v>99 Input/Byprodt/Scrap</v>
          </cell>
          <cell r="K5680" t="str">
            <v>10.2012</v>
          </cell>
          <cell r="L5680">
            <v>4</v>
          </cell>
          <cell r="M5680" t="str">
            <v>EA</v>
          </cell>
          <cell r="N5680">
            <v>380</v>
          </cell>
          <cell r="O5680" t="str">
            <v>INR</v>
          </cell>
        </row>
        <row r="5681">
          <cell r="A5681" t="str">
            <v>L003 Ankleshwar</v>
          </cell>
          <cell r="B5681">
            <v>693041</v>
          </cell>
          <cell r="C5681" t="str">
            <v>RUBBER V SEAL: ID-70MM DIA</v>
          </cell>
          <cell r="D5681" t="str">
            <v>L0030151                       EnggStore</v>
          </cell>
          <cell r="E5681" t="str">
            <v>E34 E34</v>
          </cell>
          <cell r="F5681" t="str">
            <v>VB Manual reorder point planning</v>
          </cell>
          <cell r="G5681" t="str">
            <v>ERSA Spare parts</v>
          </cell>
          <cell r="H5681" t="str">
            <v>EN020     RubberItems&amp;Oil Seal</v>
          </cell>
          <cell r="I5681" t="str">
            <v>L003 Ankleshwar</v>
          </cell>
          <cell r="J5681" t="str">
            <v>99 Input/Byprodt/Scrap</v>
          </cell>
          <cell r="K5681" t="str">
            <v>10.2012</v>
          </cell>
          <cell r="L5681">
            <v>7</v>
          </cell>
          <cell r="M5681" t="str">
            <v>EA</v>
          </cell>
          <cell r="N5681">
            <v>770</v>
          </cell>
          <cell r="O5681" t="str">
            <v>INR</v>
          </cell>
        </row>
        <row r="5682">
          <cell r="A5682" t="str">
            <v>L003 Ankleshwar</v>
          </cell>
          <cell r="B5682">
            <v>693042</v>
          </cell>
          <cell r="C5682" t="str">
            <v>RUBBER V SEAL: ID-80MM DIA</v>
          </cell>
          <cell r="D5682" t="str">
            <v>L0030151                       EnggStore</v>
          </cell>
          <cell r="E5682" t="str">
            <v>E34 E34</v>
          </cell>
          <cell r="F5682" t="str">
            <v>VB Manual reorder point planning</v>
          </cell>
          <cell r="G5682" t="str">
            <v>ERSA Spare parts</v>
          </cell>
          <cell r="H5682" t="str">
            <v>EN020     RubberItems&amp;Oil Seal</v>
          </cell>
          <cell r="I5682" t="str">
            <v>L003 Ankleshwar</v>
          </cell>
          <cell r="J5682" t="str">
            <v>99 Input/Byprodt/Scrap</v>
          </cell>
          <cell r="K5682" t="str">
            <v>10.2012</v>
          </cell>
          <cell r="L5682">
            <v>7</v>
          </cell>
          <cell r="M5682" t="str">
            <v>EA</v>
          </cell>
          <cell r="N5682">
            <v>910</v>
          </cell>
          <cell r="O5682" t="str">
            <v>INR</v>
          </cell>
        </row>
        <row r="5683">
          <cell r="A5683" t="str">
            <v>L003 Ankleshwar</v>
          </cell>
          <cell r="B5683">
            <v>693044</v>
          </cell>
          <cell r="C5683" t="str">
            <v>RUBBER V SEAL: ID-95MM DIA</v>
          </cell>
          <cell r="D5683" t="str">
            <v>L0030151                       EnggStore</v>
          </cell>
          <cell r="E5683">
            <v>0</v>
          </cell>
          <cell r="F5683" t="str">
            <v>ND No planning</v>
          </cell>
          <cell r="G5683" t="str">
            <v>ERSA Spare parts</v>
          </cell>
          <cell r="H5683" t="str">
            <v>EN020     RubberItems&amp;Oil Seal</v>
          </cell>
          <cell r="I5683" t="str">
            <v>L003 Ankleshwar</v>
          </cell>
          <cell r="J5683" t="str">
            <v>99 Input/Byprodt/Scrap</v>
          </cell>
          <cell r="K5683" t="str">
            <v>10.2012</v>
          </cell>
          <cell r="L5683">
            <v>10</v>
          </cell>
          <cell r="M5683" t="str">
            <v>EA</v>
          </cell>
          <cell r="N5683">
            <v>1600</v>
          </cell>
          <cell r="O5683" t="str">
            <v>INR</v>
          </cell>
        </row>
        <row r="5684">
          <cell r="A5684" t="str">
            <v>L003 Ankleshwar</v>
          </cell>
          <cell r="B5684">
            <v>693055</v>
          </cell>
          <cell r="C5684" t="str">
            <v>DIAPHARM ASSEMBLY-PTFE: WDML-1125/100</v>
          </cell>
          <cell r="D5684" t="str">
            <v>L0030151                       EnggStore</v>
          </cell>
          <cell r="E5684">
            <v>0</v>
          </cell>
          <cell r="F5684" t="str">
            <v>ND No planning</v>
          </cell>
          <cell r="G5684" t="str">
            <v>ERSA Spare parts</v>
          </cell>
          <cell r="H5684" t="str">
            <v>EN032     Pumpspares</v>
          </cell>
          <cell r="I5684" t="str">
            <v>L003 Ankleshwar</v>
          </cell>
          <cell r="J5684" t="str">
            <v>99 Input/Byprodt/Scrap</v>
          </cell>
          <cell r="K5684" t="str">
            <v>10.2012</v>
          </cell>
          <cell r="L5684">
            <v>2</v>
          </cell>
          <cell r="M5684" t="str">
            <v>EA</v>
          </cell>
          <cell r="N5684">
            <v>13802</v>
          </cell>
          <cell r="O5684" t="str">
            <v>INR</v>
          </cell>
        </row>
        <row r="5685">
          <cell r="A5685" t="str">
            <v>L003 Ankleshwar</v>
          </cell>
          <cell r="B5685">
            <v>693056</v>
          </cell>
          <cell r="C5685" t="str">
            <v>SUCTION VALVE-PTFE: WDML-1125/100</v>
          </cell>
          <cell r="D5685" t="str">
            <v>L0030151                       EnggStore</v>
          </cell>
          <cell r="E5685">
            <v>0</v>
          </cell>
          <cell r="F5685" t="str">
            <v>ND No planning</v>
          </cell>
          <cell r="G5685" t="str">
            <v>ERSA Spare parts</v>
          </cell>
          <cell r="H5685" t="str">
            <v>EN032     Pumpspares</v>
          </cell>
          <cell r="I5685" t="str">
            <v>L003 Ankleshwar</v>
          </cell>
          <cell r="J5685" t="str">
            <v>99 Input/Byprodt/Scrap</v>
          </cell>
          <cell r="K5685" t="str">
            <v>10.2012</v>
          </cell>
          <cell r="L5685">
            <v>2</v>
          </cell>
          <cell r="M5685" t="str">
            <v>EA</v>
          </cell>
          <cell r="N5685">
            <v>659.2</v>
          </cell>
          <cell r="O5685" t="str">
            <v>INR</v>
          </cell>
        </row>
        <row r="5686">
          <cell r="A5686" t="str">
            <v>L003 Ankleshwar</v>
          </cell>
          <cell r="B5686">
            <v>693126</v>
          </cell>
          <cell r="C5686" t="str">
            <v>SS 316 WING NUT &amp; BOLT</v>
          </cell>
          <cell r="D5686" t="str">
            <v>L0030151                       EnggStore</v>
          </cell>
          <cell r="E5686">
            <v>0</v>
          </cell>
          <cell r="F5686" t="str">
            <v>ND No planning</v>
          </cell>
          <cell r="G5686" t="str">
            <v>ERSA Spare parts</v>
          </cell>
          <cell r="H5686" t="str">
            <v>EN022     Hardwareitems</v>
          </cell>
          <cell r="I5686" t="str">
            <v>L003 Ankleshwar</v>
          </cell>
          <cell r="J5686" t="str">
            <v>99 Input/Byprodt/Scrap</v>
          </cell>
          <cell r="K5686" t="str">
            <v>10.2012</v>
          </cell>
          <cell r="L5686">
            <v>24</v>
          </cell>
          <cell r="M5686" t="str">
            <v>EA</v>
          </cell>
          <cell r="N5686">
            <v>2260</v>
          </cell>
          <cell r="O5686" t="str">
            <v>INR</v>
          </cell>
        </row>
        <row r="5687">
          <cell r="A5687" t="str">
            <v>L003 Ankleshwar</v>
          </cell>
          <cell r="B5687">
            <v>693197</v>
          </cell>
          <cell r="C5687" t="str">
            <v>BALL BEARING 61820-ZZ</v>
          </cell>
          <cell r="D5687" t="str">
            <v>L0030151                       EnggStore</v>
          </cell>
          <cell r="E5687" t="str">
            <v>E31 E31</v>
          </cell>
          <cell r="F5687" t="str">
            <v>VB Manual reorder point planning</v>
          </cell>
          <cell r="G5687" t="str">
            <v>ERSA Spare parts</v>
          </cell>
          <cell r="H5687" t="str">
            <v>EN009     Bearings</v>
          </cell>
          <cell r="I5687" t="str">
            <v>L003 Ankleshwar</v>
          </cell>
          <cell r="J5687" t="str">
            <v>99 Input/Byprodt/Scrap</v>
          </cell>
          <cell r="K5687" t="str">
            <v>10.2012</v>
          </cell>
          <cell r="L5687">
            <v>1</v>
          </cell>
          <cell r="M5687" t="str">
            <v>EA</v>
          </cell>
          <cell r="N5687">
            <v>3500</v>
          </cell>
          <cell r="O5687" t="str">
            <v>INR</v>
          </cell>
        </row>
        <row r="5688">
          <cell r="A5688" t="str">
            <v>L003 Ankleshwar</v>
          </cell>
          <cell r="B5688">
            <v>693197</v>
          </cell>
          <cell r="C5688" t="str">
            <v>BALL BEARING 61820-ZZ</v>
          </cell>
          <cell r="D5688" t="str">
            <v>L0030201                       Cons StoreKP</v>
          </cell>
          <cell r="E5688" t="str">
            <v>E31 E31</v>
          </cell>
          <cell r="F5688" t="str">
            <v>VB Manual reorder point planning</v>
          </cell>
          <cell r="G5688" t="str">
            <v>ERSA Spare parts</v>
          </cell>
          <cell r="H5688" t="str">
            <v>EN009     Bearings</v>
          </cell>
          <cell r="I5688" t="str">
            <v>L003 Ankleshwar</v>
          </cell>
          <cell r="J5688" t="str">
            <v>99 Input/Byprodt/Scrap</v>
          </cell>
          <cell r="K5688" t="str">
            <v>10.2012</v>
          </cell>
          <cell r="L5688">
            <v>2</v>
          </cell>
          <cell r="M5688" t="str">
            <v>EA</v>
          </cell>
          <cell r="N5688">
            <v>7000</v>
          </cell>
          <cell r="O5688" t="str">
            <v>INR</v>
          </cell>
        </row>
        <row r="5689">
          <cell r="A5689" t="str">
            <v>L003 Ankleshwar</v>
          </cell>
          <cell r="B5689">
            <v>693221</v>
          </cell>
          <cell r="C5689" t="str">
            <v>DRIVING MAIN PULLEY FOR SAFEX 2TON LIFT</v>
          </cell>
          <cell r="D5689" t="str">
            <v>L0030151                       EnggStore</v>
          </cell>
          <cell r="E5689" t="str">
            <v>E01 E01</v>
          </cell>
          <cell r="F5689" t="str">
            <v>ND No planning</v>
          </cell>
          <cell r="G5689" t="str">
            <v>ERSA Spare parts</v>
          </cell>
          <cell r="H5689" t="str">
            <v>EN015     MaterialHandlingspar</v>
          </cell>
          <cell r="I5689" t="str">
            <v>L003 Ankleshwar</v>
          </cell>
          <cell r="J5689" t="str">
            <v>99 Input/Byprodt/Scrap</v>
          </cell>
          <cell r="K5689" t="str">
            <v>10.2012</v>
          </cell>
          <cell r="L5689">
            <v>1</v>
          </cell>
          <cell r="M5689" t="str">
            <v>EA</v>
          </cell>
          <cell r="N5689">
            <v>25710.38</v>
          </cell>
          <cell r="O5689" t="str">
            <v>INR</v>
          </cell>
        </row>
        <row r="5690">
          <cell r="A5690" t="str">
            <v>L003 Ankleshwar</v>
          </cell>
          <cell r="B5690">
            <v>693483</v>
          </cell>
          <cell r="C5690" t="str">
            <v>RUBBER GASKET 2020X1800X1920PCDX5MM</v>
          </cell>
          <cell r="D5690" t="str">
            <v>L0030151                       EnggStore</v>
          </cell>
          <cell r="E5690" t="str">
            <v>E01 E01</v>
          </cell>
          <cell r="F5690" t="str">
            <v>ND No planning</v>
          </cell>
          <cell r="G5690" t="str">
            <v>ERSA Spare parts</v>
          </cell>
          <cell r="H5690" t="str">
            <v>EN024     EnggConsumables</v>
          </cell>
          <cell r="I5690" t="str">
            <v>L003 Ankleshwar</v>
          </cell>
          <cell r="J5690" t="str">
            <v>99 Input/Byprodt/Scrap</v>
          </cell>
          <cell r="K5690" t="str">
            <v>10.2012</v>
          </cell>
          <cell r="L5690">
            <v>2</v>
          </cell>
          <cell r="M5690" t="str">
            <v>EA</v>
          </cell>
          <cell r="N5690">
            <v>3094.3</v>
          </cell>
          <cell r="O5690" t="str">
            <v>INR</v>
          </cell>
        </row>
        <row r="5691">
          <cell r="A5691" t="str">
            <v>L003 Ankleshwar</v>
          </cell>
          <cell r="B5691">
            <v>693485</v>
          </cell>
          <cell r="C5691" t="str">
            <v>EQUAL TEE-MS/HDPEL-F/T-ASA150: 25MM</v>
          </cell>
          <cell r="D5691" t="str">
            <v>L0030151                       EnggStore</v>
          </cell>
          <cell r="E5691" t="str">
            <v>E01 E01</v>
          </cell>
          <cell r="F5691" t="str">
            <v>ND No planning</v>
          </cell>
          <cell r="G5691" t="str">
            <v>ERSA Spare parts</v>
          </cell>
          <cell r="H5691" t="str">
            <v>EN028     Pipes&amp;pipefittings</v>
          </cell>
          <cell r="I5691" t="str">
            <v>L003 Ankleshwar</v>
          </cell>
          <cell r="J5691" t="str">
            <v>99 Input/Byprodt/Scrap</v>
          </cell>
          <cell r="K5691" t="str">
            <v>10.2012</v>
          </cell>
          <cell r="L5691">
            <v>16</v>
          </cell>
          <cell r="M5691" t="str">
            <v>EA</v>
          </cell>
          <cell r="N5691">
            <v>8884.7199999999903</v>
          </cell>
          <cell r="O5691" t="str">
            <v>INR</v>
          </cell>
        </row>
        <row r="5692">
          <cell r="A5692" t="str">
            <v>L003 Ankleshwar</v>
          </cell>
          <cell r="B5692">
            <v>693546</v>
          </cell>
          <cell r="C5692" t="str">
            <v>SS 316 SHAFT: MODEL: RAF-400X400</v>
          </cell>
          <cell r="D5692" t="str">
            <v>L0030151                       EnggStore</v>
          </cell>
          <cell r="E5692" t="str">
            <v>E01 E01</v>
          </cell>
          <cell r="F5692" t="str">
            <v>ND No planning</v>
          </cell>
          <cell r="G5692" t="str">
            <v>ERSA Spare parts</v>
          </cell>
          <cell r="H5692" t="str">
            <v>EN032     Pumpspares</v>
          </cell>
          <cell r="I5692" t="str">
            <v>L003 Ankleshwar</v>
          </cell>
          <cell r="J5692" t="str">
            <v>99 Input/Byprodt/Scrap</v>
          </cell>
          <cell r="K5692" t="str">
            <v>10.2012</v>
          </cell>
          <cell r="L5692">
            <v>1</v>
          </cell>
          <cell r="M5692" t="str">
            <v>EA</v>
          </cell>
          <cell r="N5692">
            <v>23150</v>
          </cell>
          <cell r="O5692" t="str">
            <v>INR</v>
          </cell>
        </row>
        <row r="5693">
          <cell r="A5693" t="str">
            <v>L003 Ankleshwar</v>
          </cell>
          <cell r="B5693">
            <v>693550</v>
          </cell>
          <cell r="C5693" t="str">
            <v>CASING: MODEL: RAF-400X400</v>
          </cell>
          <cell r="D5693" t="str">
            <v>L0030151                       EnggStore</v>
          </cell>
          <cell r="E5693" t="str">
            <v>E01 E01</v>
          </cell>
          <cell r="F5693" t="str">
            <v>ND No planning</v>
          </cell>
          <cell r="G5693" t="str">
            <v>ERSA Spare parts</v>
          </cell>
          <cell r="H5693" t="str">
            <v>EN032     Pumpspares</v>
          </cell>
          <cell r="I5693" t="str">
            <v>L003 Ankleshwar</v>
          </cell>
          <cell r="J5693" t="str">
            <v>99 Input/Byprodt/Scrap</v>
          </cell>
          <cell r="K5693" t="str">
            <v>10.2012</v>
          </cell>
          <cell r="L5693">
            <v>1</v>
          </cell>
          <cell r="M5693" t="str">
            <v>EA</v>
          </cell>
          <cell r="N5693">
            <v>80000</v>
          </cell>
          <cell r="O5693" t="str">
            <v>INR</v>
          </cell>
        </row>
        <row r="5694">
          <cell r="A5694" t="str">
            <v>L003 Ankleshwar</v>
          </cell>
          <cell r="B5694">
            <v>693589</v>
          </cell>
          <cell r="C5694" t="str">
            <v>ACTUATOR DIAPHRAGM FOR MODEL NO</v>
          </cell>
          <cell r="D5694" t="str">
            <v>L0030151                       EnggStore</v>
          </cell>
          <cell r="E5694">
            <v>0</v>
          </cell>
          <cell r="F5694" t="str">
            <v>ND No planning</v>
          </cell>
          <cell r="G5694" t="str">
            <v>ERSA Spare parts</v>
          </cell>
          <cell r="H5694" t="str">
            <v>EN017     InstrumentSpares</v>
          </cell>
          <cell r="I5694" t="str">
            <v>L003 Ankleshwar</v>
          </cell>
          <cell r="J5694" t="str">
            <v>99 Input/Byprodt/Scrap</v>
          </cell>
          <cell r="K5694" t="str">
            <v>10.2012</v>
          </cell>
          <cell r="L5694">
            <v>1</v>
          </cell>
          <cell r="M5694" t="str">
            <v>EA</v>
          </cell>
          <cell r="N5694">
            <v>3300</v>
          </cell>
          <cell r="O5694" t="str">
            <v>INR</v>
          </cell>
        </row>
        <row r="5695">
          <cell r="A5695" t="str">
            <v>L003 Ankleshwar</v>
          </cell>
          <cell r="B5695">
            <v>693605</v>
          </cell>
          <cell r="C5695" t="str">
            <v>SOLID TEFLON GASKET 5MM THICK 8"</v>
          </cell>
          <cell r="D5695" t="str">
            <v>L0030151                       EnggStore</v>
          </cell>
          <cell r="E5695" t="str">
            <v>E01 E01</v>
          </cell>
          <cell r="F5695" t="str">
            <v>ND No planning</v>
          </cell>
          <cell r="G5695" t="str">
            <v>ERSA Spare parts</v>
          </cell>
          <cell r="H5695" t="str">
            <v>EN024     EnggConsumables</v>
          </cell>
          <cell r="I5695" t="str">
            <v>L003 Ankleshwar</v>
          </cell>
          <cell r="J5695" t="str">
            <v>99 Input/Byprodt/Scrap</v>
          </cell>
          <cell r="K5695" t="str">
            <v>10.2012</v>
          </cell>
          <cell r="L5695">
            <v>2</v>
          </cell>
          <cell r="M5695" t="str">
            <v>EA</v>
          </cell>
          <cell r="N5695">
            <v>161.19999999999899</v>
          </cell>
          <cell r="O5695" t="str">
            <v>INR</v>
          </cell>
        </row>
        <row r="5696">
          <cell r="A5696" t="str">
            <v>L003 Ankleshwar</v>
          </cell>
          <cell r="B5696">
            <v>693636</v>
          </cell>
          <cell r="C5696" t="str">
            <v>FOOD GRADE GASKET 1"</v>
          </cell>
          <cell r="D5696" t="str">
            <v>L0030151                       EnggStore</v>
          </cell>
          <cell r="E5696" t="str">
            <v>E01 E01</v>
          </cell>
          <cell r="F5696" t="str">
            <v>VB Manual reorder point planning</v>
          </cell>
          <cell r="G5696" t="str">
            <v>ERSA Spare parts</v>
          </cell>
          <cell r="H5696" t="str">
            <v>EN022     Hardwareitems</v>
          </cell>
          <cell r="I5696" t="str">
            <v>L003 Ankleshwar</v>
          </cell>
          <cell r="J5696" t="str">
            <v>99 Input/Byprodt/Scrap</v>
          </cell>
          <cell r="K5696" t="str">
            <v>10.2012</v>
          </cell>
          <cell r="L5696">
            <v>10</v>
          </cell>
          <cell r="M5696" t="str">
            <v>EA</v>
          </cell>
          <cell r="N5696">
            <v>400</v>
          </cell>
          <cell r="O5696" t="str">
            <v>INR</v>
          </cell>
        </row>
        <row r="5697">
          <cell r="A5697" t="str">
            <v>L003 Ankleshwar</v>
          </cell>
          <cell r="B5697">
            <v>693637</v>
          </cell>
          <cell r="C5697" t="str">
            <v>FOOD GRADE GASKET 1-1/2"</v>
          </cell>
          <cell r="D5697" t="str">
            <v>L0030151                       EnggStore</v>
          </cell>
          <cell r="E5697" t="str">
            <v>E01 E01</v>
          </cell>
          <cell r="F5697" t="str">
            <v>VB Manual reorder point planning</v>
          </cell>
          <cell r="G5697" t="str">
            <v>ERSA Spare parts</v>
          </cell>
          <cell r="H5697" t="str">
            <v>EN022     Hardwareitems</v>
          </cell>
          <cell r="I5697" t="str">
            <v>L003 Ankleshwar</v>
          </cell>
          <cell r="J5697" t="str">
            <v>99 Input/Byprodt/Scrap</v>
          </cell>
          <cell r="K5697" t="str">
            <v>10.2012</v>
          </cell>
          <cell r="L5697">
            <v>110</v>
          </cell>
          <cell r="M5697" t="str">
            <v>EA</v>
          </cell>
          <cell r="N5697">
            <v>280</v>
          </cell>
          <cell r="O5697" t="str">
            <v>INR</v>
          </cell>
        </row>
        <row r="5698">
          <cell r="A5698" t="str">
            <v>L003 Ankleshwar</v>
          </cell>
          <cell r="B5698">
            <v>693638</v>
          </cell>
          <cell r="C5698" t="str">
            <v>FOOD GRADE GASKET 2"</v>
          </cell>
          <cell r="D5698" t="str">
            <v>L0030151                       EnggStore</v>
          </cell>
          <cell r="E5698" t="str">
            <v>E01 E01</v>
          </cell>
          <cell r="F5698" t="str">
            <v>VB Manual reorder point planning</v>
          </cell>
          <cell r="G5698" t="str">
            <v>ERSA Spare parts</v>
          </cell>
          <cell r="H5698" t="str">
            <v>EN022     Hardwareitems</v>
          </cell>
          <cell r="I5698" t="str">
            <v>L003 Ankleshwar</v>
          </cell>
          <cell r="J5698" t="str">
            <v>99 Input/Byprodt/Scrap</v>
          </cell>
          <cell r="K5698" t="str">
            <v>10.2012</v>
          </cell>
          <cell r="L5698">
            <v>31</v>
          </cell>
          <cell r="M5698" t="str">
            <v>EA</v>
          </cell>
          <cell r="N5698">
            <v>430</v>
          </cell>
          <cell r="O5698" t="str">
            <v>INR</v>
          </cell>
        </row>
        <row r="5699">
          <cell r="A5699" t="str">
            <v>L003 Ankleshwar</v>
          </cell>
          <cell r="B5699">
            <v>693639</v>
          </cell>
          <cell r="C5699" t="str">
            <v>FOOD GRADE GASKET 3"</v>
          </cell>
          <cell r="D5699" t="str">
            <v>L0030151                       EnggStore</v>
          </cell>
          <cell r="E5699" t="str">
            <v>E01 E01</v>
          </cell>
          <cell r="F5699" t="str">
            <v>VB Manual reorder point planning</v>
          </cell>
          <cell r="G5699" t="str">
            <v>ERSA Spare parts</v>
          </cell>
          <cell r="H5699" t="str">
            <v>EN022     Hardwareitems</v>
          </cell>
          <cell r="I5699" t="str">
            <v>L003 Ankleshwar</v>
          </cell>
          <cell r="J5699" t="str">
            <v>99 Input/Byprodt/Scrap</v>
          </cell>
          <cell r="K5699" t="str">
            <v>10.2012</v>
          </cell>
          <cell r="L5699">
            <v>16</v>
          </cell>
          <cell r="M5699" t="str">
            <v>EA</v>
          </cell>
          <cell r="N5699">
            <v>650</v>
          </cell>
          <cell r="O5699" t="str">
            <v>INR</v>
          </cell>
        </row>
        <row r="5700">
          <cell r="A5700" t="str">
            <v>L003 Ankleshwar</v>
          </cell>
          <cell r="B5700">
            <v>693640</v>
          </cell>
          <cell r="C5700" t="str">
            <v>FOOD GRADE GASKET 4"</v>
          </cell>
          <cell r="D5700" t="str">
            <v>L0030151                       EnggStore</v>
          </cell>
          <cell r="E5700" t="str">
            <v>E01 E01</v>
          </cell>
          <cell r="F5700" t="str">
            <v>VB Manual reorder point planning</v>
          </cell>
          <cell r="G5700" t="str">
            <v>ERSA Spare parts</v>
          </cell>
          <cell r="H5700" t="str">
            <v>EN022     Hardwareitems</v>
          </cell>
          <cell r="I5700" t="str">
            <v>L003 Ankleshwar</v>
          </cell>
          <cell r="J5700" t="str">
            <v>99 Input/Byprodt/Scrap</v>
          </cell>
          <cell r="K5700" t="str">
            <v>10.2012</v>
          </cell>
          <cell r="L5700">
            <v>10</v>
          </cell>
          <cell r="M5700" t="str">
            <v>EA</v>
          </cell>
          <cell r="N5700">
            <v>850</v>
          </cell>
          <cell r="O5700" t="str">
            <v>INR</v>
          </cell>
        </row>
        <row r="5701">
          <cell r="A5701" t="str">
            <v>L003 Ankleshwar</v>
          </cell>
          <cell r="B5701">
            <v>693641</v>
          </cell>
          <cell r="C5701" t="str">
            <v>FOOD GRADE GASKET 6"</v>
          </cell>
          <cell r="D5701" t="str">
            <v>L0030151                       EnggStore</v>
          </cell>
          <cell r="E5701" t="str">
            <v>E01 E01</v>
          </cell>
          <cell r="F5701" t="str">
            <v>VB Manual reorder point planning</v>
          </cell>
          <cell r="G5701" t="str">
            <v>ERSA Spare parts</v>
          </cell>
          <cell r="H5701" t="str">
            <v>EN022     Hardwareitems</v>
          </cell>
          <cell r="I5701" t="str">
            <v>L003 Ankleshwar</v>
          </cell>
          <cell r="J5701" t="str">
            <v>99 Input/Byprodt/Scrap</v>
          </cell>
          <cell r="K5701" t="str">
            <v>10.2012</v>
          </cell>
          <cell r="L5701">
            <v>13</v>
          </cell>
          <cell r="M5701" t="str">
            <v>EA</v>
          </cell>
          <cell r="N5701">
            <v>1150</v>
          </cell>
          <cell r="O5701" t="str">
            <v>INR</v>
          </cell>
        </row>
        <row r="5702">
          <cell r="A5702" t="str">
            <v>L003 Ankleshwar</v>
          </cell>
          <cell r="B5702">
            <v>693689</v>
          </cell>
          <cell r="C5702" t="str">
            <v>MAIN BOTTOM PULLY FOR OMPL, VTM1200 CF</v>
          </cell>
          <cell r="D5702" t="str">
            <v>L0030151                       EnggStore</v>
          </cell>
          <cell r="E5702" t="str">
            <v>E01 E01</v>
          </cell>
          <cell r="F5702" t="str">
            <v>ND No planning</v>
          </cell>
          <cell r="G5702" t="str">
            <v>ERSA Spare parts</v>
          </cell>
          <cell r="H5702" t="str">
            <v>EN039     PlantEquipmentSpares</v>
          </cell>
          <cell r="I5702" t="str">
            <v>L003 Ankleshwar</v>
          </cell>
          <cell r="J5702" t="str">
            <v>99 Input/Byprodt/Scrap</v>
          </cell>
          <cell r="K5702" t="str">
            <v>10.2012</v>
          </cell>
          <cell r="L5702">
            <v>1</v>
          </cell>
          <cell r="M5702" t="str">
            <v>EA</v>
          </cell>
          <cell r="N5702">
            <v>16500</v>
          </cell>
          <cell r="O5702" t="str">
            <v>INR</v>
          </cell>
        </row>
        <row r="5703">
          <cell r="A5703" t="str">
            <v>L003 Ankleshwar</v>
          </cell>
          <cell r="B5703">
            <v>693707</v>
          </cell>
          <cell r="C5703" t="str">
            <v>CHAIN SPROCKET DUPLEX 5",20MM PITCH,20T</v>
          </cell>
          <cell r="D5703" t="str">
            <v>L0030151                       EnggStore</v>
          </cell>
          <cell r="E5703" t="str">
            <v>E01 E01</v>
          </cell>
          <cell r="F5703" t="str">
            <v>ND No planning</v>
          </cell>
          <cell r="G5703" t="str">
            <v>ERSA Spare parts</v>
          </cell>
          <cell r="H5703" t="str">
            <v>EN039     PlantEquipmentSpares</v>
          </cell>
          <cell r="I5703" t="str">
            <v>L003 Ankleshwar</v>
          </cell>
          <cell r="J5703" t="str">
            <v>99 Input/Byprodt/Scrap</v>
          </cell>
          <cell r="K5703" t="str">
            <v>10.2012</v>
          </cell>
          <cell r="L5703">
            <v>1</v>
          </cell>
          <cell r="M5703" t="str">
            <v>EA</v>
          </cell>
          <cell r="N5703">
            <v>360</v>
          </cell>
          <cell r="O5703" t="str">
            <v>INR</v>
          </cell>
        </row>
        <row r="5704">
          <cell r="A5704" t="str">
            <v>L003 Ankleshwar</v>
          </cell>
          <cell r="B5704">
            <v>693781</v>
          </cell>
          <cell r="C5704" t="str">
            <v>BEARING RING:PUMP:CRN-3-7</v>
          </cell>
          <cell r="D5704" t="str">
            <v>L0030151                       EnggStore</v>
          </cell>
          <cell r="E5704">
            <v>0</v>
          </cell>
          <cell r="F5704" t="str">
            <v>ND No planning</v>
          </cell>
          <cell r="G5704" t="str">
            <v>ERSA Spare parts</v>
          </cell>
          <cell r="H5704" t="str">
            <v>EN032     Pumpspares</v>
          </cell>
          <cell r="I5704" t="str">
            <v>L003 Ankleshwar</v>
          </cell>
          <cell r="J5704" t="str">
            <v>99 Input/Byprodt/Scrap</v>
          </cell>
          <cell r="K5704" t="str">
            <v>10.2012</v>
          </cell>
          <cell r="L5704">
            <v>2</v>
          </cell>
          <cell r="M5704" t="str">
            <v>EA</v>
          </cell>
          <cell r="N5704">
            <v>1068</v>
          </cell>
          <cell r="O5704" t="str">
            <v>INR</v>
          </cell>
        </row>
        <row r="5705">
          <cell r="A5705" t="str">
            <v>L003 Ankleshwar</v>
          </cell>
          <cell r="B5705">
            <v>693862</v>
          </cell>
          <cell r="C5705" t="str">
            <v>1/4" BRASS MALE TEE WITH FERRULE &amp; NUT</v>
          </cell>
          <cell r="D5705" t="str">
            <v>L0030151                       EnggStore</v>
          </cell>
          <cell r="E5705">
            <v>0</v>
          </cell>
          <cell r="F5705" t="str">
            <v>ND No planning</v>
          </cell>
          <cell r="G5705" t="str">
            <v>ERSA Spare parts</v>
          </cell>
          <cell r="H5705" t="str">
            <v>EN017     InstrumentSpares</v>
          </cell>
          <cell r="I5705" t="str">
            <v>L003 Ankleshwar</v>
          </cell>
          <cell r="J5705" t="str">
            <v>99 Input/Byprodt/Scrap</v>
          </cell>
          <cell r="K5705" t="str">
            <v>10.2012</v>
          </cell>
          <cell r="L5705">
            <v>10</v>
          </cell>
          <cell r="M5705" t="str">
            <v>EA</v>
          </cell>
          <cell r="N5705">
            <v>442.61</v>
          </cell>
          <cell r="O5705" t="str">
            <v>INR</v>
          </cell>
        </row>
        <row r="5706">
          <cell r="A5706" t="str">
            <v>L003 Ankleshwar</v>
          </cell>
          <cell r="B5706">
            <v>693863</v>
          </cell>
          <cell r="C5706" t="str">
            <v>1/4" BRASS MALE ELBOW</v>
          </cell>
          <cell r="D5706" t="str">
            <v>L0030151                       EnggStore</v>
          </cell>
          <cell r="E5706">
            <v>0</v>
          </cell>
          <cell r="F5706" t="str">
            <v>ND No planning</v>
          </cell>
          <cell r="G5706" t="str">
            <v>ERSA Spare parts</v>
          </cell>
          <cell r="H5706" t="str">
            <v>EN017     InstrumentSpares</v>
          </cell>
          <cell r="I5706" t="str">
            <v>L003 Ankleshwar</v>
          </cell>
          <cell r="J5706" t="str">
            <v>99 Input/Byprodt/Scrap</v>
          </cell>
          <cell r="K5706" t="str">
            <v>10.2012</v>
          </cell>
          <cell r="L5706">
            <v>8</v>
          </cell>
          <cell r="M5706" t="str">
            <v>EA</v>
          </cell>
          <cell r="N5706">
            <v>273.12</v>
          </cell>
          <cell r="O5706" t="str">
            <v>INR</v>
          </cell>
        </row>
        <row r="5707">
          <cell r="A5707" t="str">
            <v>L003 Ankleshwar</v>
          </cell>
          <cell r="B5707">
            <v>694063</v>
          </cell>
          <cell r="C5707" t="str">
            <v>AL.BLOWER160MMDIA.X470MM L AIR CURTAIN</v>
          </cell>
          <cell r="D5707" t="str">
            <v>L0030151                       EnggStore</v>
          </cell>
          <cell r="E5707" t="str">
            <v>E01 E01</v>
          </cell>
          <cell r="F5707" t="str">
            <v>VB Manual reorder point planning</v>
          </cell>
          <cell r="G5707" t="str">
            <v>ERSA Spare parts</v>
          </cell>
          <cell r="H5707" t="str">
            <v>EN032     Pumpspares</v>
          </cell>
          <cell r="I5707" t="str">
            <v>L003 Ankleshwar</v>
          </cell>
          <cell r="J5707" t="str">
            <v>99 Input/Byprodt/Scrap</v>
          </cell>
          <cell r="K5707" t="str">
            <v>10.2012</v>
          </cell>
          <cell r="L5707">
            <v>1</v>
          </cell>
          <cell r="M5707" t="str">
            <v>SET</v>
          </cell>
          <cell r="N5707">
            <v>7140</v>
          </cell>
          <cell r="O5707" t="str">
            <v>INR</v>
          </cell>
        </row>
        <row r="5708">
          <cell r="A5708" t="str">
            <v>L003 Ankleshwar</v>
          </cell>
          <cell r="B5708">
            <v>694103</v>
          </cell>
          <cell r="C5708" t="str">
            <v>PCB FOR AC M/C</v>
          </cell>
          <cell r="D5708" t="str">
            <v>L0030151                       EnggStore</v>
          </cell>
          <cell r="E5708">
            <v>0</v>
          </cell>
          <cell r="F5708" t="str">
            <v>ND No planning</v>
          </cell>
          <cell r="G5708" t="str">
            <v>ERSA Spare parts</v>
          </cell>
          <cell r="H5708" t="str">
            <v>EN037     Refrigeration&amp;A/Cspa</v>
          </cell>
          <cell r="I5708" t="str">
            <v>L003 Ankleshwar</v>
          </cell>
          <cell r="J5708" t="str">
            <v>99 Input/Byprodt/Scrap</v>
          </cell>
          <cell r="K5708" t="str">
            <v>10.2012</v>
          </cell>
          <cell r="L5708">
            <v>1</v>
          </cell>
          <cell r="M5708" t="str">
            <v>EA</v>
          </cell>
          <cell r="N5708">
            <v>2575.9</v>
          </cell>
          <cell r="O5708" t="str">
            <v>INR</v>
          </cell>
        </row>
        <row r="5709">
          <cell r="A5709" t="str">
            <v>L003 Ankleshwar</v>
          </cell>
          <cell r="B5709">
            <v>694121</v>
          </cell>
          <cell r="C5709" t="str">
            <v>MAGNEHELIC GAUGE 0 TO 25MMWC</v>
          </cell>
          <cell r="D5709" t="str">
            <v>L0030151                       EnggStore</v>
          </cell>
          <cell r="E5709">
            <v>0</v>
          </cell>
          <cell r="F5709" t="str">
            <v>ND No planning</v>
          </cell>
          <cell r="G5709" t="str">
            <v>ERSA Spare parts</v>
          </cell>
          <cell r="H5709" t="str">
            <v>EN027     Prod&amp;OtherConsumable</v>
          </cell>
          <cell r="I5709" t="str">
            <v>L003 Ankleshwar</v>
          </cell>
          <cell r="J5709" t="str">
            <v>99 Input/Byprodt/Scrap</v>
          </cell>
          <cell r="K5709" t="str">
            <v>10.2012</v>
          </cell>
          <cell r="L5709">
            <v>2</v>
          </cell>
          <cell r="M5709" t="str">
            <v>NO</v>
          </cell>
          <cell r="N5709">
            <v>8000</v>
          </cell>
          <cell r="O5709" t="str">
            <v>INR</v>
          </cell>
        </row>
        <row r="5710">
          <cell r="A5710" t="str">
            <v>L003 Ankleshwar</v>
          </cell>
          <cell r="B5710">
            <v>694228</v>
          </cell>
          <cell r="C5710" t="str">
            <v>BEARING HOUSING FOR PUMP,DE</v>
          </cell>
          <cell r="D5710" t="str">
            <v>L0030151                       EnggStore</v>
          </cell>
          <cell r="E5710" t="str">
            <v>E34 E34</v>
          </cell>
          <cell r="F5710" t="str">
            <v>VB Manual reorder point planning</v>
          </cell>
          <cell r="G5710" t="str">
            <v>ERSA Spare parts</v>
          </cell>
          <cell r="H5710" t="str">
            <v>EN032     Pumpspares</v>
          </cell>
          <cell r="I5710" t="str">
            <v>L003 Ankleshwar</v>
          </cell>
          <cell r="J5710" t="str">
            <v>99 Input/Byprodt/Scrap</v>
          </cell>
          <cell r="K5710" t="str">
            <v>10.2012</v>
          </cell>
          <cell r="L5710">
            <v>1</v>
          </cell>
          <cell r="M5710" t="str">
            <v>EA</v>
          </cell>
          <cell r="N5710">
            <v>2452.5</v>
          </cell>
          <cell r="O5710" t="str">
            <v>INR</v>
          </cell>
        </row>
        <row r="5711">
          <cell r="A5711" t="str">
            <v>L003 Ankleshwar</v>
          </cell>
          <cell r="B5711">
            <v>694229</v>
          </cell>
          <cell r="C5711" t="str">
            <v>BEARING HOUSING FOR PUMP,NDE</v>
          </cell>
          <cell r="D5711" t="str">
            <v>L0030151                       EnggStore</v>
          </cell>
          <cell r="E5711" t="str">
            <v>E34 E34</v>
          </cell>
          <cell r="F5711" t="str">
            <v>VB Manual reorder point planning</v>
          </cell>
          <cell r="G5711" t="str">
            <v>ERSA Spare parts</v>
          </cell>
          <cell r="H5711" t="str">
            <v>EN032     Pumpspares</v>
          </cell>
          <cell r="I5711" t="str">
            <v>L003 Ankleshwar</v>
          </cell>
          <cell r="J5711" t="str">
            <v>99 Input/Byprodt/Scrap</v>
          </cell>
          <cell r="K5711" t="str">
            <v>10.2012</v>
          </cell>
          <cell r="L5711">
            <v>1</v>
          </cell>
          <cell r="M5711" t="str">
            <v>EA</v>
          </cell>
          <cell r="N5711">
            <v>2452.5</v>
          </cell>
          <cell r="O5711" t="str">
            <v>INR</v>
          </cell>
        </row>
        <row r="5712">
          <cell r="A5712" t="str">
            <v>L003 Ankleshwar</v>
          </cell>
          <cell r="B5712">
            <v>694230</v>
          </cell>
          <cell r="C5712" t="str">
            <v>ST.SEAT (MOC-SIC) P NO 4H</v>
          </cell>
          <cell r="D5712" t="str">
            <v>L0030151                       EnggStore</v>
          </cell>
          <cell r="E5712">
            <v>0</v>
          </cell>
          <cell r="F5712" t="str">
            <v>ND No planning</v>
          </cell>
          <cell r="G5712" t="str">
            <v>ERSA Spare parts</v>
          </cell>
          <cell r="H5712" t="str">
            <v>EN038     MechanicalSeals&amp;Spar</v>
          </cell>
          <cell r="I5712" t="str">
            <v>L003 Ankleshwar</v>
          </cell>
          <cell r="J5712" t="str">
            <v>99 Input/Byprodt/Scrap</v>
          </cell>
          <cell r="K5712" t="str">
            <v>10.2012</v>
          </cell>
          <cell r="L5712">
            <v>1</v>
          </cell>
          <cell r="M5712" t="str">
            <v>EA</v>
          </cell>
          <cell r="N5712">
            <v>5603.6599999999899</v>
          </cell>
          <cell r="O5712" t="str">
            <v>INR</v>
          </cell>
        </row>
        <row r="5713">
          <cell r="A5713" t="str">
            <v>L003 Ankleshwar</v>
          </cell>
          <cell r="B5713">
            <v>694231</v>
          </cell>
          <cell r="C5713" t="str">
            <v>O RING (MOC-VITON) P NO 6V</v>
          </cell>
          <cell r="D5713" t="str">
            <v>L0030151                       EnggStore</v>
          </cell>
          <cell r="E5713">
            <v>0</v>
          </cell>
          <cell r="F5713" t="str">
            <v>ND No planning</v>
          </cell>
          <cell r="G5713" t="str">
            <v>ERSA Spare parts</v>
          </cell>
          <cell r="H5713" t="str">
            <v>EN038     MechanicalSeals&amp;Spar</v>
          </cell>
          <cell r="I5713" t="str">
            <v>L003 Ankleshwar</v>
          </cell>
          <cell r="J5713" t="str">
            <v>99 Input/Byprodt/Scrap</v>
          </cell>
          <cell r="K5713" t="str">
            <v>10.2012</v>
          </cell>
          <cell r="L5713">
            <v>1</v>
          </cell>
          <cell r="M5713" t="str">
            <v>EA</v>
          </cell>
          <cell r="N5713">
            <v>464.16</v>
          </cell>
          <cell r="O5713" t="str">
            <v>INR</v>
          </cell>
        </row>
        <row r="5714">
          <cell r="A5714" t="str">
            <v>L003 Ankleshwar</v>
          </cell>
          <cell r="B5714">
            <v>694232</v>
          </cell>
          <cell r="C5714" t="str">
            <v>SEAL RING SHELL +  INSERT (MOC SS316+C)</v>
          </cell>
          <cell r="D5714" t="str">
            <v>L0030151                       EnggStore</v>
          </cell>
          <cell r="E5714">
            <v>0</v>
          </cell>
          <cell r="F5714" t="str">
            <v>ND No planning</v>
          </cell>
          <cell r="G5714" t="str">
            <v>ERSA Spare parts</v>
          </cell>
          <cell r="H5714" t="str">
            <v>EN038     MechanicalSeals&amp;Spar</v>
          </cell>
          <cell r="I5714" t="str">
            <v>L003 Ankleshwar</v>
          </cell>
          <cell r="J5714" t="str">
            <v>99 Input/Byprodt/Scrap</v>
          </cell>
          <cell r="K5714" t="str">
            <v>10.2012</v>
          </cell>
          <cell r="L5714">
            <v>1</v>
          </cell>
          <cell r="M5714" t="str">
            <v>EA</v>
          </cell>
          <cell r="N5714">
            <v>2797.6199999999899</v>
          </cell>
          <cell r="O5714" t="str">
            <v>INR</v>
          </cell>
        </row>
        <row r="5715">
          <cell r="A5715" t="str">
            <v>L003 Ankleshwar</v>
          </cell>
          <cell r="B5715">
            <v>694233</v>
          </cell>
          <cell r="C5715" t="str">
            <v>O RING (MOC-VITON) P NO 5Q</v>
          </cell>
          <cell r="D5715" t="str">
            <v>L0030151                       EnggStore</v>
          </cell>
          <cell r="E5715">
            <v>0</v>
          </cell>
          <cell r="F5715" t="str">
            <v>ND No planning</v>
          </cell>
          <cell r="G5715" t="str">
            <v>ERSA Spare parts</v>
          </cell>
          <cell r="H5715" t="str">
            <v>EN038     MechanicalSeals&amp;Spar</v>
          </cell>
          <cell r="I5715" t="str">
            <v>L003 Ankleshwar</v>
          </cell>
          <cell r="J5715" t="str">
            <v>99 Input/Byprodt/Scrap</v>
          </cell>
          <cell r="K5715" t="str">
            <v>10.2012</v>
          </cell>
          <cell r="L5715">
            <v>2</v>
          </cell>
          <cell r="M5715" t="str">
            <v>EA</v>
          </cell>
          <cell r="N5715">
            <v>742.64999999999895</v>
          </cell>
          <cell r="O5715" t="str">
            <v>INR</v>
          </cell>
        </row>
        <row r="5716">
          <cell r="A5716" t="str">
            <v>L003 Ankleshwar</v>
          </cell>
          <cell r="B5716">
            <v>694234</v>
          </cell>
          <cell r="C5716" t="str">
            <v>O RING (MOC-VITON) P NO 6W</v>
          </cell>
          <cell r="D5716" t="str">
            <v>L0030151                       EnggStore</v>
          </cell>
          <cell r="E5716">
            <v>0</v>
          </cell>
          <cell r="F5716" t="str">
            <v>ND No planning</v>
          </cell>
          <cell r="G5716" t="str">
            <v>ERSA Spare parts</v>
          </cell>
          <cell r="H5716" t="str">
            <v>EN038     MechanicalSeals&amp;Spar</v>
          </cell>
          <cell r="I5716" t="str">
            <v>L003 Ankleshwar</v>
          </cell>
          <cell r="J5716" t="str">
            <v>99 Input/Byprodt/Scrap</v>
          </cell>
          <cell r="K5716" t="str">
            <v>10.2012</v>
          </cell>
          <cell r="L5716">
            <v>2</v>
          </cell>
          <cell r="M5716" t="str">
            <v>EA</v>
          </cell>
          <cell r="N5716">
            <v>464.14999999999901</v>
          </cell>
          <cell r="O5716" t="str">
            <v>INR</v>
          </cell>
        </row>
        <row r="5717">
          <cell r="A5717" t="str">
            <v>L003 Ankleshwar</v>
          </cell>
          <cell r="B5717">
            <v>694235</v>
          </cell>
          <cell r="C5717" t="str">
            <v>O RING (MOC-VITON) P NO 6X</v>
          </cell>
          <cell r="D5717" t="str">
            <v>L0030151                       EnggStore</v>
          </cell>
          <cell r="E5717">
            <v>0</v>
          </cell>
          <cell r="F5717" t="str">
            <v>ND No planning</v>
          </cell>
          <cell r="G5717" t="str">
            <v>ERSA Spare parts</v>
          </cell>
          <cell r="H5717" t="str">
            <v>EN038     MechanicalSeals&amp;Spar</v>
          </cell>
          <cell r="I5717" t="str">
            <v>L003 Ankleshwar</v>
          </cell>
          <cell r="J5717" t="str">
            <v>99 Input/Byprodt/Scrap</v>
          </cell>
          <cell r="K5717" t="str">
            <v>10.2012</v>
          </cell>
          <cell r="L5717">
            <v>2</v>
          </cell>
          <cell r="M5717" t="str">
            <v>EA</v>
          </cell>
          <cell r="N5717">
            <v>1097.1099999999899</v>
          </cell>
          <cell r="O5717" t="str">
            <v>INR</v>
          </cell>
        </row>
        <row r="5718">
          <cell r="A5718" t="str">
            <v>L003 Ankleshwar</v>
          </cell>
          <cell r="B5718">
            <v>694236</v>
          </cell>
          <cell r="C5718" t="str">
            <v>CRUB SCREW (MOC-SS316) P NO 6Q</v>
          </cell>
          <cell r="D5718" t="str">
            <v>L0030151                       EnggStore</v>
          </cell>
          <cell r="E5718">
            <v>0</v>
          </cell>
          <cell r="F5718" t="str">
            <v>ND No planning</v>
          </cell>
          <cell r="G5718" t="str">
            <v>ERSA Spare parts</v>
          </cell>
          <cell r="H5718" t="str">
            <v>EN038     MechanicalSeals&amp;Spar</v>
          </cell>
          <cell r="I5718" t="str">
            <v>L003 Ankleshwar</v>
          </cell>
          <cell r="J5718" t="str">
            <v>99 Input/Byprodt/Scrap</v>
          </cell>
          <cell r="K5718" t="str">
            <v>10.2012</v>
          </cell>
          <cell r="L5718">
            <v>3</v>
          </cell>
          <cell r="M5718" t="str">
            <v>EA</v>
          </cell>
          <cell r="N5718">
            <v>164.55</v>
          </cell>
          <cell r="O5718" t="str">
            <v>INR</v>
          </cell>
        </row>
        <row r="5719">
          <cell r="A5719" t="str">
            <v>L003 Ankleshwar</v>
          </cell>
          <cell r="B5719">
            <v>694278</v>
          </cell>
          <cell r="C5719" t="str">
            <v>IMPELLER: PUMP: CRN-3-7</v>
          </cell>
          <cell r="D5719" t="str">
            <v>L0030151                       EnggStore</v>
          </cell>
          <cell r="E5719" t="str">
            <v>E34 E34</v>
          </cell>
          <cell r="F5719" t="str">
            <v>VB Manual reorder point planning</v>
          </cell>
          <cell r="G5719" t="str">
            <v>ERSA Spare parts</v>
          </cell>
          <cell r="H5719" t="str">
            <v>EN032     Pumpspares</v>
          </cell>
          <cell r="I5719" t="str">
            <v>L003 Ankleshwar</v>
          </cell>
          <cell r="J5719" t="str">
            <v>99 Input/Byprodt/Scrap</v>
          </cell>
          <cell r="K5719" t="str">
            <v>10.2012</v>
          </cell>
          <cell r="L5719">
            <v>2</v>
          </cell>
          <cell r="M5719" t="str">
            <v>EA</v>
          </cell>
          <cell r="N5719">
            <v>474</v>
          </cell>
          <cell r="O5719" t="str">
            <v>INR</v>
          </cell>
        </row>
        <row r="5720">
          <cell r="A5720" t="str">
            <v>L003 Ankleshwar</v>
          </cell>
          <cell r="B5720">
            <v>694279</v>
          </cell>
          <cell r="C5720" t="str">
            <v>CHAMBER WITH BEARING RING: PUMP: CRN-3-7</v>
          </cell>
          <cell r="D5720" t="str">
            <v>L0030151                       EnggStore</v>
          </cell>
          <cell r="E5720" t="str">
            <v>E34 E34</v>
          </cell>
          <cell r="F5720" t="str">
            <v>VB Manual reorder point planning</v>
          </cell>
          <cell r="G5720" t="str">
            <v>ERSA Spare parts</v>
          </cell>
          <cell r="H5720" t="str">
            <v>EN032     Pumpspares</v>
          </cell>
          <cell r="I5720" t="str">
            <v>L003 Ankleshwar</v>
          </cell>
          <cell r="J5720" t="str">
            <v>99 Input/Byprodt/Scrap</v>
          </cell>
          <cell r="K5720" t="str">
            <v>10.2012</v>
          </cell>
          <cell r="L5720">
            <v>1</v>
          </cell>
          <cell r="M5720" t="str">
            <v>EA</v>
          </cell>
          <cell r="N5720">
            <v>1226</v>
          </cell>
          <cell r="O5720" t="str">
            <v>INR</v>
          </cell>
        </row>
        <row r="5721">
          <cell r="A5721" t="str">
            <v>L003 Ankleshwar</v>
          </cell>
          <cell r="B5721">
            <v>694280</v>
          </cell>
          <cell r="C5721" t="str">
            <v>SHAFT SEAL HQQV: PUMP: CRN-3-7</v>
          </cell>
          <cell r="D5721" t="str">
            <v>L0030151                       EnggStore</v>
          </cell>
          <cell r="E5721" t="str">
            <v>E34 E34</v>
          </cell>
          <cell r="F5721" t="str">
            <v>VB Manual reorder point planning</v>
          </cell>
          <cell r="G5721" t="str">
            <v>ERSA Spare parts</v>
          </cell>
          <cell r="H5721" t="str">
            <v>EN032     Pumpspares</v>
          </cell>
          <cell r="I5721" t="str">
            <v>L003 Ankleshwar</v>
          </cell>
          <cell r="J5721" t="str">
            <v>99 Input/Byprodt/Scrap</v>
          </cell>
          <cell r="K5721" t="str">
            <v>10.2012</v>
          </cell>
          <cell r="L5721">
            <v>1</v>
          </cell>
          <cell r="M5721" t="str">
            <v>EA</v>
          </cell>
          <cell r="N5721">
            <v>5802</v>
          </cell>
          <cell r="O5721" t="str">
            <v>INR</v>
          </cell>
        </row>
        <row r="5722">
          <cell r="A5722" t="str">
            <v>L003 Ankleshwar</v>
          </cell>
          <cell r="B5722">
            <v>694311</v>
          </cell>
          <cell r="C5722" t="str">
            <v>COMPOUND GAUGE 4" DIAL : -1 TO 4KG/CM2</v>
          </cell>
          <cell r="D5722" t="str">
            <v>L0030151                       EnggStore</v>
          </cell>
          <cell r="E5722" t="str">
            <v>E37 E37</v>
          </cell>
          <cell r="F5722" t="str">
            <v>VB Manual reorder point planning</v>
          </cell>
          <cell r="G5722" t="str">
            <v>ERSA Spare parts</v>
          </cell>
          <cell r="H5722" t="str">
            <v>EN017     InstrumentSpares</v>
          </cell>
          <cell r="I5722" t="str">
            <v>L003 Ankleshwar</v>
          </cell>
          <cell r="J5722" t="str">
            <v>99 Input/Byprodt/Scrap</v>
          </cell>
          <cell r="K5722" t="str">
            <v>10.2012</v>
          </cell>
          <cell r="L5722">
            <v>1</v>
          </cell>
          <cell r="M5722" t="str">
            <v>EA</v>
          </cell>
          <cell r="N5722">
            <v>1048.67</v>
          </cell>
          <cell r="O5722" t="str">
            <v>INR</v>
          </cell>
        </row>
        <row r="5723">
          <cell r="A5723" t="str">
            <v>L003 Ankleshwar</v>
          </cell>
          <cell r="B5723">
            <v>694361</v>
          </cell>
          <cell r="C5723" t="str">
            <v>CHAMBER COMPLETE: PUMP: CRN-3-7</v>
          </cell>
          <cell r="D5723" t="str">
            <v>L0030151                       EnggStore</v>
          </cell>
          <cell r="E5723" t="str">
            <v>E34 E34</v>
          </cell>
          <cell r="F5723" t="str">
            <v>VB Manual reorder point planning</v>
          </cell>
          <cell r="G5723" t="str">
            <v>ERSA Spare parts</v>
          </cell>
          <cell r="H5723" t="str">
            <v>EN032     Pumpspares</v>
          </cell>
          <cell r="I5723" t="str">
            <v>L003 Ankleshwar</v>
          </cell>
          <cell r="J5723" t="str">
            <v>99 Input/Byprodt/Scrap</v>
          </cell>
          <cell r="K5723" t="str">
            <v>10.2012</v>
          </cell>
          <cell r="L5723">
            <v>2</v>
          </cell>
          <cell r="M5723" t="str">
            <v>EA</v>
          </cell>
          <cell r="N5723">
            <v>1774</v>
          </cell>
          <cell r="O5723" t="str">
            <v>INR</v>
          </cell>
        </row>
        <row r="5724">
          <cell r="A5724" t="str">
            <v>L003 Ankleshwar</v>
          </cell>
          <cell r="B5724">
            <v>694362</v>
          </cell>
          <cell r="C5724" t="str">
            <v>CHAMBER BOTTOM: PUMP: CRN-3-7</v>
          </cell>
          <cell r="D5724" t="str">
            <v>L0030151                       EnggStore</v>
          </cell>
          <cell r="E5724" t="str">
            <v>E34 E34</v>
          </cell>
          <cell r="F5724" t="str">
            <v>VB Manual reorder point planning</v>
          </cell>
          <cell r="G5724" t="str">
            <v>ERSA Spare parts</v>
          </cell>
          <cell r="H5724" t="str">
            <v>EN032     Pumpspares</v>
          </cell>
          <cell r="I5724" t="str">
            <v>L003 Ankleshwar</v>
          </cell>
          <cell r="J5724" t="str">
            <v>99 Input/Byprodt/Scrap</v>
          </cell>
          <cell r="K5724" t="str">
            <v>10.2012</v>
          </cell>
          <cell r="L5724">
            <v>1</v>
          </cell>
          <cell r="M5724" t="str">
            <v>EA</v>
          </cell>
          <cell r="N5724">
            <v>599</v>
          </cell>
          <cell r="O5724" t="str">
            <v>INR</v>
          </cell>
        </row>
        <row r="5725">
          <cell r="A5725" t="str">
            <v>L003 Ankleshwar</v>
          </cell>
          <cell r="B5725">
            <v>694363</v>
          </cell>
          <cell r="C5725" t="str">
            <v>PUMP SHAFT: PUMP: CRN-3-7</v>
          </cell>
          <cell r="D5725" t="str">
            <v>L0030151                       EnggStore</v>
          </cell>
          <cell r="E5725" t="str">
            <v>E34 E34</v>
          </cell>
          <cell r="F5725" t="str">
            <v>VB Manual reorder point planning</v>
          </cell>
          <cell r="G5725" t="str">
            <v>ERSA Spare parts</v>
          </cell>
          <cell r="H5725" t="str">
            <v>EN032     Pumpspares</v>
          </cell>
          <cell r="I5725" t="str">
            <v>L003 Ankleshwar</v>
          </cell>
          <cell r="J5725" t="str">
            <v>99 Input/Byprodt/Scrap</v>
          </cell>
          <cell r="K5725" t="str">
            <v>10.2012</v>
          </cell>
          <cell r="L5725">
            <v>1</v>
          </cell>
          <cell r="M5725" t="str">
            <v>EA</v>
          </cell>
          <cell r="N5725">
            <v>1801</v>
          </cell>
          <cell r="O5725" t="str">
            <v>INR</v>
          </cell>
        </row>
        <row r="5726">
          <cell r="A5726" t="str">
            <v>L003 Ankleshwar</v>
          </cell>
          <cell r="B5726">
            <v>694417</v>
          </cell>
          <cell r="C5726" t="str">
            <v>CAPACITOR 45 + 6 MFD, 400/440 VAC</v>
          </cell>
          <cell r="D5726" t="str">
            <v>L0030151                       EnggStore</v>
          </cell>
          <cell r="E5726">
            <v>0</v>
          </cell>
          <cell r="F5726" t="str">
            <v>ND No planning</v>
          </cell>
          <cell r="G5726" t="str">
            <v>ERSA Spare parts</v>
          </cell>
          <cell r="H5726" t="str">
            <v>EN037     Refrigeration&amp;A/Cspa</v>
          </cell>
          <cell r="I5726" t="str">
            <v>L003 Ankleshwar</v>
          </cell>
          <cell r="J5726" t="str">
            <v>99 Input/Byprodt/Scrap</v>
          </cell>
          <cell r="K5726" t="str">
            <v>10.2012</v>
          </cell>
          <cell r="L5726">
            <v>1</v>
          </cell>
          <cell r="M5726" t="str">
            <v>EA</v>
          </cell>
          <cell r="N5726">
            <v>427.5</v>
          </cell>
          <cell r="O5726" t="str">
            <v>INR</v>
          </cell>
        </row>
        <row r="5727">
          <cell r="A5727" t="str">
            <v>L003 Ankleshwar</v>
          </cell>
          <cell r="B5727">
            <v>694420</v>
          </cell>
          <cell r="C5727" t="str">
            <v>MOTOR FLP- 4P- FT:RATING 11KW / 15HP</v>
          </cell>
          <cell r="D5727" t="str">
            <v>L0030151                       EnggStore</v>
          </cell>
          <cell r="E5727">
            <v>0</v>
          </cell>
          <cell r="F5727" t="str">
            <v>ND No planning</v>
          </cell>
          <cell r="G5727" t="str">
            <v>ERSA Spare parts</v>
          </cell>
          <cell r="H5727" t="str">
            <v>EN007     Elec Motors &amp; Spares</v>
          </cell>
          <cell r="I5727" t="str">
            <v>L003 Ankleshwar</v>
          </cell>
          <cell r="J5727" t="str">
            <v>99 Input/Byprodt/Scrap</v>
          </cell>
          <cell r="K5727" t="str">
            <v>10.2012</v>
          </cell>
          <cell r="L5727">
            <v>1</v>
          </cell>
          <cell r="M5727" t="str">
            <v>EA</v>
          </cell>
          <cell r="N5727">
            <v>41546.699999999903</v>
          </cell>
          <cell r="O5727" t="str">
            <v>INR</v>
          </cell>
        </row>
        <row r="5728">
          <cell r="A5728" t="str">
            <v>L003 Ankleshwar</v>
          </cell>
          <cell r="B5728">
            <v>694572</v>
          </cell>
          <cell r="C5728" t="str">
            <v>HDPE END CAP 160MM OD</v>
          </cell>
          <cell r="D5728" t="str">
            <v>L0030151                       EnggStore</v>
          </cell>
          <cell r="E5728">
            <v>0</v>
          </cell>
          <cell r="F5728" t="str">
            <v>ND No planning</v>
          </cell>
          <cell r="G5728" t="str">
            <v>ERSA Spare parts</v>
          </cell>
          <cell r="H5728" t="str">
            <v>EN028     Pipes&amp;pipefittings</v>
          </cell>
          <cell r="I5728" t="str">
            <v>L003 Ankleshwar</v>
          </cell>
          <cell r="J5728" t="str">
            <v>99 Input/Byprodt/Scrap</v>
          </cell>
          <cell r="K5728" t="str">
            <v>10.2012</v>
          </cell>
          <cell r="L5728">
            <v>4</v>
          </cell>
          <cell r="M5728" t="str">
            <v>EA</v>
          </cell>
          <cell r="N5728">
            <v>272.5</v>
          </cell>
          <cell r="O5728" t="str">
            <v>INR</v>
          </cell>
        </row>
        <row r="5729">
          <cell r="A5729" t="str">
            <v>L003 Ankleshwar</v>
          </cell>
          <cell r="B5729">
            <v>694633</v>
          </cell>
          <cell r="C5729" t="str">
            <v>AIR NON WOVEN FILTER 5 MICRON: 150 HT</v>
          </cell>
          <cell r="D5729" t="str">
            <v>L0030151                       EnggStore</v>
          </cell>
          <cell r="E5729">
            <v>0</v>
          </cell>
          <cell r="F5729" t="str">
            <v>ND No planning</v>
          </cell>
          <cell r="G5729" t="str">
            <v>ERSA Spare parts</v>
          </cell>
          <cell r="H5729" t="str">
            <v>EN001     Filters Spares</v>
          </cell>
          <cell r="I5729" t="str">
            <v>L003 Ankleshwar</v>
          </cell>
          <cell r="J5729" t="str">
            <v>99 Input/Byprodt/Scrap</v>
          </cell>
          <cell r="K5729" t="str">
            <v>10.2012</v>
          </cell>
          <cell r="L5729">
            <v>1</v>
          </cell>
          <cell r="M5729" t="str">
            <v>EA</v>
          </cell>
          <cell r="N5729">
            <v>3211</v>
          </cell>
          <cell r="O5729" t="str">
            <v>INR</v>
          </cell>
        </row>
        <row r="5730">
          <cell r="A5730" t="str">
            <v>L003 Ankleshwar</v>
          </cell>
          <cell r="B5730">
            <v>694655</v>
          </cell>
          <cell r="C5730" t="str">
            <v>BLOWER PIPE(FLAXIBLE) P.T.NO: ET00BP</v>
          </cell>
          <cell r="D5730" t="str">
            <v>L0030151                       EnggStore</v>
          </cell>
          <cell r="E5730">
            <v>0</v>
          </cell>
          <cell r="F5730" t="str">
            <v>ND No planning</v>
          </cell>
          <cell r="G5730" t="str">
            <v>ERSA Spare parts</v>
          </cell>
          <cell r="H5730" t="str">
            <v>EN039     PlantEquipmentSpares</v>
          </cell>
          <cell r="I5730" t="str">
            <v>L003 Ankleshwar</v>
          </cell>
          <cell r="J5730" t="str">
            <v>99 Input/Byprodt/Scrap</v>
          </cell>
          <cell r="K5730" t="str">
            <v>10.2012</v>
          </cell>
          <cell r="L5730">
            <v>2</v>
          </cell>
          <cell r="M5730" t="str">
            <v>EA</v>
          </cell>
          <cell r="N5730">
            <v>11900</v>
          </cell>
          <cell r="O5730" t="str">
            <v>INR</v>
          </cell>
        </row>
        <row r="5731">
          <cell r="A5731" t="str">
            <v>L003 Ankleshwar</v>
          </cell>
          <cell r="B5731">
            <v>694717</v>
          </cell>
          <cell r="C5731" t="str">
            <v>0.5KL ANF PISTON SEAL - DAS(63X47)</v>
          </cell>
          <cell r="D5731" t="str">
            <v>L0030151                       EnggStore</v>
          </cell>
          <cell r="E5731">
            <v>0</v>
          </cell>
          <cell r="F5731" t="str">
            <v>ND No planning</v>
          </cell>
          <cell r="G5731" t="str">
            <v>ERSA Spare parts</v>
          </cell>
          <cell r="H5731" t="str">
            <v>EN039     PlantEquipmentSpares</v>
          </cell>
          <cell r="I5731" t="str">
            <v>L003 Ankleshwar</v>
          </cell>
          <cell r="J5731" t="str">
            <v>99 Input/Byprodt/Scrap</v>
          </cell>
          <cell r="K5731" t="str">
            <v>10.2012</v>
          </cell>
          <cell r="L5731">
            <v>2</v>
          </cell>
          <cell r="M5731" t="str">
            <v>EA</v>
          </cell>
          <cell r="N5731">
            <v>2900</v>
          </cell>
          <cell r="O5731" t="str">
            <v>INR</v>
          </cell>
        </row>
        <row r="5732">
          <cell r="A5732" t="str">
            <v>L003 Ankleshwar</v>
          </cell>
          <cell r="B5732">
            <v>694718</v>
          </cell>
          <cell r="C5732" t="str">
            <v>0.5KL ANF ROD SEAL - RU 35(35X45X7)</v>
          </cell>
          <cell r="D5732" t="str">
            <v>L0030151                       EnggStore</v>
          </cell>
          <cell r="E5732">
            <v>0</v>
          </cell>
          <cell r="F5732" t="str">
            <v>ND No planning</v>
          </cell>
          <cell r="G5732" t="str">
            <v>ERSA Spare parts</v>
          </cell>
          <cell r="H5732" t="str">
            <v>EN039     PlantEquipmentSpares</v>
          </cell>
          <cell r="I5732" t="str">
            <v>L003 Ankleshwar</v>
          </cell>
          <cell r="J5732" t="str">
            <v>99 Input/Byprodt/Scrap</v>
          </cell>
          <cell r="K5732" t="str">
            <v>10.2012</v>
          </cell>
          <cell r="L5732">
            <v>2</v>
          </cell>
          <cell r="M5732" t="str">
            <v>EA</v>
          </cell>
          <cell r="N5732">
            <v>1970</v>
          </cell>
          <cell r="O5732" t="str">
            <v>INR</v>
          </cell>
        </row>
        <row r="5733">
          <cell r="A5733" t="str">
            <v>L003 Ankleshwar</v>
          </cell>
          <cell r="B5733">
            <v>694719</v>
          </cell>
          <cell r="C5733" t="str">
            <v>0.5KL ANF ROD WIPER - DA -17(35X43X6)</v>
          </cell>
          <cell r="D5733" t="str">
            <v>L0030151                       EnggStore</v>
          </cell>
          <cell r="E5733">
            <v>0</v>
          </cell>
          <cell r="F5733" t="str">
            <v>ND No planning</v>
          </cell>
          <cell r="G5733" t="str">
            <v>ERSA Spare parts</v>
          </cell>
          <cell r="H5733" t="str">
            <v>EN039     PlantEquipmentSpares</v>
          </cell>
          <cell r="I5733" t="str">
            <v>L003 Ankleshwar</v>
          </cell>
          <cell r="J5733" t="str">
            <v>99 Input/Byprodt/Scrap</v>
          </cell>
          <cell r="K5733" t="str">
            <v>10.2012</v>
          </cell>
          <cell r="L5733">
            <v>2</v>
          </cell>
          <cell r="M5733" t="str">
            <v>EA</v>
          </cell>
          <cell r="N5733">
            <v>780</v>
          </cell>
          <cell r="O5733" t="str">
            <v>INR</v>
          </cell>
        </row>
        <row r="5734">
          <cell r="A5734" t="str">
            <v>L003 Ankleshwar</v>
          </cell>
          <cell r="B5734">
            <v>694720</v>
          </cell>
          <cell r="C5734" t="str">
            <v>0.5KL ANF ROD HOUSING 'O'RING - 58X3.55</v>
          </cell>
          <cell r="D5734" t="str">
            <v>L0030151                       EnggStore</v>
          </cell>
          <cell r="E5734">
            <v>0</v>
          </cell>
          <cell r="F5734" t="str">
            <v>ND No planning</v>
          </cell>
          <cell r="G5734" t="str">
            <v>ERSA Spare parts</v>
          </cell>
          <cell r="H5734" t="str">
            <v>EN039     PlantEquipmentSpares</v>
          </cell>
          <cell r="I5734" t="str">
            <v>L003 Ankleshwar</v>
          </cell>
          <cell r="J5734" t="str">
            <v>99 Input/Byprodt/Scrap</v>
          </cell>
          <cell r="K5734" t="str">
            <v>10.2012</v>
          </cell>
          <cell r="L5734">
            <v>2</v>
          </cell>
          <cell r="M5734" t="str">
            <v>EA</v>
          </cell>
          <cell r="N5734">
            <v>350</v>
          </cell>
          <cell r="O5734" t="str">
            <v>INR</v>
          </cell>
        </row>
        <row r="5735">
          <cell r="A5735" t="str">
            <v>L003 Ankleshwar</v>
          </cell>
          <cell r="B5735">
            <v>694721</v>
          </cell>
          <cell r="C5735" t="str">
            <v>0.5KL ANF PISTON 'O'RING - 26.64 X 2.62</v>
          </cell>
          <cell r="D5735" t="str">
            <v>L0030151                       EnggStore</v>
          </cell>
          <cell r="E5735">
            <v>0</v>
          </cell>
          <cell r="F5735" t="str">
            <v>ND No planning</v>
          </cell>
          <cell r="G5735" t="str">
            <v>ERSA Spare parts</v>
          </cell>
          <cell r="H5735" t="str">
            <v>EN039     PlantEquipmentSpares</v>
          </cell>
          <cell r="I5735" t="str">
            <v>L003 Ankleshwar</v>
          </cell>
          <cell r="J5735" t="str">
            <v>99 Input/Byprodt/Scrap</v>
          </cell>
          <cell r="K5735" t="str">
            <v>10.2012</v>
          </cell>
          <cell r="L5735">
            <v>2</v>
          </cell>
          <cell r="M5735" t="str">
            <v>EA</v>
          </cell>
          <cell r="N5735">
            <v>164</v>
          </cell>
          <cell r="O5735" t="str">
            <v>INR</v>
          </cell>
        </row>
        <row r="5736">
          <cell r="A5736" t="str">
            <v>L003 Ankleshwar</v>
          </cell>
          <cell r="B5736">
            <v>694722</v>
          </cell>
          <cell r="C5736" t="str">
            <v>0.5KL ANF WEAR BEND - 2.5X9.7X114</v>
          </cell>
          <cell r="D5736" t="str">
            <v>L0030151                       EnggStore</v>
          </cell>
          <cell r="E5736">
            <v>0</v>
          </cell>
          <cell r="F5736" t="str">
            <v>ND No planning</v>
          </cell>
          <cell r="G5736" t="str">
            <v>ERSA Spare parts</v>
          </cell>
          <cell r="H5736" t="str">
            <v>EN039     PlantEquipmentSpares</v>
          </cell>
          <cell r="I5736" t="str">
            <v>L003 Ankleshwar</v>
          </cell>
          <cell r="J5736" t="str">
            <v>99 Input/Byprodt/Scrap</v>
          </cell>
          <cell r="K5736" t="str">
            <v>10.2012</v>
          </cell>
          <cell r="L5736">
            <v>2</v>
          </cell>
          <cell r="M5736" t="str">
            <v>EA</v>
          </cell>
          <cell r="N5736">
            <v>640</v>
          </cell>
          <cell r="O5736" t="str">
            <v>INR</v>
          </cell>
        </row>
        <row r="5737">
          <cell r="A5737" t="str">
            <v>L003 Ankleshwar</v>
          </cell>
          <cell r="B5737">
            <v>694723</v>
          </cell>
          <cell r="C5737" t="str">
            <v>0.5KL ANF PISTON SEAL -DAS (100X75)</v>
          </cell>
          <cell r="D5737" t="str">
            <v>L0030151                       EnggStore</v>
          </cell>
          <cell r="E5737">
            <v>0</v>
          </cell>
          <cell r="F5737" t="str">
            <v>ND No planning</v>
          </cell>
          <cell r="G5737" t="str">
            <v>ERSA Spare parts</v>
          </cell>
          <cell r="H5737" t="str">
            <v>EN039     PlantEquipmentSpares</v>
          </cell>
          <cell r="I5737" t="str">
            <v>L003 Ankleshwar</v>
          </cell>
          <cell r="J5737" t="str">
            <v>99 Input/Byprodt/Scrap</v>
          </cell>
          <cell r="K5737" t="str">
            <v>10.2012</v>
          </cell>
          <cell r="L5737">
            <v>2</v>
          </cell>
          <cell r="M5737" t="str">
            <v>EA</v>
          </cell>
          <cell r="N5737">
            <v>4520</v>
          </cell>
          <cell r="O5737" t="str">
            <v>INR</v>
          </cell>
        </row>
        <row r="5738">
          <cell r="A5738" t="str">
            <v>L003 Ankleshwar</v>
          </cell>
          <cell r="B5738">
            <v>694725</v>
          </cell>
          <cell r="C5738" t="str">
            <v>0.5KL ANF ROD WIPER - DA -17(50X58X6)</v>
          </cell>
          <cell r="D5738" t="str">
            <v>L0030151                       EnggStore</v>
          </cell>
          <cell r="E5738">
            <v>0</v>
          </cell>
          <cell r="F5738" t="str">
            <v>ND No planning</v>
          </cell>
          <cell r="G5738" t="str">
            <v>ERSA Spare parts</v>
          </cell>
          <cell r="H5738" t="str">
            <v>EN039     PlantEquipmentSpares</v>
          </cell>
          <cell r="I5738" t="str">
            <v>L003 Ankleshwar</v>
          </cell>
          <cell r="J5738" t="str">
            <v>99 Input/Byprodt/Scrap</v>
          </cell>
          <cell r="K5738" t="str">
            <v>10.2012</v>
          </cell>
          <cell r="L5738">
            <v>1</v>
          </cell>
          <cell r="M5738" t="str">
            <v>EA</v>
          </cell>
          <cell r="N5738">
            <v>485</v>
          </cell>
          <cell r="O5738" t="str">
            <v>INR</v>
          </cell>
        </row>
        <row r="5739">
          <cell r="A5739" t="str">
            <v>L003 Ankleshwar</v>
          </cell>
          <cell r="B5739">
            <v>694726</v>
          </cell>
          <cell r="C5739" t="str">
            <v>0.5KL ANF PISTON 'O'RING - 50 X2</v>
          </cell>
          <cell r="D5739" t="str">
            <v>L0030151                       EnggStore</v>
          </cell>
          <cell r="E5739">
            <v>0</v>
          </cell>
          <cell r="F5739" t="str">
            <v>ND No planning</v>
          </cell>
          <cell r="G5739" t="str">
            <v>ERSA Spare parts</v>
          </cell>
          <cell r="H5739" t="str">
            <v>EN039     PlantEquipmentSpares</v>
          </cell>
          <cell r="I5739" t="str">
            <v>L003 Ankleshwar</v>
          </cell>
          <cell r="J5739" t="str">
            <v>99 Input/Byprodt/Scrap</v>
          </cell>
          <cell r="K5739" t="str">
            <v>10.2012</v>
          </cell>
          <cell r="L5739">
            <v>2</v>
          </cell>
          <cell r="M5739" t="str">
            <v>EA</v>
          </cell>
          <cell r="N5739">
            <v>350</v>
          </cell>
          <cell r="O5739" t="str">
            <v>INR</v>
          </cell>
        </row>
        <row r="5740">
          <cell r="A5740" t="str">
            <v>L003 Ankleshwar</v>
          </cell>
          <cell r="B5740">
            <v>694727</v>
          </cell>
          <cell r="C5740" t="str">
            <v>0.5 KL ANF FLANGE INSIDE 'O'RING-94 X 4</v>
          </cell>
          <cell r="D5740" t="str">
            <v>L0030151                       EnggStore</v>
          </cell>
          <cell r="E5740">
            <v>0</v>
          </cell>
          <cell r="F5740" t="str">
            <v>ND No planning</v>
          </cell>
          <cell r="G5740" t="str">
            <v>ERSA Spare parts</v>
          </cell>
          <cell r="H5740" t="str">
            <v>EN039     PlantEquipmentSpares</v>
          </cell>
          <cell r="I5740" t="str">
            <v>L003 Ankleshwar</v>
          </cell>
          <cell r="J5740" t="str">
            <v>99 Input/Byprodt/Scrap</v>
          </cell>
          <cell r="K5740" t="str">
            <v>10.2012</v>
          </cell>
          <cell r="L5740">
            <v>2</v>
          </cell>
          <cell r="M5740" t="str">
            <v>EA</v>
          </cell>
          <cell r="N5740">
            <v>590</v>
          </cell>
          <cell r="O5740" t="str">
            <v>INR</v>
          </cell>
        </row>
        <row r="5741">
          <cell r="A5741" t="str">
            <v>L003 Ankleshwar</v>
          </cell>
          <cell r="B5741">
            <v>694728</v>
          </cell>
          <cell r="C5741" t="str">
            <v>0.5KL ANF FLANGE FACE 'O'RING-134 X3</v>
          </cell>
          <cell r="D5741" t="str">
            <v>L0030151                       EnggStore</v>
          </cell>
          <cell r="E5741">
            <v>0</v>
          </cell>
          <cell r="F5741" t="str">
            <v>ND No planning</v>
          </cell>
          <cell r="G5741" t="str">
            <v>ERSA Spare parts</v>
          </cell>
          <cell r="H5741" t="str">
            <v>EN039     PlantEquipmentSpares</v>
          </cell>
          <cell r="I5741" t="str">
            <v>L003 Ankleshwar</v>
          </cell>
          <cell r="J5741" t="str">
            <v>99 Input/Byprodt/Scrap</v>
          </cell>
          <cell r="K5741" t="str">
            <v>10.2012</v>
          </cell>
          <cell r="L5741">
            <v>2</v>
          </cell>
          <cell r="M5741" t="str">
            <v>EA</v>
          </cell>
          <cell r="N5741">
            <v>790</v>
          </cell>
          <cell r="O5741" t="str">
            <v>INR</v>
          </cell>
        </row>
        <row r="5742">
          <cell r="A5742" t="str">
            <v>L003 Ankleshwar</v>
          </cell>
          <cell r="B5742">
            <v>694729</v>
          </cell>
          <cell r="C5742" t="str">
            <v>0.5KL ANF WEAR BEND-2.5 X 5 X 164</v>
          </cell>
          <cell r="D5742" t="str">
            <v>L0030151                       EnggStore</v>
          </cell>
          <cell r="E5742">
            <v>0</v>
          </cell>
          <cell r="F5742" t="str">
            <v>ND No planning</v>
          </cell>
          <cell r="G5742" t="str">
            <v>ERSA Spare parts</v>
          </cell>
          <cell r="H5742" t="str">
            <v>EN039     PlantEquipmentSpares</v>
          </cell>
          <cell r="I5742" t="str">
            <v>L003 Ankleshwar</v>
          </cell>
          <cell r="J5742" t="str">
            <v>99 Input/Byprodt/Scrap</v>
          </cell>
          <cell r="K5742" t="str">
            <v>10.2012</v>
          </cell>
          <cell r="L5742">
            <v>2</v>
          </cell>
          <cell r="M5742" t="str">
            <v>EA</v>
          </cell>
          <cell r="N5742">
            <v>1110</v>
          </cell>
          <cell r="O5742" t="str">
            <v>INR</v>
          </cell>
        </row>
        <row r="5743">
          <cell r="A5743" t="str">
            <v>L003 Ankleshwar</v>
          </cell>
          <cell r="B5743">
            <v>694730</v>
          </cell>
          <cell r="C5743" t="str">
            <v>0.5KL ANF PISTON 'O'RING- 54 X 3</v>
          </cell>
          <cell r="D5743" t="str">
            <v>L0030151                       EnggStore</v>
          </cell>
          <cell r="E5743">
            <v>0</v>
          </cell>
          <cell r="F5743" t="str">
            <v>ND No planning</v>
          </cell>
          <cell r="G5743" t="str">
            <v>ERSA Spare parts</v>
          </cell>
          <cell r="H5743" t="str">
            <v>EN039     PlantEquipmentSpares</v>
          </cell>
          <cell r="I5743" t="str">
            <v>L003 Ankleshwar</v>
          </cell>
          <cell r="J5743" t="str">
            <v>99 Input/Byprodt/Scrap</v>
          </cell>
          <cell r="K5743" t="str">
            <v>10.2012</v>
          </cell>
          <cell r="L5743">
            <v>2</v>
          </cell>
          <cell r="M5743" t="str">
            <v>EA</v>
          </cell>
          <cell r="N5743">
            <v>350</v>
          </cell>
          <cell r="O5743" t="str">
            <v>INR</v>
          </cell>
        </row>
        <row r="5744">
          <cell r="A5744" t="str">
            <v>L003 Ankleshwar</v>
          </cell>
          <cell r="B5744">
            <v>694736</v>
          </cell>
          <cell r="C5744" t="str">
            <v>AXIAL PUMP DOUBLE MECH. SEAL DSBC :0698</v>
          </cell>
          <cell r="D5744" t="str">
            <v>L0030151                       EnggStore</v>
          </cell>
          <cell r="E5744">
            <v>0</v>
          </cell>
          <cell r="F5744" t="str">
            <v>ND No planning</v>
          </cell>
          <cell r="G5744" t="str">
            <v>ERSA Spare parts</v>
          </cell>
          <cell r="H5744" t="str">
            <v>EN038     MechanicalSeals&amp;Spar</v>
          </cell>
          <cell r="I5744" t="str">
            <v>L003 Ankleshwar</v>
          </cell>
          <cell r="J5744" t="str">
            <v>99 Input/Byprodt/Scrap</v>
          </cell>
          <cell r="K5744" t="str">
            <v>10.2012</v>
          </cell>
          <cell r="L5744">
            <v>1</v>
          </cell>
          <cell r="M5744" t="str">
            <v>EA</v>
          </cell>
          <cell r="N5744">
            <v>26250</v>
          </cell>
          <cell r="O5744" t="str">
            <v>INR</v>
          </cell>
        </row>
        <row r="5745">
          <cell r="A5745" t="str">
            <v>L003 Ankleshwar</v>
          </cell>
          <cell r="B5745">
            <v>694795</v>
          </cell>
          <cell r="C5745" t="str">
            <v>POWER CONTACTOR:A30-30-10 55A ABB 230VAC</v>
          </cell>
          <cell r="D5745" t="str">
            <v>L0030151                       EnggStore</v>
          </cell>
          <cell r="E5745">
            <v>0</v>
          </cell>
          <cell r="F5745" t="str">
            <v>ND No planning</v>
          </cell>
          <cell r="G5745" t="str">
            <v>ERSA Spare parts</v>
          </cell>
          <cell r="H5745" t="str">
            <v>EN006     Elec Switchgear</v>
          </cell>
          <cell r="I5745" t="str">
            <v>L003 Ankleshwar</v>
          </cell>
          <cell r="J5745" t="str">
            <v>99 Input/Byprodt/Scrap</v>
          </cell>
          <cell r="K5745" t="str">
            <v>10.2012</v>
          </cell>
          <cell r="L5745">
            <v>1</v>
          </cell>
          <cell r="M5745" t="str">
            <v>EA</v>
          </cell>
          <cell r="N5745">
            <v>1495.92</v>
          </cell>
          <cell r="O5745" t="str">
            <v>INR</v>
          </cell>
        </row>
        <row r="5746">
          <cell r="A5746" t="str">
            <v>L003 Ankleshwar</v>
          </cell>
          <cell r="B5746">
            <v>694818</v>
          </cell>
          <cell r="C5746" t="str">
            <v>IMPELLER P.N.120: CCR 32-250</v>
          </cell>
          <cell r="D5746" t="str">
            <v>L0030151                       EnggStore</v>
          </cell>
          <cell r="E5746">
            <v>0</v>
          </cell>
          <cell r="F5746" t="str">
            <v>ND No planning</v>
          </cell>
          <cell r="G5746" t="str">
            <v>ERSA Spare parts</v>
          </cell>
          <cell r="H5746" t="str">
            <v>EN032     Pumpspares</v>
          </cell>
          <cell r="I5746" t="str">
            <v>L003 Ankleshwar</v>
          </cell>
          <cell r="J5746" t="str">
            <v>99 Input/Byprodt/Scrap</v>
          </cell>
          <cell r="K5746" t="str">
            <v>10.2012</v>
          </cell>
          <cell r="L5746">
            <v>1</v>
          </cell>
          <cell r="M5746" t="str">
            <v>EA</v>
          </cell>
          <cell r="N5746">
            <v>11464</v>
          </cell>
          <cell r="O5746" t="str">
            <v>INR</v>
          </cell>
        </row>
        <row r="5747">
          <cell r="A5747" t="str">
            <v>L003 Ankleshwar</v>
          </cell>
          <cell r="B5747">
            <v>694875</v>
          </cell>
          <cell r="C5747" t="str">
            <v>MS PTFE LINED BALL VALVE F/T 2" (NDP)</v>
          </cell>
          <cell r="D5747" t="str">
            <v>L0030151                       EnggStore</v>
          </cell>
          <cell r="E5747" t="str">
            <v>E31 E31</v>
          </cell>
          <cell r="F5747" t="str">
            <v>VB Manual reorder point planning</v>
          </cell>
          <cell r="G5747" t="str">
            <v>ERSA Spare parts</v>
          </cell>
          <cell r="H5747" t="str">
            <v>EN023     Valves&amp;spares</v>
          </cell>
          <cell r="I5747" t="str">
            <v>L003 Ankleshwar</v>
          </cell>
          <cell r="J5747" t="str">
            <v>99 Input/Byprodt/Scrap</v>
          </cell>
          <cell r="K5747" t="str">
            <v>10.2012</v>
          </cell>
          <cell r="L5747">
            <v>5</v>
          </cell>
          <cell r="M5747" t="str">
            <v>EA</v>
          </cell>
          <cell r="N5747">
            <v>26284.59</v>
          </cell>
          <cell r="O5747" t="str">
            <v>INR</v>
          </cell>
        </row>
        <row r="5748">
          <cell r="A5748" t="str">
            <v>L003 Ankleshwar</v>
          </cell>
          <cell r="B5748">
            <v>694945</v>
          </cell>
          <cell r="C5748" t="str">
            <v>PH ELECTRODE- GLI MAKE</v>
          </cell>
          <cell r="D5748" t="str">
            <v>L0030151                       EnggStore</v>
          </cell>
          <cell r="E5748">
            <v>0</v>
          </cell>
          <cell r="F5748" t="str">
            <v>ND No planning</v>
          </cell>
          <cell r="G5748" t="str">
            <v>ERSA Spare parts</v>
          </cell>
          <cell r="H5748" t="str">
            <v>EN017     InstrumentSpares</v>
          </cell>
          <cell r="I5748" t="str">
            <v>L003 Ankleshwar</v>
          </cell>
          <cell r="J5748" t="str">
            <v>99 Input/Byprodt/Scrap</v>
          </cell>
          <cell r="K5748" t="str">
            <v>10.2012</v>
          </cell>
          <cell r="L5748">
            <v>1</v>
          </cell>
          <cell r="M5748" t="str">
            <v>EA</v>
          </cell>
          <cell r="N5748">
            <v>12090</v>
          </cell>
          <cell r="O5748" t="str">
            <v>INR</v>
          </cell>
        </row>
        <row r="5749">
          <cell r="A5749" t="str">
            <v>L003 Ankleshwar</v>
          </cell>
          <cell r="B5749">
            <v>694982</v>
          </cell>
          <cell r="C5749" t="str">
            <v>SIGHTGLASS-DW-CS-F/T-ASA150: 25MM</v>
          </cell>
          <cell r="D5749" t="str">
            <v>L0030151                       EnggStore</v>
          </cell>
          <cell r="E5749" t="str">
            <v>E34 E34</v>
          </cell>
          <cell r="F5749" t="str">
            <v>VB Manual reorder point planning</v>
          </cell>
          <cell r="G5749" t="str">
            <v>ERSA Spare parts</v>
          </cell>
          <cell r="H5749" t="str">
            <v>EN023     Valves&amp;spares</v>
          </cell>
          <cell r="I5749" t="str">
            <v>L003 Ankleshwar</v>
          </cell>
          <cell r="J5749" t="str">
            <v>99 Input/Byprodt/Scrap</v>
          </cell>
          <cell r="K5749" t="str">
            <v>10.2012</v>
          </cell>
          <cell r="L5749">
            <v>1</v>
          </cell>
          <cell r="M5749" t="str">
            <v>EA</v>
          </cell>
          <cell r="N5749">
            <v>1354.1099999999899</v>
          </cell>
          <cell r="O5749" t="str">
            <v>INR</v>
          </cell>
        </row>
        <row r="5750">
          <cell r="A5750" t="str">
            <v>L003 Ankleshwar</v>
          </cell>
          <cell r="B5750">
            <v>694983</v>
          </cell>
          <cell r="C5750" t="str">
            <v>SIGHTGLASS-DW-CS-F/T-ASA150: 40MM</v>
          </cell>
          <cell r="D5750" t="str">
            <v>L0030151                       EnggStore</v>
          </cell>
          <cell r="E5750" t="str">
            <v>E34 E34</v>
          </cell>
          <cell r="F5750" t="str">
            <v>VB Manual reorder point planning</v>
          </cell>
          <cell r="G5750" t="str">
            <v>ERSA Spare parts</v>
          </cell>
          <cell r="H5750" t="str">
            <v>EN023     Valves&amp;spares</v>
          </cell>
          <cell r="I5750" t="str">
            <v>L003 Ankleshwar</v>
          </cell>
          <cell r="J5750" t="str">
            <v>99 Input/Byprodt/Scrap</v>
          </cell>
          <cell r="K5750" t="str">
            <v>10.2012</v>
          </cell>
          <cell r="L5750">
            <v>2</v>
          </cell>
          <cell r="M5750" t="str">
            <v>EA</v>
          </cell>
          <cell r="N5750">
            <v>3766</v>
          </cell>
          <cell r="O5750" t="str">
            <v>INR</v>
          </cell>
        </row>
        <row r="5751">
          <cell r="A5751" t="str">
            <v>L003 Ankleshwar</v>
          </cell>
          <cell r="B5751">
            <v>694984</v>
          </cell>
          <cell r="C5751" t="str">
            <v>SIGHTGLASS-DW-CS-F/T-ASA150: 50MM</v>
          </cell>
          <cell r="D5751" t="str">
            <v>L0030151                       EnggStore</v>
          </cell>
          <cell r="E5751" t="str">
            <v>E34 E34</v>
          </cell>
          <cell r="F5751" t="str">
            <v>VB Manual reorder point planning</v>
          </cell>
          <cell r="G5751" t="str">
            <v>ERSA Spare parts</v>
          </cell>
          <cell r="H5751" t="str">
            <v>EN023     Valves&amp;spares</v>
          </cell>
          <cell r="I5751" t="str">
            <v>L003 Ankleshwar</v>
          </cell>
          <cell r="J5751" t="str">
            <v>99 Input/Byprodt/Scrap</v>
          </cell>
          <cell r="K5751" t="str">
            <v>10.2012</v>
          </cell>
          <cell r="L5751">
            <v>2</v>
          </cell>
          <cell r="M5751" t="str">
            <v>EA</v>
          </cell>
          <cell r="N5751">
            <v>5538</v>
          </cell>
          <cell r="O5751" t="str">
            <v>INR</v>
          </cell>
        </row>
        <row r="5752">
          <cell r="A5752" t="str">
            <v>L003 Ankleshwar</v>
          </cell>
          <cell r="B5752">
            <v>694985</v>
          </cell>
          <cell r="C5752" t="str">
            <v>SIGHTGLASS-DW-CS-F/T-ASA150: 80MM</v>
          </cell>
          <cell r="D5752" t="str">
            <v>L0030151                       EnggStore</v>
          </cell>
          <cell r="E5752" t="str">
            <v>E34 E34</v>
          </cell>
          <cell r="F5752" t="str">
            <v>VB Manual reorder point planning</v>
          </cell>
          <cell r="G5752" t="str">
            <v>ERSA Spare parts</v>
          </cell>
          <cell r="H5752" t="str">
            <v>EN023     Valves&amp;spares</v>
          </cell>
          <cell r="I5752" t="str">
            <v>L003 Ankleshwar</v>
          </cell>
          <cell r="J5752" t="str">
            <v>99 Input/Byprodt/Scrap</v>
          </cell>
          <cell r="K5752" t="str">
            <v>10.2012</v>
          </cell>
          <cell r="L5752">
            <v>3</v>
          </cell>
          <cell r="M5752" t="str">
            <v>EA</v>
          </cell>
          <cell r="N5752">
            <v>21258.5</v>
          </cell>
          <cell r="O5752" t="str">
            <v>INR</v>
          </cell>
        </row>
        <row r="5753">
          <cell r="A5753" t="str">
            <v>L003 Ankleshwar</v>
          </cell>
          <cell r="B5753">
            <v>694989</v>
          </cell>
          <cell r="C5753" t="str">
            <v>CENTRIFUGE CGMP-SS304+RL: 36"- 4 POINT</v>
          </cell>
          <cell r="D5753" t="str">
            <v>L0030201                       Cons StoreKP</v>
          </cell>
          <cell r="E5753">
            <v>0</v>
          </cell>
          <cell r="F5753" t="str">
            <v>ND No planning</v>
          </cell>
          <cell r="G5753" t="str">
            <v>ERSA Spare parts</v>
          </cell>
          <cell r="H5753" t="str">
            <v>EN039     PlantEquipmentSpares</v>
          </cell>
          <cell r="I5753" t="str">
            <v>L003 Ankleshwar</v>
          </cell>
          <cell r="J5753" t="str">
            <v>99 Input/Byprodt/Scrap</v>
          </cell>
          <cell r="K5753" t="str">
            <v>10.2012</v>
          </cell>
          <cell r="L5753">
            <v>1</v>
          </cell>
          <cell r="M5753" t="str">
            <v>EA</v>
          </cell>
          <cell r="N5753">
            <v>550000</v>
          </cell>
          <cell r="O5753" t="str">
            <v>INR</v>
          </cell>
        </row>
        <row r="5754">
          <cell r="A5754" t="str">
            <v>L003 Ankleshwar</v>
          </cell>
          <cell r="B5754">
            <v>694990</v>
          </cell>
          <cell r="C5754" t="str">
            <v>CENTRIFUGE BASKET-MSRL: 36"</v>
          </cell>
          <cell r="D5754" t="str">
            <v>L0030151                       EnggStore</v>
          </cell>
          <cell r="E5754">
            <v>0</v>
          </cell>
          <cell r="F5754" t="str">
            <v>ND No planning</v>
          </cell>
          <cell r="G5754" t="str">
            <v>ERSA Spare parts</v>
          </cell>
          <cell r="H5754" t="str">
            <v>EN039     PlantEquipmentSpares</v>
          </cell>
          <cell r="I5754" t="str">
            <v>L003 Ankleshwar</v>
          </cell>
          <cell r="J5754" t="str">
            <v>99 Input/Byprodt/Scrap</v>
          </cell>
          <cell r="K5754" t="str">
            <v>10.2012</v>
          </cell>
          <cell r="L5754">
            <v>1</v>
          </cell>
          <cell r="M5754" t="str">
            <v>EA</v>
          </cell>
          <cell r="N5754">
            <v>95000</v>
          </cell>
          <cell r="O5754" t="str">
            <v>INR</v>
          </cell>
        </row>
        <row r="5755">
          <cell r="A5755" t="str">
            <v>L003 Ankleshwar</v>
          </cell>
          <cell r="B5755">
            <v>694994</v>
          </cell>
          <cell r="C5755" t="str">
            <v>MS PTFE LINED BALL VALVE ASA-150 F/T 1½"</v>
          </cell>
          <cell r="D5755" t="str">
            <v>L0030151                       EnggStore</v>
          </cell>
          <cell r="E5755" t="str">
            <v>E31 E31</v>
          </cell>
          <cell r="F5755" t="str">
            <v>VB Manual reorder point planning</v>
          </cell>
          <cell r="G5755" t="str">
            <v>ERSA Spare parts</v>
          </cell>
          <cell r="H5755" t="str">
            <v>EN023     Valves&amp;spares</v>
          </cell>
          <cell r="I5755" t="str">
            <v>L003 Ankleshwar</v>
          </cell>
          <cell r="J5755" t="str">
            <v>99 Input/Byprodt/Scrap</v>
          </cell>
          <cell r="K5755" t="str">
            <v>10.2012</v>
          </cell>
          <cell r="L5755">
            <v>1</v>
          </cell>
          <cell r="M5755" t="str">
            <v>EA</v>
          </cell>
          <cell r="N5755">
            <v>3703.77</v>
          </cell>
          <cell r="O5755" t="str">
            <v>INR</v>
          </cell>
        </row>
        <row r="5756">
          <cell r="A5756" t="str">
            <v>L003 Ankleshwar</v>
          </cell>
          <cell r="B5756">
            <v>695064</v>
          </cell>
          <cell r="C5756" t="str">
            <v>GLASS FOR 6" DIAL PG : SIZE155MM</v>
          </cell>
          <cell r="D5756" t="str">
            <v>L0030151                       EnggStore</v>
          </cell>
          <cell r="E5756" t="str">
            <v>E37 E37</v>
          </cell>
          <cell r="F5756" t="str">
            <v>VB Manual reorder point planning</v>
          </cell>
          <cell r="G5756" t="str">
            <v>ERSA Spare parts</v>
          </cell>
          <cell r="H5756" t="str">
            <v>EN017     InstrumentSpares</v>
          </cell>
          <cell r="I5756" t="str">
            <v>L003 Ankleshwar</v>
          </cell>
          <cell r="J5756" t="str">
            <v>99 Input/Byprodt/Scrap</v>
          </cell>
          <cell r="K5756" t="str">
            <v>10.2012</v>
          </cell>
          <cell r="L5756">
            <v>15</v>
          </cell>
          <cell r="M5756" t="str">
            <v>EA</v>
          </cell>
          <cell r="N5756">
            <v>1035</v>
          </cell>
          <cell r="O5756" t="str">
            <v>INR</v>
          </cell>
        </row>
        <row r="5757">
          <cell r="A5757" t="str">
            <v>L003 Ankleshwar</v>
          </cell>
          <cell r="B5757">
            <v>695065</v>
          </cell>
          <cell r="C5757" t="str">
            <v>GLASS FOR 4" DIAL PG : SIZE105MM</v>
          </cell>
          <cell r="D5757" t="str">
            <v>L0030151                       EnggStore</v>
          </cell>
          <cell r="E5757" t="str">
            <v>E37 E37</v>
          </cell>
          <cell r="F5757" t="str">
            <v>VB Manual reorder point planning</v>
          </cell>
          <cell r="G5757" t="str">
            <v>ERSA Spare parts</v>
          </cell>
          <cell r="H5757" t="str">
            <v>EN017     InstrumentSpares</v>
          </cell>
          <cell r="I5757" t="str">
            <v>L003 Ankleshwar</v>
          </cell>
          <cell r="J5757" t="str">
            <v>99 Input/Byprodt/Scrap</v>
          </cell>
          <cell r="K5757" t="str">
            <v>10.2012</v>
          </cell>
          <cell r="L5757">
            <v>25</v>
          </cell>
          <cell r="M5757" t="str">
            <v>EA</v>
          </cell>
          <cell r="N5757">
            <v>1125</v>
          </cell>
          <cell r="O5757" t="str">
            <v>INR</v>
          </cell>
        </row>
        <row r="5758">
          <cell r="A5758" t="str">
            <v>L003 Ankleshwar</v>
          </cell>
          <cell r="B5758">
            <v>695117</v>
          </cell>
          <cell r="C5758" t="str">
            <v>CABLE PVC INS CU ARMOURED:4CX1.5MM²</v>
          </cell>
          <cell r="D5758" t="str">
            <v>L0030151                       EnggStore</v>
          </cell>
          <cell r="E5758">
            <v>0</v>
          </cell>
          <cell r="F5758" t="str">
            <v>ND No planning</v>
          </cell>
          <cell r="G5758" t="str">
            <v>ERSA Spare parts</v>
          </cell>
          <cell r="H5758" t="str">
            <v>EN004     Cable &amp; Cable Acc.</v>
          </cell>
          <cell r="I5758" t="str">
            <v>L003 Ankleshwar</v>
          </cell>
          <cell r="J5758" t="str">
            <v>99 Input/Byprodt/Scrap</v>
          </cell>
          <cell r="K5758" t="str">
            <v>10.2012</v>
          </cell>
          <cell r="L5758">
            <v>150</v>
          </cell>
          <cell r="M5758" t="str">
            <v>M</v>
          </cell>
          <cell r="N5758">
            <v>7983.34</v>
          </cell>
          <cell r="O5758" t="str">
            <v>INR</v>
          </cell>
        </row>
        <row r="5759">
          <cell r="A5759" t="str">
            <v>L003 Ankleshwar</v>
          </cell>
          <cell r="B5759">
            <v>695131</v>
          </cell>
          <cell r="C5759" t="str">
            <v>OIL SEAL (VITON): 400X500X50</v>
          </cell>
          <cell r="D5759" t="str">
            <v>L0030151                       EnggStore</v>
          </cell>
          <cell r="E5759">
            <v>0</v>
          </cell>
          <cell r="F5759" t="str">
            <v>ND No planning</v>
          </cell>
          <cell r="G5759" t="str">
            <v>ERSA Spare parts</v>
          </cell>
          <cell r="H5759" t="str">
            <v>EN020     RubberItems&amp;Oil Seal</v>
          </cell>
          <cell r="I5759" t="str">
            <v>L003 Ankleshwar</v>
          </cell>
          <cell r="J5759" t="str">
            <v>99 Input/Byprodt/Scrap</v>
          </cell>
          <cell r="K5759" t="str">
            <v>10.2012</v>
          </cell>
          <cell r="L5759">
            <v>4</v>
          </cell>
          <cell r="M5759" t="str">
            <v>EA</v>
          </cell>
          <cell r="N5759">
            <v>212</v>
          </cell>
          <cell r="O5759" t="str">
            <v>INR</v>
          </cell>
        </row>
        <row r="5760">
          <cell r="A5760" t="str">
            <v>L003 Ankleshwar</v>
          </cell>
          <cell r="B5760">
            <v>695481</v>
          </cell>
          <cell r="C5760" t="str">
            <v>EUTECH MAKE PH ELECTRODE</v>
          </cell>
          <cell r="D5760" t="str">
            <v>L0030151                       EnggStore</v>
          </cell>
          <cell r="E5760">
            <v>0</v>
          </cell>
          <cell r="F5760" t="str">
            <v>ND No planning</v>
          </cell>
          <cell r="G5760" t="str">
            <v>ERSA Spare parts</v>
          </cell>
          <cell r="H5760" t="str">
            <v>EN017     InstrumentSpares</v>
          </cell>
          <cell r="I5760" t="str">
            <v>L003 Ankleshwar</v>
          </cell>
          <cell r="J5760" t="str">
            <v>99 Input/Byprodt/Scrap</v>
          </cell>
          <cell r="K5760" t="str">
            <v>10.2012</v>
          </cell>
          <cell r="L5760">
            <v>1</v>
          </cell>
          <cell r="M5760" t="str">
            <v>EA</v>
          </cell>
          <cell r="N5760">
            <v>4510</v>
          </cell>
          <cell r="O5760" t="str">
            <v>INR</v>
          </cell>
        </row>
        <row r="5761">
          <cell r="A5761" t="str">
            <v>L003 Ankleshwar</v>
          </cell>
          <cell r="B5761">
            <v>695514</v>
          </cell>
          <cell r="C5761" t="str">
            <v>MS ALLEN BOLT M8X100MM</v>
          </cell>
          <cell r="D5761" t="str">
            <v>L0030151                       EnggStore</v>
          </cell>
          <cell r="E5761">
            <v>0</v>
          </cell>
          <cell r="F5761" t="str">
            <v>ND No planning</v>
          </cell>
          <cell r="G5761" t="str">
            <v>ERSA Spare parts</v>
          </cell>
          <cell r="H5761" t="str">
            <v>EN039     PlantEquipmentSpares</v>
          </cell>
          <cell r="I5761" t="str">
            <v>L003 Ankleshwar</v>
          </cell>
          <cell r="J5761" t="str">
            <v>99 Input/Byprodt/Scrap</v>
          </cell>
          <cell r="K5761" t="str">
            <v>10.2012</v>
          </cell>
          <cell r="L5761">
            <v>2</v>
          </cell>
          <cell r="M5761" t="str">
            <v>NO</v>
          </cell>
          <cell r="N5761">
            <v>48</v>
          </cell>
          <cell r="O5761" t="str">
            <v>INR</v>
          </cell>
        </row>
        <row r="5762">
          <cell r="A5762" t="str">
            <v>L003 Ankleshwar</v>
          </cell>
          <cell r="B5762">
            <v>695518</v>
          </cell>
          <cell r="C5762" t="str">
            <v>LAMP PL-26W 2P</v>
          </cell>
          <cell r="D5762" t="str">
            <v>L0030151                       EnggStore</v>
          </cell>
          <cell r="E5762" t="str">
            <v>E36 E36</v>
          </cell>
          <cell r="F5762" t="str">
            <v>VB Manual reorder point planning</v>
          </cell>
          <cell r="G5762" t="str">
            <v>ERSA Spare parts</v>
          </cell>
          <cell r="H5762" t="str">
            <v>EN005     Elec Lighting</v>
          </cell>
          <cell r="I5762" t="str">
            <v>L003 Ankleshwar</v>
          </cell>
          <cell r="J5762" t="str">
            <v>99 Input/Byprodt/Scrap</v>
          </cell>
          <cell r="K5762" t="str">
            <v>10.2012</v>
          </cell>
          <cell r="L5762">
            <v>2</v>
          </cell>
          <cell r="M5762" t="str">
            <v>EA</v>
          </cell>
          <cell r="N5762">
            <v>201.599999999999</v>
          </cell>
          <cell r="O5762" t="str">
            <v>INR</v>
          </cell>
        </row>
        <row r="5763">
          <cell r="A5763" t="str">
            <v>L003 Ankleshwar</v>
          </cell>
          <cell r="B5763">
            <v>695868</v>
          </cell>
          <cell r="C5763" t="str">
            <v>ABB MCCB 250A,BREAKING CAPACITY 50KA</v>
          </cell>
          <cell r="D5763" t="str">
            <v>L0030151                       EnggStore</v>
          </cell>
          <cell r="E5763">
            <v>0</v>
          </cell>
          <cell r="F5763" t="str">
            <v>ND No planning</v>
          </cell>
          <cell r="G5763" t="str">
            <v>ERSA Spare parts</v>
          </cell>
          <cell r="H5763" t="str">
            <v>EN006     Elec Switchgear</v>
          </cell>
          <cell r="I5763" t="str">
            <v>L003 Ankleshwar</v>
          </cell>
          <cell r="J5763" t="str">
            <v>99 Input/Byprodt/Scrap</v>
          </cell>
          <cell r="K5763" t="str">
            <v>10.2012</v>
          </cell>
          <cell r="L5763">
            <v>1</v>
          </cell>
          <cell r="M5763" t="str">
            <v>EA</v>
          </cell>
          <cell r="N5763">
            <v>11933.36</v>
          </cell>
          <cell r="O5763" t="str">
            <v>INR</v>
          </cell>
        </row>
        <row r="5764">
          <cell r="A5764" t="str">
            <v>L003 Ankleshwar</v>
          </cell>
          <cell r="B5764">
            <v>695957</v>
          </cell>
          <cell r="C5764" t="str">
            <v>TELEPHONE TEST PROB</v>
          </cell>
          <cell r="D5764" t="str">
            <v>L0030151                       EnggStore</v>
          </cell>
          <cell r="E5764">
            <v>0</v>
          </cell>
          <cell r="F5764" t="str">
            <v>ND No planning</v>
          </cell>
          <cell r="G5764" t="str">
            <v>ERSA Spare parts</v>
          </cell>
          <cell r="H5764" t="str">
            <v>EN017     InstrumentSpares</v>
          </cell>
          <cell r="I5764" t="str">
            <v>L003 Ankleshwar</v>
          </cell>
          <cell r="J5764" t="str">
            <v>99 Input/Byprodt/Scrap</v>
          </cell>
          <cell r="K5764" t="str">
            <v>10.2012</v>
          </cell>
          <cell r="L5764">
            <v>2</v>
          </cell>
          <cell r="M5764" t="str">
            <v>EA</v>
          </cell>
          <cell r="N5764">
            <v>250</v>
          </cell>
          <cell r="O5764" t="str">
            <v>INR</v>
          </cell>
        </row>
        <row r="5765">
          <cell r="A5765" t="str">
            <v>L003 Ankleshwar</v>
          </cell>
          <cell r="B5765">
            <v>696015</v>
          </cell>
          <cell r="C5765" t="str">
            <v>UNEQUAL TEE-MS/HDPE LINED-ASA150:80X50MM</v>
          </cell>
          <cell r="D5765" t="str">
            <v>L0030151                       EnggStore</v>
          </cell>
          <cell r="E5765" t="str">
            <v>E01 E01</v>
          </cell>
          <cell r="F5765" t="str">
            <v>ND No planning</v>
          </cell>
          <cell r="G5765" t="str">
            <v>ERSA Spare parts</v>
          </cell>
          <cell r="H5765" t="str">
            <v>EN028     Pipes&amp;pipefittings</v>
          </cell>
          <cell r="I5765" t="str">
            <v>L003 Ankleshwar</v>
          </cell>
          <cell r="J5765" t="str">
            <v>99 Input/Byprodt/Scrap</v>
          </cell>
          <cell r="K5765" t="str">
            <v>10.2012</v>
          </cell>
          <cell r="L5765">
            <v>1</v>
          </cell>
          <cell r="M5765" t="str">
            <v>EA</v>
          </cell>
          <cell r="N5765">
            <v>1836.4</v>
          </cell>
          <cell r="O5765" t="str">
            <v>INR</v>
          </cell>
        </row>
        <row r="5766">
          <cell r="A5766" t="str">
            <v>L003 Ankleshwar</v>
          </cell>
          <cell r="B5766">
            <v>696019</v>
          </cell>
          <cell r="C5766" t="str">
            <v>ELBOW SH-ERW-SCH10-BW-90°-SS304: 50MM</v>
          </cell>
          <cell r="D5766" t="str">
            <v>L0030151                       EnggStore</v>
          </cell>
          <cell r="E5766" t="str">
            <v>E01 E01</v>
          </cell>
          <cell r="F5766" t="str">
            <v>ND No planning</v>
          </cell>
          <cell r="G5766" t="str">
            <v>ERSA Spare parts</v>
          </cell>
          <cell r="H5766" t="str">
            <v>EN028     Pipes&amp;pipefittings</v>
          </cell>
          <cell r="I5766" t="str">
            <v>L003 Ankleshwar</v>
          </cell>
          <cell r="J5766" t="str">
            <v>99 Input/Byprodt/Scrap</v>
          </cell>
          <cell r="K5766" t="str">
            <v>10.2012</v>
          </cell>
          <cell r="L5766">
            <v>3</v>
          </cell>
          <cell r="M5766" t="str">
            <v>EA</v>
          </cell>
          <cell r="N5766">
            <v>349.64999999999901</v>
          </cell>
          <cell r="O5766" t="str">
            <v>INR</v>
          </cell>
        </row>
        <row r="5767">
          <cell r="A5767" t="str">
            <v>L003 Ankleshwar</v>
          </cell>
          <cell r="B5767">
            <v>696083</v>
          </cell>
          <cell r="C5767" t="str">
            <v>HYDRAULIC HOSE PIPE 3/8" X 5METER</v>
          </cell>
          <cell r="D5767" t="str">
            <v>L0030151                       EnggStore</v>
          </cell>
          <cell r="E5767" t="str">
            <v>E01 E01</v>
          </cell>
          <cell r="F5767" t="str">
            <v>ND No planning</v>
          </cell>
          <cell r="G5767" t="str">
            <v>ERSA Spare parts</v>
          </cell>
          <cell r="H5767" t="str">
            <v>EN028     Pipes&amp;pipefittings</v>
          </cell>
          <cell r="I5767" t="str">
            <v>L003 Ankleshwar</v>
          </cell>
          <cell r="J5767" t="str">
            <v>99 Input/Byprodt/Scrap</v>
          </cell>
          <cell r="K5767" t="str">
            <v>10.2012</v>
          </cell>
          <cell r="L5767">
            <v>1</v>
          </cell>
          <cell r="M5767" t="str">
            <v>EA</v>
          </cell>
          <cell r="N5767">
            <v>1797.8699999999899</v>
          </cell>
          <cell r="O5767" t="str">
            <v>INR</v>
          </cell>
        </row>
        <row r="5768">
          <cell r="A5768" t="str">
            <v>L003 Ankleshwar</v>
          </cell>
          <cell r="B5768">
            <v>696227</v>
          </cell>
          <cell r="C5768" t="str">
            <v>DUPLEX SPOCKET 1'' DIA PITCH X 88 TEETH</v>
          </cell>
          <cell r="D5768" t="str">
            <v>L0030151                       EnggStore</v>
          </cell>
          <cell r="E5768">
            <v>0</v>
          </cell>
          <cell r="F5768" t="str">
            <v>ND No planning</v>
          </cell>
          <cell r="G5768" t="str">
            <v>ERSA Spare parts</v>
          </cell>
          <cell r="H5768" t="str">
            <v>EN022     Hardwareitems</v>
          </cell>
          <cell r="I5768" t="str">
            <v>L003 Ankleshwar</v>
          </cell>
          <cell r="J5768" t="str">
            <v>99 Input/Byprodt/Scrap</v>
          </cell>
          <cell r="K5768" t="str">
            <v>10.2012</v>
          </cell>
          <cell r="L5768">
            <v>1</v>
          </cell>
          <cell r="M5768" t="str">
            <v>EA</v>
          </cell>
          <cell r="N5768">
            <v>7650</v>
          </cell>
          <cell r="O5768" t="str">
            <v>INR</v>
          </cell>
        </row>
        <row r="5769">
          <cell r="A5769" t="str">
            <v>L003 Ankleshwar</v>
          </cell>
          <cell r="B5769">
            <v>696257</v>
          </cell>
          <cell r="C5769" t="str">
            <v>MECHANICAL SEAL: 1.875" SIC/SIC</v>
          </cell>
          <cell r="D5769" t="str">
            <v>L0030151                       EnggStore</v>
          </cell>
          <cell r="E5769">
            <v>0</v>
          </cell>
          <cell r="F5769" t="str">
            <v>ND No planning</v>
          </cell>
          <cell r="G5769" t="str">
            <v>ERSA Spare parts</v>
          </cell>
          <cell r="H5769" t="str">
            <v>EN038     MechanicalSeals&amp;Spar</v>
          </cell>
          <cell r="I5769" t="str">
            <v>L003 Ankleshwar</v>
          </cell>
          <cell r="J5769" t="str">
            <v>99 Input/Byprodt/Scrap</v>
          </cell>
          <cell r="K5769" t="str">
            <v>10.2012</v>
          </cell>
          <cell r="L5769">
            <v>2</v>
          </cell>
          <cell r="M5769" t="str">
            <v>EA</v>
          </cell>
          <cell r="N5769">
            <v>62523.599999999897</v>
          </cell>
          <cell r="O5769" t="str">
            <v>INR</v>
          </cell>
        </row>
        <row r="5770">
          <cell r="A5770" t="str">
            <v>L003 Ankleshwar</v>
          </cell>
          <cell r="B5770">
            <v>696270</v>
          </cell>
          <cell r="C5770" t="str">
            <v>CENTRE ROD FOR 16" SPARKLER</v>
          </cell>
          <cell r="D5770" t="str">
            <v>L0030151                       EnggStore</v>
          </cell>
          <cell r="E5770">
            <v>0</v>
          </cell>
          <cell r="F5770" t="str">
            <v>ND No planning</v>
          </cell>
          <cell r="G5770" t="str">
            <v>ERSA Spare parts</v>
          </cell>
          <cell r="H5770" t="str">
            <v>EN039     PlantEquipmentSpares</v>
          </cell>
          <cell r="I5770" t="str">
            <v>L003 Ankleshwar</v>
          </cell>
          <cell r="J5770" t="str">
            <v>99 Input/Byprodt/Scrap</v>
          </cell>
          <cell r="K5770" t="str">
            <v>10.2012</v>
          </cell>
          <cell r="L5770">
            <v>1</v>
          </cell>
          <cell r="M5770" t="str">
            <v>EA</v>
          </cell>
          <cell r="N5770">
            <v>636.5</v>
          </cell>
          <cell r="O5770" t="str">
            <v>INR</v>
          </cell>
        </row>
        <row r="5771">
          <cell r="A5771" t="str">
            <v>L003 Ankleshwar</v>
          </cell>
          <cell r="B5771">
            <v>696301</v>
          </cell>
          <cell r="C5771" t="str">
            <v>SIDE ROD FOR 16" SPARKLER</v>
          </cell>
          <cell r="D5771" t="str">
            <v>L0030151                       EnggStore</v>
          </cell>
          <cell r="E5771">
            <v>0</v>
          </cell>
          <cell r="F5771" t="str">
            <v>ND No planning</v>
          </cell>
          <cell r="G5771" t="str">
            <v>ERSA Spare parts</v>
          </cell>
          <cell r="H5771" t="str">
            <v>EN039     PlantEquipmentSpares</v>
          </cell>
          <cell r="I5771" t="str">
            <v>L003 Ankleshwar</v>
          </cell>
          <cell r="J5771" t="str">
            <v>99 Input/Byprodt/Scrap</v>
          </cell>
          <cell r="K5771" t="str">
            <v>10.2012</v>
          </cell>
          <cell r="L5771">
            <v>6</v>
          </cell>
          <cell r="M5771" t="str">
            <v>EA</v>
          </cell>
          <cell r="N5771">
            <v>1995</v>
          </cell>
          <cell r="O5771" t="str">
            <v>INR</v>
          </cell>
        </row>
        <row r="5772">
          <cell r="A5772" t="str">
            <v>L003 Ankleshwar</v>
          </cell>
          <cell r="B5772">
            <v>696302</v>
          </cell>
          <cell r="C5772" t="str">
            <v>BOTTOM PLATE SS316 FOR 16" SPARKLER</v>
          </cell>
          <cell r="D5772" t="str">
            <v>L0030151                       EnggStore</v>
          </cell>
          <cell r="E5772">
            <v>0</v>
          </cell>
          <cell r="F5772" t="str">
            <v>ND No planning</v>
          </cell>
          <cell r="G5772" t="str">
            <v>ERSA Spare parts</v>
          </cell>
          <cell r="H5772" t="str">
            <v>EN039     PlantEquipmentSpares</v>
          </cell>
          <cell r="I5772" t="str">
            <v>L003 Ankleshwar</v>
          </cell>
          <cell r="J5772" t="str">
            <v>99 Input/Byprodt/Scrap</v>
          </cell>
          <cell r="K5772" t="str">
            <v>10.2012</v>
          </cell>
          <cell r="L5772">
            <v>1</v>
          </cell>
          <cell r="M5772" t="str">
            <v>EA</v>
          </cell>
          <cell r="N5772">
            <v>1425</v>
          </cell>
          <cell r="O5772" t="str">
            <v>INR</v>
          </cell>
        </row>
        <row r="5773">
          <cell r="A5773" t="str">
            <v>L003 Ankleshwar</v>
          </cell>
          <cell r="B5773">
            <v>696338</v>
          </cell>
          <cell r="C5773" t="str">
            <v>PIPE SECTION MS PTFE LINED: 200NBX300MM</v>
          </cell>
          <cell r="D5773" t="str">
            <v>L0030201                       Cons StoreKP</v>
          </cell>
          <cell r="E5773">
            <v>0</v>
          </cell>
          <cell r="F5773" t="str">
            <v>ND No planning</v>
          </cell>
          <cell r="G5773" t="str">
            <v>ERSA Spare parts</v>
          </cell>
          <cell r="H5773" t="str">
            <v>EN028     Pipes&amp;pipefittings</v>
          </cell>
          <cell r="I5773" t="str">
            <v>L003 Ankleshwar</v>
          </cell>
          <cell r="J5773" t="str">
            <v>99 Input/Byprodt/Scrap</v>
          </cell>
          <cell r="K5773" t="str">
            <v>10.2012</v>
          </cell>
          <cell r="L5773">
            <v>1</v>
          </cell>
          <cell r="M5773" t="str">
            <v>EA</v>
          </cell>
          <cell r="N5773">
            <v>14952.74</v>
          </cell>
          <cell r="O5773" t="str">
            <v>INR</v>
          </cell>
        </row>
        <row r="5774">
          <cell r="A5774" t="str">
            <v>L003 Ankleshwar</v>
          </cell>
          <cell r="B5774">
            <v>696360</v>
          </cell>
          <cell r="C5774" t="str">
            <v>CI STUFFING BOXCCR25-160MODELJOHNSONMAKE</v>
          </cell>
          <cell r="D5774" t="str">
            <v>L0030151                       EnggStore</v>
          </cell>
          <cell r="E5774">
            <v>0</v>
          </cell>
          <cell r="F5774" t="str">
            <v>ND No planning</v>
          </cell>
          <cell r="G5774" t="str">
            <v>ERSA Spare parts</v>
          </cell>
          <cell r="H5774" t="str">
            <v>EN039     PlantEquipmentSpares</v>
          </cell>
          <cell r="I5774" t="str">
            <v>L003 Ankleshwar</v>
          </cell>
          <cell r="J5774" t="str">
            <v>99 Input/Byprodt/Scrap</v>
          </cell>
          <cell r="K5774" t="str">
            <v>10.2012</v>
          </cell>
          <cell r="L5774">
            <v>1</v>
          </cell>
          <cell r="M5774" t="str">
            <v>NO</v>
          </cell>
          <cell r="N5774">
            <v>1522.92</v>
          </cell>
          <cell r="O5774" t="str">
            <v>INR</v>
          </cell>
        </row>
        <row r="5775">
          <cell r="A5775" t="str">
            <v>L003 Ankleshwar</v>
          </cell>
          <cell r="B5775">
            <v>696438</v>
          </cell>
          <cell r="C5775" t="str">
            <v>AIR BLOWER (SPLIT A/C INDOOR UNIT)</v>
          </cell>
          <cell r="D5775" t="str">
            <v>L0030151                       EnggStore</v>
          </cell>
          <cell r="E5775">
            <v>0</v>
          </cell>
          <cell r="F5775" t="str">
            <v>ND No planning</v>
          </cell>
          <cell r="G5775" t="str">
            <v>ERSA Spare parts</v>
          </cell>
          <cell r="H5775" t="str">
            <v>EN037     Refrigeration&amp;A/Cspa</v>
          </cell>
          <cell r="I5775" t="str">
            <v>L003 Ankleshwar</v>
          </cell>
          <cell r="J5775" t="str">
            <v>99 Input/Byprodt/Scrap</v>
          </cell>
          <cell r="K5775" t="str">
            <v>10.2012</v>
          </cell>
          <cell r="L5775">
            <v>3</v>
          </cell>
          <cell r="M5775" t="str">
            <v>EA</v>
          </cell>
          <cell r="N5775">
            <v>13972.5</v>
          </cell>
          <cell r="O5775" t="str">
            <v>INR</v>
          </cell>
        </row>
        <row r="5776">
          <cell r="A5776" t="str">
            <v>L003 Ankleshwar</v>
          </cell>
          <cell r="B5776">
            <v>696439</v>
          </cell>
          <cell r="C5776" t="str">
            <v>HEPA FILTER 0.3 MICRON 305 x 305 x 150</v>
          </cell>
          <cell r="D5776" t="str">
            <v>L0030151                       EnggStore</v>
          </cell>
          <cell r="E5776">
            <v>0</v>
          </cell>
          <cell r="F5776" t="str">
            <v>ND No planning</v>
          </cell>
          <cell r="G5776" t="str">
            <v>ERSA Spare parts</v>
          </cell>
          <cell r="H5776" t="str">
            <v>EN001     Filters Spares</v>
          </cell>
          <cell r="I5776" t="str">
            <v>L003 Ankleshwar</v>
          </cell>
          <cell r="J5776" t="str">
            <v>99 Input/Byprodt/Scrap</v>
          </cell>
          <cell r="K5776" t="str">
            <v>10.2012</v>
          </cell>
          <cell r="L5776">
            <v>2</v>
          </cell>
          <cell r="M5776" t="str">
            <v>EA</v>
          </cell>
          <cell r="N5776">
            <v>3495.44</v>
          </cell>
          <cell r="O5776" t="str">
            <v>INR</v>
          </cell>
        </row>
        <row r="5777">
          <cell r="A5777" t="str">
            <v>L003 Ankleshwar</v>
          </cell>
          <cell r="B5777">
            <v>696440</v>
          </cell>
          <cell r="C5777" t="str">
            <v>HEPA FILTER 0.3 MICRON 450 x 450 x 150</v>
          </cell>
          <cell r="D5777" t="str">
            <v>L0030151                       EnggStore</v>
          </cell>
          <cell r="E5777">
            <v>0</v>
          </cell>
          <cell r="F5777" t="str">
            <v>ND No planning</v>
          </cell>
          <cell r="G5777" t="str">
            <v>ERSA Spare parts</v>
          </cell>
          <cell r="H5777" t="str">
            <v>EN001     Filters Spares</v>
          </cell>
          <cell r="I5777" t="str">
            <v>L003 Ankleshwar</v>
          </cell>
          <cell r="J5777" t="str">
            <v>99 Input/Byprodt/Scrap</v>
          </cell>
          <cell r="K5777" t="str">
            <v>10.2012</v>
          </cell>
          <cell r="L5777">
            <v>18</v>
          </cell>
          <cell r="M5777" t="str">
            <v>EA</v>
          </cell>
          <cell r="N5777">
            <v>45440.779999999897</v>
          </cell>
          <cell r="O5777" t="str">
            <v>INR</v>
          </cell>
        </row>
        <row r="5778">
          <cell r="A5778" t="str">
            <v>L003 Ankleshwar</v>
          </cell>
          <cell r="B5778">
            <v>696441</v>
          </cell>
          <cell r="C5778" t="str">
            <v>HEPA FILTER 0.3 MICRON 610 x 610 x 150</v>
          </cell>
          <cell r="D5778" t="str">
            <v>L0030151                       EnggStore</v>
          </cell>
          <cell r="E5778">
            <v>0</v>
          </cell>
          <cell r="F5778" t="str">
            <v>ND No planning</v>
          </cell>
          <cell r="G5778" t="str">
            <v>ERSA Spare parts</v>
          </cell>
          <cell r="H5778" t="str">
            <v>EN001     Filters Spares</v>
          </cell>
          <cell r="I5778" t="str">
            <v>L003 Ankleshwar</v>
          </cell>
          <cell r="J5778" t="str">
            <v>99 Input/Byprodt/Scrap</v>
          </cell>
          <cell r="K5778" t="str">
            <v>10.2012</v>
          </cell>
          <cell r="L5778">
            <v>6</v>
          </cell>
          <cell r="M5778" t="str">
            <v>EA</v>
          </cell>
          <cell r="N5778">
            <v>18659.810000000001</v>
          </cell>
          <cell r="O5778" t="str">
            <v>INR</v>
          </cell>
        </row>
        <row r="5779">
          <cell r="A5779" t="str">
            <v>L003 Ankleshwar</v>
          </cell>
          <cell r="B5779">
            <v>696587</v>
          </cell>
          <cell r="C5779" t="str">
            <v>BEARING 2211 EKT9</v>
          </cell>
          <cell r="D5779" t="str">
            <v>L0030151                       EnggStore</v>
          </cell>
          <cell r="E5779" t="str">
            <v>E31 E31</v>
          </cell>
          <cell r="F5779" t="str">
            <v>VB Manual reorder point planning</v>
          </cell>
          <cell r="G5779" t="str">
            <v>ERSA Spare parts</v>
          </cell>
          <cell r="H5779" t="str">
            <v>EN009     Bearings</v>
          </cell>
          <cell r="I5779" t="str">
            <v>L003 Ankleshwar</v>
          </cell>
          <cell r="J5779" t="str">
            <v>99 Input/Byprodt/Scrap</v>
          </cell>
          <cell r="K5779" t="str">
            <v>10.2012</v>
          </cell>
          <cell r="L5779">
            <v>1</v>
          </cell>
          <cell r="M5779" t="str">
            <v>EA</v>
          </cell>
          <cell r="N5779">
            <v>1928.76</v>
          </cell>
          <cell r="O5779" t="str">
            <v>INR</v>
          </cell>
        </row>
        <row r="5780">
          <cell r="A5780" t="str">
            <v>L003 Ankleshwar</v>
          </cell>
          <cell r="B5780">
            <v>696588</v>
          </cell>
          <cell r="C5780" t="str">
            <v>PADASTAL BEARING SN-511</v>
          </cell>
          <cell r="D5780" t="str">
            <v>L0030151                       EnggStore</v>
          </cell>
          <cell r="E5780">
            <v>0</v>
          </cell>
          <cell r="F5780" t="str">
            <v>ND No planning</v>
          </cell>
          <cell r="G5780" t="str">
            <v>ERSA Spare parts</v>
          </cell>
          <cell r="H5780" t="str">
            <v>EN009     Bearings</v>
          </cell>
          <cell r="I5780" t="str">
            <v>L003 Ankleshwar</v>
          </cell>
          <cell r="J5780" t="str">
            <v>99 Input/Byprodt/Scrap</v>
          </cell>
          <cell r="K5780" t="str">
            <v>10.2012</v>
          </cell>
          <cell r="L5780">
            <v>2</v>
          </cell>
          <cell r="M5780" t="str">
            <v>EA</v>
          </cell>
          <cell r="N5780">
            <v>1548</v>
          </cell>
          <cell r="O5780" t="str">
            <v>INR</v>
          </cell>
        </row>
        <row r="5781">
          <cell r="A5781" t="str">
            <v>L003 Ankleshwar</v>
          </cell>
          <cell r="B5781">
            <v>696638</v>
          </cell>
          <cell r="C5781" t="str">
            <v>DOUBLE CYLINDRICAL ROLLER BEARING 22214</v>
          </cell>
          <cell r="D5781" t="str">
            <v>L0030151                       EnggStore</v>
          </cell>
          <cell r="E5781">
            <v>0</v>
          </cell>
          <cell r="F5781" t="str">
            <v>ND No planning</v>
          </cell>
          <cell r="G5781" t="str">
            <v>ERSA Spare parts</v>
          </cell>
          <cell r="H5781" t="str">
            <v>EN009     Bearings</v>
          </cell>
          <cell r="I5781" t="str">
            <v>L003 Ankleshwar</v>
          </cell>
          <cell r="J5781" t="str">
            <v>99 Input/Byprodt/Scrap</v>
          </cell>
          <cell r="K5781" t="str">
            <v>10.2012</v>
          </cell>
          <cell r="L5781">
            <v>4</v>
          </cell>
          <cell r="M5781" t="str">
            <v>EA</v>
          </cell>
          <cell r="N5781">
            <v>18508.36</v>
          </cell>
          <cell r="O5781" t="str">
            <v>INR</v>
          </cell>
        </row>
        <row r="5782">
          <cell r="A5782" t="str">
            <v>L003 Ankleshwar</v>
          </cell>
          <cell r="B5782">
            <v>696661</v>
          </cell>
          <cell r="C5782" t="str">
            <v>TITANIUM PROPELLER:RAS400X400(1600M3/HR)</v>
          </cell>
          <cell r="D5782" t="str">
            <v>L0030151                       EnggStore</v>
          </cell>
          <cell r="E5782">
            <v>0</v>
          </cell>
          <cell r="F5782" t="str">
            <v>ND No planning</v>
          </cell>
          <cell r="G5782" t="str">
            <v>ERSA Spare parts</v>
          </cell>
          <cell r="H5782" t="str">
            <v>EN032     Pumpspares</v>
          </cell>
          <cell r="I5782" t="str">
            <v>L003 Ankleshwar</v>
          </cell>
          <cell r="J5782" t="str">
            <v>99 Input/Byprodt/Scrap</v>
          </cell>
          <cell r="K5782" t="str">
            <v>10.2012</v>
          </cell>
          <cell r="L5782">
            <v>1</v>
          </cell>
          <cell r="M5782" t="str">
            <v>EA</v>
          </cell>
          <cell r="N5782">
            <v>73695</v>
          </cell>
          <cell r="O5782" t="str">
            <v>INR</v>
          </cell>
        </row>
        <row r="5783">
          <cell r="A5783" t="str">
            <v>L003 Ankleshwar</v>
          </cell>
          <cell r="B5783">
            <v>696857</v>
          </cell>
          <cell r="C5783" t="str">
            <v>MOUNTING FRAME: MDL-P4: VGP PUMP</v>
          </cell>
          <cell r="D5783" t="str">
            <v>L0030151                       EnggStore</v>
          </cell>
          <cell r="E5783" t="str">
            <v>E34 E34</v>
          </cell>
          <cell r="F5783" t="str">
            <v>VB Manual reorder point planning</v>
          </cell>
          <cell r="G5783" t="str">
            <v>ERSA Spare parts</v>
          </cell>
          <cell r="H5783" t="str">
            <v>EN032     Pumpspares</v>
          </cell>
          <cell r="I5783" t="str">
            <v>L003 Ankleshwar</v>
          </cell>
          <cell r="J5783" t="str">
            <v>99 Input/Byprodt/Scrap</v>
          </cell>
          <cell r="K5783" t="str">
            <v>10.2012</v>
          </cell>
          <cell r="L5783">
            <v>1</v>
          </cell>
          <cell r="M5783" t="str">
            <v>EA</v>
          </cell>
          <cell r="N5783">
            <v>5898.6999999999898</v>
          </cell>
          <cell r="O5783" t="str">
            <v>INR</v>
          </cell>
        </row>
        <row r="5784">
          <cell r="A5784" t="str">
            <v>L003 Ankleshwar</v>
          </cell>
          <cell r="B5784">
            <v>696859</v>
          </cell>
          <cell r="C5784" t="str">
            <v>HDGI CABLE TRAY LADDER TYPE: 300X50X2</v>
          </cell>
          <cell r="D5784" t="str">
            <v>L0030201                       Cons StoreKP</v>
          </cell>
          <cell r="E5784">
            <v>0</v>
          </cell>
          <cell r="F5784" t="str">
            <v>ND No planning</v>
          </cell>
          <cell r="G5784" t="str">
            <v>ERSA Spare parts</v>
          </cell>
          <cell r="H5784" t="str">
            <v>EN003     ElectricalSpares</v>
          </cell>
          <cell r="I5784" t="str">
            <v>L003 Ankleshwar</v>
          </cell>
          <cell r="J5784" t="str">
            <v>99 Input/Byprodt/Scrap</v>
          </cell>
          <cell r="K5784" t="str">
            <v>10.2012</v>
          </cell>
          <cell r="L5784">
            <v>5</v>
          </cell>
          <cell r="M5784" t="str">
            <v>EA</v>
          </cell>
          <cell r="N5784">
            <v>3522.8299999999899</v>
          </cell>
          <cell r="O5784" t="str">
            <v>INR</v>
          </cell>
        </row>
        <row r="5785">
          <cell r="A5785" t="str">
            <v>L003 Ankleshwar</v>
          </cell>
          <cell r="B5785">
            <v>697027</v>
          </cell>
          <cell r="C5785" t="str">
            <v>BATTERY KEN WOOD KNB-29N (0703)</v>
          </cell>
          <cell r="D5785" t="str">
            <v>L0030151                       EnggStore</v>
          </cell>
          <cell r="E5785" t="str">
            <v>E01 E01</v>
          </cell>
          <cell r="F5785" t="str">
            <v>VB Manual reorder point planning</v>
          </cell>
          <cell r="G5785" t="str">
            <v>ERSA Spare parts</v>
          </cell>
          <cell r="H5785" t="str">
            <v>EN017     InstrumentSpares</v>
          </cell>
          <cell r="I5785" t="str">
            <v>L003 Ankleshwar</v>
          </cell>
          <cell r="J5785" t="str">
            <v>99 Input/Byprodt/Scrap</v>
          </cell>
          <cell r="K5785" t="str">
            <v>10.2012</v>
          </cell>
          <cell r="L5785">
            <v>1</v>
          </cell>
          <cell r="M5785" t="str">
            <v>EA</v>
          </cell>
          <cell r="N5785">
            <v>1837.5</v>
          </cell>
          <cell r="O5785" t="str">
            <v>INR</v>
          </cell>
        </row>
        <row r="5786">
          <cell r="A5786" t="str">
            <v>L003 Ankleshwar</v>
          </cell>
          <cell r="B5786">
            <v>697124</v>
          </cell>
          <cell r="C5786" t="str">
            <v>SICOP CONTACTOR 3TF35 00-0A,COIL 110VAC</v>
          </cell>
          <cell r="D5786" t="str">
            <v>L0030151                       EnggStore</v>
          </cell>
          <cell r="E5786">
            <v>0</v>
          </cell>
          <cell r="F5786" t="str">
            <v>ND No planning</v>
          </cell>
          <cell r="G5786" t="str">
            <v>ERSA Spare parts</v>
          </cell>
          <cell r="H5786" t="str">
            <v>EN006     Elec Switchgear</v>
          </cell>
          <cell r="I5786" t="str">
            <v>L003 Ankleshwar</v>
          </cell>
          <cell r="J5786" t="str">
            <v>99 Input/Byprodt/Scrap</v>
          </cell>
          <cell r="K5786" t="str">
            <v>10.2012</v>
          </cell>
          <cell r="L5786">
            <v>1</v>
          </cell>
          <cell r="M5786" t="str">
            <v>EA</v>
          </cell>
          <cell r="N5786">
            <v>2336</v>
          </cell>
          <cell r="O5786" t="str">
            <v>INR</v>
          </cell>
        </row>
        <row r="5787">
          <cell r="A5787" t="str">
            <v>L003 Ankleshwar</v>
          </cell>
          <cell r="B5787">
            <v>697225</v>
          </cell>
          <cell r="C5787" t="str">
            <v>ROLLER BEARING NU220ECPC3</v>
          </cell>
          <cell r="D5787" t="str">
            <v>L0030151                       EnggStore</v>
          </cell>
          <cell r="E5787">
            <v>0</v>
          </cell>
          <cell r="F5787" t="str">
            <v>ND No planning</v>
          </cell>
          <cell r="G5787" t="str">
            <v>ERSA Spare parts</v>
          </cell>
          <cell r="H5787" t="str">
            <v>EN009     Bearings</v>
          </cell>
          <cell r="I5787" t="str">
            <v>L003 Ankleshwar</v>
          </cell>
          <cell r="J5787" t="str">
            <v>99 Input/Byprodt/Scrap</v>
          </cell>
          <cell r="K5787" t="str">
            <v>10.2012</v>
          </cell>
          <cell r="L5787">
            <v>1</v>
          </cell>
          <cell r="M5787" t="str">
            <v>NO</v>
          </cell>
          <cell r="N5787">
            <v>8395.0400000000009</v>
          </cell>
          <cell r="O5787" t="str">
            <v>INR</v>
          </cell>
        </row>
        <row r="5788">
          <cell r="A5788" t="str">
            <v>L003 Ankleshwar</v>
          </cell>
          <cell r="B5788">
            <v>697256</v>
          </cell>
          <cell r="C5788" t="str">
            <v>CI PINBUSHTYPECOUPLINGSIZE-10"</v>
          </cell>
          <cell r="D5788" t="str">
            <v>L0030151                       EnggStore</v>
          </cell>
          <cell r="E5788">
            <v>0</v>
          </cell>
          <cell r="F5788" t="str">
            <v>ND No planning</v>
          </cell>
          <cell r="G5788" t="str">
            <v>ERSA Spare parts</v>
          </cell>
          <cell r="H5788" t="str">
            <v>EN032     Pumpspares</v>
          </cell>
          <cell r="I5788" t="str">
            <v>L003 Ankleshwar</v>
          </cell>
          <cell r="J5788" t="str">
            <v>99 Input/Byprodt/Scrap</v>
          </cell>
          <cell r="K5788" t="str">
            <v>10.2012</v>
          </cell>
          <cell r="L5788">
            <v>1</v>
          </cell>
          <cell r="M5788" t="str">
            <v>NO</v>
          </cell>
          <cell r="N5788">
            <v>3552</v>
          </cell>
          <cell r="O5788" t="str">
            <v>INR</v>
          </cell>
        </row>
        <row r="5789">
          <cell r="A5789" t="str">
            <v>L003 Ankleshwar</v>
          </cell>
          <cell r="B5789">
            <v>697362</v>
          </cell>
          <cell r="C5789" t="str">
            <v>DOUBLE ACTING ACTUATOR FOR 40mmBALLVALVE</v>
          </cell>
          <cell r="D5789" t="str">
            <v>L0030151                       EnggStore</v>
          </cell>
          <cell r="E5789">
            <v>0</v>
          </cell>
          <cell r="F5789" t="str">
            <v>ND No planning</v>
          </cell>
          <cell r="G5789" t="str">
            <v>ERSA Spare parts</v>
          </cell>
          <cell r="H5789" t="str">
            <v>EN023     Valves&amp;spares</v>
          </cell>
          <cell r="I5789" t="str">
            <v>L003 Ankleshwar</v>
          </cell>
          <cell r="J5789" t="str">
            <v>99 Input/Byprodt/Scrap</v>
          </cell>
          <cell r="K5789" t="str">
            <v>10.2012</v>
          </cell>
          <cell r="L5789">
            <v>1</v>
          </cell>
          <cell r="M5789" t="str">
            <v>EA</v>
          </cell>
          <cell r="N5789">
            <v>2793.5999999999899</v>
          </cell>
          <cell r="O5789" t="str">
            <v>INR</v>
          </cell>
        </row>
        <row r="5790">
          <cell r="A5790" t="str">
            <v>L003 Ankleshwar</v>
          </cell>
          <cell r="B5790">
            <v>697369</v>
          </cell>
          <cell r="C5790" t="str">
            <v>ROLLER BEARING 7314 BEP</v>
          </cell>
          <cell r="D5790" t="str">
            <v>L0030151                       EnggStore</v>
          </cell>
          <cell r="E5790">
            <v>0</v>
          </cell>
          <cell r="F5790" t="str">
            <v>ND No planning</v>
          </cell>
          <cell r="G5790" t="str">
            <v>ERSA Spare parts</v>
          </cell>
          <cell r="H5790" t="str">
            <v>EN009     Bearings</v>
          </cell>
          <cell r="I5790" t="str">
            <v>L003 Ankleshwar</v>
          </cell>
          <cell r="J5790" t="str">
            <v>99 Input/Byprodt/Scrap</v>
          </cell>
          <cell r="K5790" t="str">
            <v>10.2012</v>
          </cell>
          <cell r="L5790">
            <v>1</v>
          </cell>
          <cell r="M5790" t="str">
            <v>NO</v>
          </cell>
          <cell r="N5790">
            <v>5824.3199999999897</v>
          </cell>
          <cell r="O5790" t="str">
            <v>INR</v>
          </cell>
        </row>
        <row r="5791">
          <cell r="A5791" t="str">
            <v>L003 Ankleshwar</v>
          </cell>
          <cell r="B5791">
            <v>697396</v>
          </cell>
          <cell r="C5791" t="str">
            <v>MID SHAFT OF GEAR BOX FOR ROLL COMPACTOR</v>
          </cell>
          <cell r="D5791" t="str">
            <v>L0030151                       EnggStore</v>
          </cell>
          <cell r="E5791">
            <v>0</v>
          </cell>
          <cell r="F5791" t="str">
            <v>ND No planning</v>
          </cell>
          <cell r="G5791" t="str">
            <v>ERSA Spare parts</v>
          </cell>
          <cell r="H5791" t="str">
            <v>EN039     PlantEquipmentSpares</v>
          </cell>
          <cell r="I5791" t="str">
            <v>L003 Ankleshwar</v>
          </cell>
          <cell r="J5791" t="str">
            <v>99 Input/Byprodt/Scrap</v>
          </cell>
          <cell r="K5791" t="str">
            <v>10.2012</v>
          </cell>
          <cell r="L5791">
            <v>2</v>
          </cell>
          <cell r="M5791" t="str">
            <v>EA</v>
          </cell>
          <cell r="N5791">
            <v>3200</v>
          </cell>
          <cell r="O5791" t="str">
            <v>INR</v>
          </cell>
        </row>
        <row r="5792">
          <cell r="A5792" t="str">
            <v>L003 Ankleshwar</v>
          </cell>
          <cell r="B5792">
            <v>697592</v>
          </cell>
          <cell r="C5792" t="str">
            <v>WORM REDUCTION GEAR BOX : 6SNU - 20:1</v>
          </cell>
          <cell r="D5792" t="str">
            <v>L0030151                       EnggStore</v>
          </cell>
          <cell r="E5792">
            <v>0</v>
          </cell>
          <cell r="F5792" t="str">
            <v>ND No planning</v>
          </cell>
          <cell r="G5792" t="str">
            <v>ERSA Spare parts</v>
          </cell>
          <cell r="H5792" t="str">
            <v>EN039     PlantEquipmentSpares</v>
          </cell>
          <cell r="I5792" t="str">
            <v>L003 Ankleshwar</v>
          </cell>
          <cell r="J5792" t="str">
            <v>99 Input/Byprodt/Scrap</v>
          </cell>
          <cell r="K5792" t="str">
            <v>10.2012</v>
          </cell>
          <cell r="L5792">
            <v>1</v>
          </cell>
          <cell r="M5792" t="str">
            <v>EA</v>
          </cell>
          <cell r="N5792">
            <v>42714</v>
          </cell>
          <cell r="O5792" t="str">
            <v>INR</v>
          </cell>
        </row>
        <row r="5793">
          <cell r="A5793" t="str">
            <v>L003 Ankleshwar</v>
          </cell>
          <cell r="B5793">
            <v>697693</v>
          </cell>
          <cell r="C5793" t="str">
            <v>OIL FILTER GASKET :P NO 085.06.410.50</v>
          </cell>
          <cell r="D5793" t="str">
            <v>L0030151                       EnggStore</v>
          </cell>
          <cell r="E5793" t="str">
            <v>E32 E32</v>
          </cell>
          <cell r="F5793" t="str">
            <v>VB Manual reorder point planning</v>
          </cell>
          <cell r="G5793" t="str">
            <v>ERSA Spare parts</v>
          </cell>
          <cell r="H5793" t="str">
            <v>EN018     UtilityEquipmentSpar</v>
          </cell>
          <cell r="I5793" t="str">
            <v>L003 Ankleshwar</v>
          </cell>
          <cell r="J5793" t="str">
            <v>99 Input/Byprodt/Scrap</v>
          </cell>
          <cell r="K5793" t="str">
            <v>10.2012</v>
          </cell>
          <cell r="L5793">
            <v>1</v>
          </cell>
          <cell r="M5793" t="str">
            <v>EA</v>
          </cell>
          <cell r="N5793">
            <v>49.63</v>
          </cell>
          <cell r="O5793" t="str">
            <v>INR</v>
          </cell>
        </row>
        <row r="5794">
          <cell r="A5794" t="str">
            <v>L003 Ankleshwar</v>
          </cell>
          <cell r="B5794">
            <v>697695</v>
          </cell>
          <cell r="C5794" t="str">
            <v>FLP WELLGLASS FITTING 1X125W</v>
          </cell>
          <cell r="D5794" t="str">
            <v>L0030151                       EnggStore</v>
          </cell>
          <cell r="E5794" t="str">
            <v>E36 E36</v>
          </cell>
          <cell r="F5794" t="str">
            <v>VB Manual reorder point planning</v>
          </cell>
          <cell r="G5794" t="str">
            <v>ERSA Spare parts</v>
          </cell>
          <cell r="H5794" t="str">
            <v>EN005     Elec Lighting</v>
          </cell>
          <cell r="I5794" t="str">
            <v>L003 Ankleshwar</v>
          </cell>
          <cell r="J5794" t="str">
            <v>99 Input/Byprodt/Scrap</v>
          </cell>
          <cell r="K5794" t="str">
            <v>10.2012</v>
          </cell>
          <cell r="L5794">
            <v>2</v>
          </cell>
          <cell r="M5794" t="str">
            <v>EA</v>
          </cell>
          <cell r="N5794">
            <v>7926.88</v>
          </cell>
          <cell r="O5794" t="str">
            <v>INR</v>
          </cell>
        </row>
        <row r="5795">
          <cell r="A5795" t="str">
            <v>L003 Ankleshwar</v>
          </cell>
          <cell r="B5795">
            <v>697790</v>
          </cell>
          <cell r="C5795" t="str">
            <v>PEDESTAL BEARING 22228CCK/W33</v>
          </cell>
          <cell r="D5795" t="str">
            <v>L0030151                       EnggStore</v>
          </cell>
          <cell r="E5795">
            <v>0</v>
          </cell>
          <cell r="F5795" t="str">
            <v>ND No planning</v>
          </cell>
          <cell r="G5795" t="str">
            <v>ERSA Spare parts</v>
          </cell>
          <cell r="H5795" t="str">
            <v>EN009     Bearings</v>
          </cell>
          <cell r="I5795" t="str">
            <v>L003 Ankleshwar</v>
          </cell>
          <cell r="J5795" t="str">
            <v>99 Input/Byprodt/Scrap</v>
          </cell>
          <cell r="K5795" t="str">
            <v>10.2012</v>
          </cell>
          <cell r="L5795">
            <v>2</v>
          </cell>
          <cell r="M5795" t="str">
            <v>EA</v>
          </cell>
          <cell r="N5795">
            <v>20000</v>
          </cell>
          <cell r="O5795" t="str">
            <v>INR</v>
          </cell>
        </row>
        <row r="5796">
          <cell r="A5796" t="str">
            <v>L003 Ankleshwar</v>
          </cell>
          <cell r="B5796">
            <v>697801</v>
          </cell>
          <cell r="C5796" t="str">
            <v>OIL SEAL: 48X72X10</v>
          </cell>
          <cell r="D5796" t="str">
            <v>L0030151                       EnggStore</v>
          </cell>
          <cell r="E5796">
            <v>0</v>
          </cell>
          <cell r="F5796" t="str">
            <v>ND No planning</v>
          </cell>
          <cell r="G5796" t="str">
            <v>ERSA Spare parts</v>
          </cell>
          <cell r="H5796" t="str">
            <v>EN020     RubberItems&amp;Oil Seal</v>
          </cell>
          <cell r="I5796" t="str">
            <v>L003 Ankleshwar</v>
          </cell>
          <cell r="J5796" t="str">
            <v>99 Input/Byprodt/Scrap</v>
          </cell>
          <cell r="K5796" t="str">
            <v>10.2012</v>
          </cell>
          <cell r="L5796">
            <v>8</v>
          </cell>
          <cell r="M5796" t="str">
            <v>EA</v>
          </cell>
          <cell r="N5796">
            <v>0</v>
          </cell>
          <cell r="O5796" t="str">
            <v>INR</v>
          </cell>
        </row>
        <row r="5797">
          <cell r="A5797" t="str">
            <v>L003 Ankleshwar</v>
          </cell>
          <cell r="B5797">
            <v>697802</v>
          </cell>
          <cell r="C5797" t="str">
            <v>THRUST BALL BEARING: 51314</v>
          </cell>
          <cell r="D5797" t="str">
            <v>L0030151                       EnggStore</v>
          </cell>
          <cell r="E5797">
            <v>0</v>
          </cell>
          <cell r="F5797" t="str">
            <v>ND No planning</v>
          </cell>
          <cell r="G5797" t="str">
            <v>ERSA Spare parts</v>
          </cell>
          <cell r="H5797" t="str">
            <v>EN009     Bearings</v>
          </cell>
          <cell r="I5797" t="str">
            <v>L003 Ankleshwar</v>
          </cell>
          <cell r="J5797" t="str">
            <v>99 Input/Byprodt/Scrap</v>
          </cell>
          <cell r="K5797" t="str">
            <v>10.2012</v>
          </cell>
          <cell r="L5797">
            <v>1</v>
          </cell>
          <cell r="M5797" t="str">
            <v>EA</v>
          </cell>
          <cell r="N5797">
            <v>5872.5</v>
          </cell>
          <cell r="O5797" t="str">
            <v>INR</v>
          </cell>
        </row>
        <row r="5798">
          <cell r="A5798" t="str">
            <v>L003 Ankleshwar</v>
          </cell>
          <cell r="B5798">
            <v>697810</v>
          </cell>
          <cell r="C5798" t="str">
            <v>SS304 J BOLT/CLAMP FOR MSGL REACTOR</v>
          </cell>
          <cell r="D5798" t="str">
            <v>L0030151                       EnggStore</v>
          </cell>
          <cell r="E5798">
            <v>0</v>
          </cell>
          <cell r="F5798" t="str">
            <v>ND No planning</v>
          </cell>
          <cell r="G5798" t="str">
            <v>ERSA Spare parts</v>
          </cell>
          <cell r="H5798" t="str">
            <v>EN022     Hardwareitems</v>
          </cell>
          <cell r="I5798" t="str">
            <v>L003 Ankleshwar</v>
          </cell>
          <cell r="J5798" t="str">
            <v>99 Input/Byprodt/Scrap</v>
          </cell>
          <cell r="K5798" t="str">
            <v>10.2012</v>
          </cell>
          <cell r="L5798">
            <v>12</v>
          </cell>
          <cell r="M5798" t="str">
            <v>NO</v>
          </cell>
          <cell r="N5798">
            <v>19869.5999999999</v>
          </cell>
          <cell r="O5798" t="str">
            <v>INR</v>
          </cell>
        </row>
        <row r="5799">
          <cell r="A5799" t="str">
            <v>L003 Ankleshwar</v>
          </cell>
          <cell r="B5799">
            <v>697821</v>
          </cell>
          <cell r="C5799" t="str">
            <v>PEST KILLER TUBE ROD, 1.5', 15W</v>
          </cell>
          <cell r="D5799" t="str">
            <v>L0030151                       EnggStore</v>
          </cell>
          <cell r="E5799" t="str">
            <v>E36 E36</v>
          </cell>
          <cell r="F5799" t="str">
            <v>VB Manual reorder point planning</v>
          </cell>
          <cell r="G5799" t="str">
            <v>ERSA Spare parts</v>
          </cell>
          <cell r="H5799" t="str">
            <v>EN005     Elec Lighting</v>
          </cell>
          <cell r="I5799" t="str">
            <v>L003 Ankleshwar</v>
          </cell>
          <cell r="J5799" t="str">
            <v>99 Input/Byprodt/Scrap</v>
          </cell>
          <cell r="K5799" t="str">
            <v>10.2012</v>
          </cell>
          <cell r="L5799">
            <v>10</v>
          </cell>
          <cell r="M5799" t="str">
            <v>EA</v>
          </cell>
          <cell r="N5799">
            <v>2508</v>
          </cell>
          <cell r="O5799" t="str">
            <v>INR</v>
          </cell>
        </row>
        <row r="5800">
          <cell r="A5800" t="str">
            <v>L003 Ankleshwar</v>
          </cell>
          <cell r="B5800">
            <v>697847</v>
          </cell>
          <cell r="C5800" t="str">
            <v>SHAFT SEAL HQQV-CRN 32-3 PUMP</v>
          </cell>
          <cell r="D5800" t="str">
            <v>L0030151                       EnggStore</v>
          </cell>
          <cell r="E5800" t="str">
            <v>E34 E34</v>
          </cell>
          <cell r="F5800" t="str">
            <v>VB Manual reorder point planning</v>
          </cell>
          <cell r="G5800" t="str">
            <v>ERSA Spare parts</v>
          </cell>
          <cell r="H5800" t="str">
            <v>EN032     Pumpspares</v>
          </cell>
          <cell r="I5800" t="str">
            <v>L003 Ankleshwar</v>
          </cell>
          <cell r="J5800" t="str">
            <v>99 Input/Byprodt/Scrap</v>
          </cell>
          <cell r="K5800" t="str">
            <v>10.2012</v>
          </cell>
          <cell r="L5800">
            <v>1</v>
          </cell>
          <cell r="M5800" t="str">
            <v>EA</v>
          </cell>
          <cell r="N5800">
            <v>12130</v>
          </cell>
          <cell r="O5800" t="str">
            <v>INR</v>
          </cell>
        </row>
        <row r="5801">
          <cell r="A5801" t="str">
            <v>L003 Ankleshwar</v>
          </cell>
          <cell r="B5801">
            <v>697970</v>
          </cell>
          <cell r="C5801" t="str">
            <v>CS SEAMLESS PIPE-SCH-40,IBR SIZE:40NB</v>
          </cell>
          <cell r="D5801" t="str">
            <v>L0030201                       Cons StoreKP</v>
          </cell>
          <cell r="E5801">
            <v>0</v>
          </cell>
          <cell r="F5801" t="str">
            <v>ND No planning</v>
          </cell>
          <cell r="G5801" t="str">
            <v>ERSA Spare parts</v>
          </cell>
          <cell r="H5801" t="str">
            <v>EN028     Pipes&amp;pipefittings</v>
          </cell>
          <cell r="I5801" t="str">
            <v>L003 Ankleshwar</v>
          </cell>
          <cell r="J5801" t="str">
            <v>99 Input/Byprodt/Scrap</v>
          </cell>
          <cell r="K5801" t="str">
            <v>10.2012</v>
          </cell>
          <cell r="L5801">
            <v>5.41</v>
          </cell>
          <cell r="M5801" t="str">
            <v>M</v>
          </cell>
          <cell r="N5801">
            <v>1993.5899999999899</v>
          </cell>
          <cell r="O5801" t="str">
            <v>INR</v>
          </cell>
        </row>
        <row r="5802">
          <cell r="A5802" t="str">
            <v>L003 Ankleshwar</v>
          </cell>
          <cell r="B5802">
            <v>698027</v>
          </cell>
          <cell r="C5802" t="str">
            <v>SS304 BLIND FLANGE ASA-150 1"</v>
          </cell>
          <cell r="D5802" t="str">
            <v>L0030151                       EnggStore</v>
          </cell>
          <cell r="E5802">
            <v>0</v>
          </cell>
          <cell r="F5802" t="str">
            <v>ND No planning</v>
          </cell>
          <cell r="G5802" t="str">
            <v>ERSA Spare parts</v>
          </cell>
          <cell r="H5802" t="str">
            <v>EN028     Pipes&amp;pipefittings</v>
          </cell>
          <cell r="I5802" t="str">
            <v>L003 Ankleshwar</v>
          </cell>
          <cell r="J5802" t="str">
            <v>99 Input/Byprodt/Scrap</v>
          </cell>
          <cell r="K5802" t="str">
            <v>10.2012</v>
          </cell>
          <cell r="L5802">
            <v>4</v>
          </cell>
          <cell r="M5802" t="str">
            <v>EA</v>
          </cell>
          <cell r="N5802">
            <v>684</v>
          </cell>
          <cell r="O5802" t="str">
            <v>INR</v>
          </cell>
        </row>
        <row r="5803">
          <cell r="A5803" t="str">
            <v>L003 Ankleshwar</v>
          </cell>
          <cell r="B5803">
            <v>698171</v>
          </cell>
          <cell r="C5803" t="str">
            <v>2 RELAY TEMPERATURE CONTROLLER</v>
          </cell>
          <cell r="D5803" t="str">
            <v>L0030151                       EnggStore</v>
          </cell>
          <cell r="E5803">
            <v>0</v>
          </cell>
          <cell r="F5803" t="str">
            <v>ND No planning</v>
          </cell>
          <cell r="G5803" t="str">
            <v>ERSA Spare parts</v>
          </cell>
          <cell r="H5803" t="str">
            <v>EN017     InstrumentSpares</v>
          </cell>
          <cell r="I5803" t="str">
            <v>L003 Ankleshwar</v>
          </cell>
          <cell r="J5803" t="str">
            <v>99 Input/Byprodt/Scrap</v>
          </cell>
          <cell r="K5803" t="str">
            <v>10.2012</v>
          </cell>
          <cell r="L5803">
            <v>3</v>
          </cell>
          <cell r="M5803" t="str">
            <v>EA</v>
          </cell>
          <cell r="N5803">
            <v>7442.4399999999896</v>
          </cell>
          <cell r="O5803" t="str">
            <v>INR</v>
          </cell>
        </row>
        <row r="5804">
          <cell r="A5804" t="str">
            <v>L003 Ankleshwar</v>
          </cell>
          <cell r="B5804">
            <v>698217</v>
          </cell>
          <cell r="C5804" t="str">
            <v>HDPE REDUCER 315 X 250 MM OD [12"X10")</v>
          </cell>
          <cell r="D5804" t="str">
            <v>L0030151                       EnggStore</v>
          </cell>
          <cell r="E5804">
            <v>0</v>
          </cell>
          <cell r="F5804" t="str">
            <v>ND No planning</v>
          </cell>
          <cell r="G5804" t="str">
            <v>ERSA Spare parts</v>
          </cell>
          <cell r="H5804" t="str">
            <v>EN028     Pipes&amp;pipefittings</v>
          </cell>
          <cell r="I5804" t="str">
            <v>L003 Ankleshwar</v>
          </cell>
          <cell r="J5804" t="str">
            <v>99 Input/Byprodt/Scrap</v>
          </cell>
          <cell r="K5804" t="str">
            <v>10.2012</v>
          </cell>
          <cell r="L5804">
            <v>1</v>
          </cell>
          <cell r="M5804" t="str">
            <v>EA</v>
          </cell>
          <cell r="N5804">
            <v>1033.53</v>
          </cell>
          <cell r="O5804" t="str">
            <v>INR</v>
          </cell>
        </row>
        <row r="5805">
          <cell r="A5805" t="str">
            <v>L003 Ankleshwar</v>
          </cell>
          <cell r="B5805">
            <v>698421</v>
          </cell>
          <cell r="C5805" t="str">
            <v>HRC FUSE LINK HPL LKTSK 250A, 415V. 80KA</v>
          </cell>
          <cell r="D5805" t="str">
            <v>L0030151                       EnggStore</v>
          </cell>
          <cell r="E5805">
            <v>0</v>
          </cell>
          <cell r="F5805" t="str">
            <v>ND No planning</v>
          </cell>
          <cell r="G5805" t="str">
            <v>ERSA Spare parts</v>
          </cell>
          <cell r="H5805" t="str">
            <v>EN003     ElectricalSpares</v>
          </cell>
          <cell r="I5805" t="str">
            <v>L003 Ankleshwar</v>
          </cell>
          <cell r="J5805" t="str">
            <v>99 Input/Byprodt/Scrap</v>
          </cell>
          <cell r="K5805" t="str">
            <v>10.2012</v>
          </cell>
          <cell r="L5805">
            <v>7</v>
          </cell>
          <cell r="M5805" t="str">
            <v>EA</v>
          </cell>
          <cell r="N5805">
            <v>1680</v>
          </cell>
          <cell r="O5805" t="str">
            <v>INR</v>
          </cell>
        </row>
        <row r="5806">
          <cell r="A5806" t="str">
            <v>L003 Ankleshwar</v>
          </cell>
          <cell r="B5806">
            <v>698557</v>
          </cell>
          <cell r="C5806" t="str">
            <v>V BELT C-108</v>
          </cell>
          <cell r="D5806" t="str">
            <v>L0030151                       EnggStore</v>
          </cell>
          <cell r="E5806" t="str">
            <v>E35 E35</v>
          </cell>
          <cell r="F5806" t="str">
            <v>VB Manual reorder point planning</v>
          </cell>
          <cell r="G5806" t="str">
            <v>ERSA Spare parts</v>
          </cell>
          <cell r="H5806" t="str">
            <v>EN021     VbeltCoupling&amp;Pulley</v>
          </cell>
          <cell r="I5806" t="str">
            <v>L003 Ankleshwar</v>
          </cell>
          <cell r="J5806" t="str">
            <v>99 Input/Byprodt/Scrap</v>
          </cell>
          <cell r="K5806" t="str">
            <v>10.2012</v>
          </cell>
          <cell r="L5806">
            <v>6</v>
          </cell>
          <cell r="M5806" t="str">
            <v>EA</v>
          </cell>
          <cell r="N5806">
            <v>3137.8299999999899</v>
          </cell>
          <cell r="O5806" t="str">
            <v>INR</v>
          </cell>
        </row>
        <row r="5807">
          <cell r="A5807" t="str">
            <v>L003 Ankleshwar</v>
          </cell>
          <cell r="B5807">
            <v>698588</v>
          </cell>
          <cell r="C5807" t="str">
            <v>SS304 COVER WITH HINGES</v>
          </cell>
          <cell r="D5807" t="str">
            <v>L0030151                       EnggStore</v>
          </cell>
          <cell r="E5807">
            <v>0</v>
          </cell>
          <cell r="F5807" t="str">
            <v>ND No planning</v>
          </cell>
          <cell r="G5807" t="str">
            <v>ERSA Spare parts</v>
          </cell>
          <cell r="H5807" t="str">
            <v>EN024     EnggConsumables</v>
          </cell>
          <cell r="I5807" t="str">
            <v>L003 Ankleshwar</v>
          </cell>
          <cell r="J5807" t="str">
            <v>99 Input/Byprodt/Scrap</v>
          </cell>
          <cell r="K5807" t="str">
            <v>10.2012</v>
          </cell>
          <cell r="L5807">
            <v>1</v>
          </cell>
          <cell r="M5807" t="str">
            <v>NO</v>
          </cell>
          <cell r="N5807">
            <v>2557.5</v>
          </cell>
          <cell r="O5807" t="str">
            <v>INR</v>
          </cell>
        </row>
        <row r="5808">
          <cell r="A5808" t="str">
            <v>L003 Ankleshwar</v>
          </cell>
          <cell r="B5808">
            <v>698609</v>
          </cell>
          <cell r="C5808" t="str">
            <v>CONTACTOR COIL:3TY7463-0A 110VAC,3TF46</v>
          </cell>
          <cell r="D5808" t="str">
            <v>L0030151                       EnggStore</v>
          </cell>
          <cell r="E5808">
            <v>0</v>
          </cell>
          <cell r="F5808" t="str">
            <v>ND No planning</v>
          </cell>
          <cell r="G5808" t="str">
            <v>ERSA Spare parts</v>
          </cell>
          <cell r="H5808" t="str">
            <v>EN006     Elec Switchgear</v>
          </cell>
          <cell r="I5808" t="str">
            <v>L003 Ankleshwar</v>
          </cell>
          <cell r="J5808" t="str">
            <v>99 Input/Byprodt/Scrap</v>
          </cell>
          <cell r="K5808" t="str">
            <v>10.2012</v>
          </cell>
          <cell r="L5808">
            <v>1</v>
          </cell>
          <cell r="M5808" t="str">
            <v>EA</v>
          </cell>
          <cell r="N5808">
            <v>606.25999999999897</v>
          </cell>
          <cell r="O5808" t="str">
            <v>INR</v>
          </cell>
        </row>
        <row r="5809">
          <cell r="A5809" t="str">
            <v>L003 Ankleshwar</v>
          </cell>
          <cell r="B5809">
            <v>698647</v>
          </cell>
          <cell r="C5809" t="str">
            <v>TG: -50 TO 100°C, LENGTH:300MM,4" DIAL</v>
          </cell>
          <cell r="D5809" t="str">
            <v>L0030151                       EnggStore</v>
          </cell>
          <cell r="E5809">
            <v>0</v>
          </cell>
          <cell r="F5809" t="str">
            <v>ND No planning</v>
          </cell>
          <cell r="G5809" t="str">
            <v>ERSA Spare parts</v>
          </cell>
          <cell r="H5809" t="str">
            <v>EN017     InstrumentSpares</v>
          </cell>
          <cell r="I5809" t="str">
            <v>L003 Ankleshwar</v>
          </cell>
          <cell r="J5809" t="str">
            <v>99 Input/Byprodt/Scrap</v>
          </cell>
          <cell r="K5809" t="str">
            <v>10.2012</v>
          </cell>
          <cell r="L5809">
            <v>9</v>
          </cell>
          <cell r="M5809" t="str">
            <v>EA</v>
          </cell>
          <cell r="N5809">
            <v>3825</v>
          </cell>
          <cell r="O5809" t="str">
            <v>INR</v>
          </cell>
        </row>
        <row r="5810">
          <cell r="A5810" t="str">
            <v>L003 Ankleshwar</v>
          </cell>
          <cell r="B5810">
            <v>698648</v>
          </cell>
          <cell r="C5810" t="str">
            <v>TG: 0 TO 200°C, LENGTH:300MM, 4" DIAL</v>
          </cell>
          <cell r="D5810" t="str">
            <v>L0030151                       EnggStore</v>
          </cell>
          <cell r="E5810">
            <v>0</v>
          </cell>
          <cell r="F5810" t="str">
            <v>ND No planning</v>
          </cell>
          <cell r="G5810" t="str">
            <v>ERSA Spare parts</v>
          </cell>
          <cell r="H5810" t="str">
            <v>EN017     InstrumentSpares</v>
          </cell>
          <cell r="I5810" t="str">
            <v>L003 Ankleshwar</v>
          </cell>
          <cell r="J5810" t="str">
            <v>99 Input/Byprodt/Scrap</v>
          </cell>
          <cell r="K5810" t="str">
            <v>10.2012</v>
          </cell>
          <cell r="L5810">
            <v>1</v>
          </cell>
          <cell r="M5810" t="str">
            <v>EA</v>
          </cell>
          <cell r="N5810">
            <v>425</v>
          </cell>
          <cell r="O5810" t="str">
            <v>INR</v>
          </cell>
        </row>
        <row r="5811">
          <cell r="A5811" t="str">
            <v>L003 Ankleshwar</v>
          </cell>
          <cell r="B5811">
            <v>698683</v>
          </cell>
          <cell r="C5811" t="str">
            <v>VISCODAMPERSPRINGFOR36"CFORIENTALMAKE</v>
          </cell>
          <cell r="D5811" t="str">
            <v>L0030151                       EnggStore</v>
          </cell>
          <cell r="E5811">
            <v>0</v>
          </cell>
          <cell r="F5811" t="str">
            <v>ND No planning</v>
          </cell>
          <cell r="G5811" t="str">
            <v>ERSA Spare parts</v>
          </cell>
          <cell r="H5811" t="str">
            <v>EN022     Hardwareitems</v>
          </cell>
          <cell r="I5811" t="str">
            <v>L003 Ankleshwar</v>
          </cell>
          <cell r="J5811" t="str">
            <v>99 Input/Byprodt/Scrap</v>
          </cell>
          <cell r="K5811" t="str">
            <v>10.2012</v>
          </cell>
          <cell r="L5811">
            <v>2</v>
          </cell>
          <cell r="M5811" t="str">
            <v>NO</v>
          </cell>
          <cell r="N5811">
            <v>530</v>
          </cell>
          <cell r="O5811" t="str">
            <v>INR</v>
          </cell>
        </row>
        <row r="5812">
          <cell r="A5812" t="str">
            <v>L003 Ankleshwar</v>
          </cell>
          <cell r="B5812">
            <v>698705</v>
          </cell>
          <cell r="C5812" t="str">
            <v>SOLID TEFLON GASKET 3MM THICK 6"</v>
          </cell>
          <cell r="D5812" t="str">
            <v>L0030151                       EnggStore</v>
          </cell>
          <cell r="E5812">
            <v>0</v>
          </cell>
          <cell r="F5812" t="str">
            <v>ND No planning</v>
          </cell>
          <cell r="G5812" t="str">
            <v>ERSA Spare parts</v>
          </cell>
          <cell r="H5812" t="str">
            <v>EN024     EnggConsumables</v>
          </cell>
          <cell r="I5812" t="str">
            <v>L003 Ankleshwar</v>
          </cell>
          <cell r="J5812" t="str">
            <v>99 Input/Byprodt/Scrap</v>
          </cell>
          <cell r="K5812" t="str">
            <v>10.2012</v>
          </cell>
          <cell r="L5812">
            <v>22</v>
          </cell>
          <cell r="M5812" t="str">
            <v>EA</v>
          </cell>
          <cell r="N5812">
            <v>5491.1999999999898</v>
          </cell>
          <cell r="O5812" t="str">
            <v>INR</v>
          </cell>
        </row>
        <row r="5813">
          <cell r="A5813" t="str">
            <v>L003 Ankleshwar</v>
          </cell>
          <cell r="B5813">
            <v>698921</v>
          </cell>
          <cell r="C5813" t="str">
            <v>DOOR INTERLOCK FOR AHU</v>
          </cell>
          <cell r="D5813" t="str">
            <v>L0030151                       EnggStore</v>
          </cell>
          <cell r="E5813">
            <v>0</v>
          </cell>
          <cell r="F5813" t="str">
            <v>ND No planning</v>
          </cell>
          <cell r="G5813" t="str">
            <v>ERSA Spare parts</v>
          </cell>
          <cell r="H5813" t="str">
            <v>EN015     MaterialHandlingspar</v>
          </cell>
          <cell r="I5813" t="str">
            <v>L003 Ankleshwar</v>
          </cell>
          <cell r="J5813" t="str">
            <v>99 Input/Byprodt/Scrap</v>
          </cell>
          <cell r="K5813" t="str">
            <v>10.2012</v>
          </cell>
          <cell r="L5813">
            <v>5</v>
          </cell>
          <cell r="M5813" t="str">
            <v>EA</v>
          </cell>
          <cell r="N5813">
            <v>2398.46</v>
          </cell>
          <cell r="O5813" t="str">
            <v>INR</v>
          </cell>
        </row>
        <row r="5814">
          <cell r="A5814" t="str">
            <v>L003 Ankleshwar</v>
          </cell>
          <cell r="B5814">
            <v>699425</v>
          </cell>
          <cell r="C5814" t="str">
            <v>BOOT SEAL-NITRILE: RDCA 531R7CF1B</v>
          </cell>
          <cell r="D5814" t="str">
            <v>L0030151                       EnggStore</v>
          </cell>
          <cell r="E5814">
            <v>0</v>
          </cell>
          <cell r="F5814" t="str">
            <v>ND No planning</v>
          </cell>
          <cell r="G5814" t="str">
            <v>ERSA Spare parts</v>
          </cell>
          <cell r="H5814" t="str">
            <v>EN032     Pumpspares</v>
          </cell>
          <cell r="I5814" t="str">
            <v>L003 Ankleshwar</v>
          </cell>
          <cell r="J5814" t="str">
            <v>99 Input/Byprodt/Scrap</v>
          </cell>
          <cell r="K5814" t="str">
            <v>10.2012</v>
          </cell>
          <cell r="L5814">
            <v>2</v>
          </cell>
          <cell r="M5814" t="str">
            <v>EA</v>
          </cell>
          <cell r="N5814">
            <v>586.65999999999894</v>
          </cell>
          <cell r="O5814" t="str">
            <v>INR</v>
          </cell>
        </row>
        <row r="5815">
          <cell r="A5815" t="str">
            <v>L003 Ankleshwar</v>
          </cell>
          <cell r="B5815">
            <v>699426</v>
          </cell>
          <cell r="C5815" t="str">
            <v>BOOT SEAL RETAINER-SC: RDCA 531R7CF1B</v>
          </cell>
          <cell r="D5815" t="str">
            <v>L0030151                       EnggStore</v>
          </cell>
          <cell r="E5815">
            <v>0</v>
          </cell>
          <cell r="F5815" t="str">
            <v>ND No planning</v>
          </cell>
          <cell r="G5815" t="str">
            <v>ERSA Spare parts</v>
          </cell>
          <cell r="H5815" t="str">
            <v>EN032     Pumpspares</v>
          </cell>
          <cell r="I5815" t="str">
            <v>L003 Ankleshwar</v>
          </cell>
          <cell r="J5815" t="str">
            <v>99 Input/Byprodt/Scrap</v>
          </cell>
          <cell r="K5815" t="str">
            <v>10.2012</v>
          </cell>
          <cell r="L5815">
            <v>2</v>
          </cell>
          <cell r="M5815" t="str">
            <v>EA</v>
          </cell>
          <cell r="N5815">
            <v>543.74</v>
          </cell>
          <cell r="O5815" t="str">
            <v>INR</v>
          </cell>
        </row>
        <row r="5816">
          <cell r="A5816" t="str">
            <v>L003 Ankleshwar</v>
          </cell>
          <cell r="B5816">
            <v>699427</v>
          </cell>
          <cell r="C5816" t="str">
            <v>U J PIN-8620: RDCA 531R7CF1B</v>
          </cell>
          <cell r="D5816" t="str">
            <v>L0030151                       EnggStore</v>
          </cell>
          <cell r="E5816">
            <v>0</v>
          </cell>
          <cell r="F5816" t="str">
            <v>ND No planning</v>
          </cell>
          <cell r="G5816" t="str">
            <v>ERSA Spare parts</v>
          </cell>
          <cell r="H5816" t="str">
            <v>EN032     Pumpspares</v>
          </cell>
          <cell r="I5816" t="str">
            <v>L003 Ankleshwar</v>
          </cell>
          <cell r="J5816" t="str">
            <v>99 Input/Byprodt/Scrap</v>
          </cell>
          <cell r="K5816" t="str">
            <v>10.2012</v>
          </cell>
          <cell r="L5816">
            <v>1</v>
          </cell>
          <cell r="M5816" t="str">
            <v>EA</v>
          </cell>
          <cell r="N5816">
            <v>164.55</v>
          </cell>
          <cell r="O5816" t="str">
            <v>INR</v>
          </cell>
        </row>
        <row r="5817">
          <cell r="A5817" t="str">
            <v>L003 Ankleshwar</v>
          </cell>
          <cell r="B5817">
            <v>699428</v>
          </cell>
          <cell r="C5817" t="str">
            <v>U J HEAD-GU: RDCA 531R7CF1B</v>
          </cell>
          <cell r="D5817" t="str">
            <v>L0030151                       EnggStore</v>
          </cell>
          <cell r="E5817">
            <v>0</v>
          </cell>
          <cell r="F5817" t="str">
            <v>ND No planning</v>
          </cell>
          <cell r="G5817" t="str">
            <v>ERSA Spare parts</v>
          </cell>
          <cell r="H5817" t="str">
            <v>EN032     Pumpspares</v>
          </cell>
          <cell r="I5817" t="str">
            <v>L003 Ankleshwar</v>
          </cell>
          <cell r="J5817" t="str">
            <v>99 Input/Byprodt/Scrap</v>
          </cell>
          <cell r="K5817" t="str">
            <v>10.2012</v>
          </cell>
          <cell r="L5817">
            <v>1</v>
          </cell>
          <cell r="M5817" t="str">
            <v>EA</v>
          </cell>
          <cell r="N5817">
            <v>922.92999999999904</v>
          </cell>
          <cell r="O5817" t="str">
            <v>INR</v>
          </cell>
        </row>
        <row r="5818">
          <cell r="A5818" t="str">
            <v>L003 Ankleshwar</v>
          </cell>
          <cell r="B5818">
            <v>699429</v>
          </cell>
          <cell r="C5818" t="str">
            <v>SPRING PIN-SS304: RDCA 531R7CF1B</v>
          </cell>
          <cell r="D5818" t="str">
            <v>L0030151                       EnggStore</v>
          </cell>
          <cell r="E5818">
            <v>0</v>
          </cell>
          <cell r="F5818" t="str">
            <v>ND No planning</v>
          </cell>
          <cell r="G5818" t="str">
            <v>ERSA Spare parts</v>
          </cell>
          <cell r="H5818" t="str">
            <v>EN032     Pumpspares</v>
          </cell>
          <cell r="I5818" t="str">
            <v>L003 Ankleshwar</v>
          </cell>
          <cell r="J5818" t="str">
            <v>99 Input/Byprodt/Scrap</v>
          </cell>
          <cell r="K5818" t="str">
            <v>10.2012</v>
          </cell>
          <cell r="L5818">
            <v>6</v>
          </cell>
          <cell r="M5818" t="str">
            <v>EA</v>
          </cell>
          <cell r="N5818">
            <v>300.48</v>
          </cell>
          <cell r="O5818" t="str">
            <v>INR</v>
          </cell>
        </row>
        <row r="5819">
          <cell r="A5819" t="str">
            <v>L003 Ankleshwar</v>
          </cell>
          <cell r="B5819">
            <v>699430</v>
          </cell>
          <cell r="C5819" t="str">
            <v>BOOT SEAL RETAINING RING: RDCA 531R7CF1B</v>
          </cell>
          <cell r="D5819" t="str">
            <v>L0030151                       EnggStore</v>
          </cell>
          <cell r="E5819">
            <v>0</v>
          </cell>
          <cell r="F5819" t="str">
            <v>ND No planning</v>
          </cell>
          <cell r="G5819" t="str">
            <v>ERSA Spare parts</v>
          </cell>
          <cell r="H5819" t="str">
            <v>EN032     Pumpspares</v>
          </cell>
          <cell r="I5819" t="str">
            <v>L003 Ankleshwar</v>
          </cell>
          <cell r="J5819" t="str">
            <v>99 Input/Byprodt/Scrap</v>
          </cell>
          <cell r="K5819" t="str">
            <v>10.2012</v>
          </cell>
          <cell r="L5819">
            <v>4</v>
          </cell>
          <cell r="M5819" t="str">
            <v>EA</v>
          </cell>
          <cell r="N5819">
            <v>658.2</v>
          </cell>
          <cell r="O5819" t="str">
            <v>INR</v>
          </cell>
        </row>
        <row r="5820">
          <cell r="A5820" t="str">
            <v>L003 Ankleshwar</v>
          </cell>
          <cell r="B5820">
            <v>699764</v>
          </cell>
          <cell r="C5820" t="str">
            <v>CHAIN SPROCKET SIMPLEX 5"X3/4"PITCH 20T</v>
          </cell>
          <cell r="D5820" t="str">
            <v>L0030151                       EnggStore</v>
          </cell>
          <cell r="E5820" t="str">
            <v>E35 E35</v>
          </cell>
          <cell r="F5820" t="str">
            <v>VB Manual reorder point planning</v>
          </cell>
          <cell r="G5820" t="str">
            <v>ERSA Spare parts</v>
          </cell>
          <cell r="H5820" t="str">
            <v>EN024     EnggConsumables</v>
          </cell>
          <cell r="I5820" t="str">
            <v>L003 Ankleshwar</v>
          </cell>
          <cell r="J5820" t="str">
            <v>99 Input/Byprodt/Scrap</v>
          </cell>
          <cell r="K5820" t="str">
            <v>10.2012</v>
          </cell>
          <cell r="L5820">
            <v>1</v>
          </cell>
          <cell r="M5820" t="str">
            <v>EA</v>
          </cell>
          <cell r="N5820">
            <v>365</v>
          </cell>
          <cell r="O5820" t="str">
            <v>INR</v>
          </cell>
        </row>
        <row r="5821">
          <cell r="A5821" t="str">
            <v>L003 Ankleshwar</v>
          </cell>
          <cell r="B5821">
            <v>699827</v>
          </cell>
          <cell r="C5821" t="str">
            <v>CI BEARING COVER: KPD-50/16 QF</v>
          </cell>
          <cell r="D5821" t="str">
            <v>L0030151                       EnggStore</v>
          </cell>
          <cell r="E5821" t="str">
            <v>E34 E34</v>
          </cell>
          <cell r="F5821" t="str">
            <v>VB Manual reorder point planning</v>
          </cell>
          <cell r="G5821" t="str">
            <v>ERSA Spare parts</v>
          </cell>
          <cell r="H5821" t="str">
            <v>EN032     Pumpspares</v>
          </cell>
          <cell r="I5821" t="str">
            <v>L003 Ankleshwar</v>
          </cell>
          <cell r="J5821" t="str">
            <v>99 Input/Byprodt/Scrap</v>
          </cell>
          <cell r="K5821" t="str">
            <v>10.2012</v>
          </cell>
          <cell r="L5821">
            <v>1</v>
          </cell>
          <cell r="M5821" t="str">
            <v>EA</v>
          </cell>
          <cell r="N5821">
            <v>1107.67</v>
          </cell>
          <cell r="O5821" t="str">
            <v>INR</v>
          </cell>
        </row>
        <row r="5822">
          <cell r="A5822" t="str">
            <v>L003 Ankleshwar</v>
          </cell>
          <cell r="B5822">
            <v>699906</v>
          </cell>
          <cell r="C5822" t="str">
            <v>SNAP RING,PN-0301-508:LUTZ PUMP 41L DL</v>
          </cell>
          <cell r="D5822" t="str">
            <v>L0030151                       EnggStore</v>
          </cell>
          <cell r="E5822">
            <v>0</v>
          </cell>
          <cell r="F5822" t="str">
            <v>ND No planning</v>
          </cell>
          <cell r="G5822" t="str">
            <v>ERSA Spare parts</v>
          </cell>
          <cell r="H5822" t="str">
            <v>EN032     Pumpspares</v>
          </cell>
          <cell r="I5822" t="str">
            <v>L003 Ankleshwar</v>
          </cell>
          <cell r="J5822" t="str">
            <v>99 Input/Byprodt/Scrap</v>
          </cell>
          <cell r="K5822" t="str">
            <v>10.2012</v>
          </cell>
          <cell r="L5822">
            <v>2</v>
          </cell>
          <cell r="M5822" t="str">
            <v>EA</v>
          </cell>
          <cell r="N5822">
            <v>320.23</v>
          </cell>
          <cell r="O5822" t="str">
            <v>INR</v>
          </cell>
        </row>
        <row r="5823">
          <cell r="A5823" t="str">
            <v>L003 Ankleshwar</v>
          </cell>
          <cell r="B5823">
            <v>700156</v>
          </cell>
          <cell r="C5823" t="str">
            <v>ACETONITRILE HPLC 2.5 LTR PACK</v>
          </cell>
          <cell r="D5823" t="str">
            <v>L0030151                       EnggStore</v>
          </cell>
          <cell r="E5823" t="str">
            <v>E03 E03</v>
          </cell>
          <cell r="F5823" t="str">
            <v>ND No planning</v>
          </cell>
          <cell r="G5823" t="str">
            <v>HIBE Operating supplies</v>
          </cell>
          <cell r="H5823" t="str">
            <v>EN034     LabConsumables</v>
          </cell>
          <cell r="I5823" t="str">
            <v>L003 Ankleshwar</v>
          </cell>
          <cell r="J5823" t="str">
            <v>99 Input/Byprodt/Scrap</v>
          </cell>
          <cell r="K5823" t="str">
            <v>10.2012</v>
          </cell>
          <cell r="L5823">
            <v>1</v>
          </cell>
          <cell r="M5823" t="str">
            <v>EA</v>
          </cell>
          <cell r="N5823">
            <v>510.43</v>
          </cell>
          <cell r="O5823" t="str">
            <v>INR</v>
          </cell>
        </row>
        <row r="5824">
          <cell r="A5824" t="str">
            <v>L003 Ankleshwar</v>
          </cell>
          <cell r="B5824">
            <v>700156</v>
          </cell>
          <cell r="C5824" t="str">
            <v>ACETONITRILE HPLC 2.5 LTR PACK</v>
          </cell>
          <cell r="D5824" t="str">
            <v>L0030201                       Cons StoreKP</v>
          </cell>
          <cell r="E5824" t="str">
            <v>E03 E03</v>
          </cell>
          <cell r="F5824" t="str">
            <v>ND No planning</v>
          </cell>
          <cell r="G5824" t="str">
            <v>HIBE Operating supplies</v>
          </cell>
          <cell r="H5824" t="str">
            <v>EN034     LabConsumables</v>
          </cell>
          <cell r="I5824" t="str">
            <v>L003 Ankleshwar</v>
          </cell>
          <cell r="J5824" t="str">
            <v>99 Input/Byprodt/Scrap</v>
          </cell>
          <cell r="K5824" t="str">
            <v>10.2012</v>
          </cell>
          <cell r="L5824">
            <v>99</v>
          </cell>
          <cell r="M5824" t="str">
            <v>EA</v>
          </cell>
          <cell r="N5824">
            <v>50532.809999999903</v>
          </cell>
          <cell r="O5824" t="str">
            <v>INR</v>
          </cell>
        </row>
        <row r="5825">
          <cell r="A5825" t="str">
            <v>L003 Ankleshwar</v>
          </cell>
          <cell r="B5825">
            <v>700379</v>
          </cell>
          <cell r="C5825" t="str">
            <v>BIG CELL 1.5 V</v>
          </cell>
          <cell r="D5825" t="str">
            <v>L0030151                       EnggStore</v>
          </cell>
          <cell r="E5825" t="str">
            <v>E42 E42</v>
          </cell>
          <cell r="F5825" t="str">
            <v>VB Manual reorder point planning</v>
          </cell>
          <cell r="G5825" t="str">
            <v>HIBE Operating supplies</v>
          </cell>
          <cell r="H5825" t="str">
            <v>EN027     Prod&amp;OtherConsumable</v>
          </cell>
          <cell r="I5825" t="str">
            <v>L003 Ankleshwar</v>
          </cell>
          <cell r="J5825" t="str">
            <v>99 Input/Byprodt/Scrap</v>
          </cell>
          <cell r="K5825" t="str">
            <v>10.2012</v>
          </cell>
          <cell r="L5825">
            <v>802</v>
          </cell>
          <cell r="M5825" t="str">
            <v>EA</v>
          </cell>
          <cell r="N5825">
            <v>8070.1199999999899</v>
          </cell>
          <cell r="O5825" t="str">
            <v>INR</v>
          </cell>
        </row>
        <row r="5826">
          <cell r="A5826" t="str">
            <v>L003 Ankleshwar</v>
          </cell>
          <cell r="B5826">
            <v>700379</v>
          </cell>
          <cell r="C5826" t="str">
            <v>BIG CELL 1.5 V</v>
          </cell>
          <cell r="D5826" t="str">
            <v>L0030201                       Cons StoreKP</v>
          </cell>
          <cell r="E5826" t="str">
            <v>E42 E42</v>
          </cell>
          <cell r="F5826" t="str">
            <v>VB Manual reorder point planning</v>
          </cell>
          <cell r="G5826" t="str">
            <v>HIBE Operating supplies</v>
          </cell>
          <cell r="H5826" t="str">
            <v>EN027     Prod&amp;OtherConsumable</v>
          </cell>
          <cell r="I5826" t="str">
            <v>L003 Ankleshwar</v>
          </cell>
          <cell r="J5826" t="str">
            <v>99 Input/Byprodt/Scrap</v>
          </cell>
          <cell r="K5826" t="str">
            <v>10.2012</v>
          </cell>
          <cell r="L5826">
            <v>326</v>
          </cell>
          <cell r="M5826" t="str">
            <v>EA</v>
          </cell>
          <cell r="N5826">
            <v>3280.3699999999899</v>
          </cell>
          <cell r="O5826" t="str">
            <v>INR</v>
          </cell>
        </row>
        <row r="5827">
          <cell r="A5827" t="str">
            <v>L003 Ankleshwar</v>
          </cell>
          <cell r="B5827">
            <v>700395</v>
          </cell>
          <cell r="C5827" t="str">
            <v>BOSS HEAD 40MM BRASS</v>
          </cell>
          <cell r="D5827" t="str">
            <v>L0030151                       EnggStore</v>
          </cell>
          <cell r="E5827" t="str">
            <v>E02 E02</v>
          </cell>
          <cell r="F5827" t="str">
            <v>ND No planning</v>
          </cell>
          <cell r="G5827" t="str">
            <v>HIBE Operating supplies</v>
          </cell>
          <cell r="H5827" t="str">
            <v>EN027     Prod&amp;OtherConsumable</v>
          </cell>
          <cell r="I5827" t="str">
            <v>L003 Ankleshwar</v>
          </cell>
          <cell r="J5827" t="str">
            <v>99 Input/Byprodt/Scrap</v>
          </cell>
          <cell r="K5827" t="str">
            <v>10.2012</v>
          </cell>
          <cell r="L5827">
            <v>12</v>
          </cell>
          <cell r="M5827" t="str">
            <v>EA</v>
          </cell>
          <cell r="N5827">
            <v>2534.63</v>
          </cell>
          <cell r="O5827" t="str">
            <v>INR</v>
          </cell>
        </row>
        <row r="5828">
          <cell r="A5828" t="str">
            <v>L003 Ankleshwar</v>
          </cell>
          <cell r="B5828">
            <v>700468</v>
          </cell>
          <cell r="C5828" t="str">
            <v>BUFFER CAPSULES MERCK MAKE PH 7</v>
          </cell>
          <cell r="D5828" t="str">
            <v>L0030151                       EnggStore</v>
          </cell>
          <cell r="E5828" t="str">
            <v>E02 E02</v>
          </cell>
          <cell r="F5828" t="str">
            <v>ND No planning</v>
          </cell>
          <cell r="G5828" t="str">
            <v>HIBE Operating supplies</v>
          </cell>
          <cell r="H5828" t="str">
            <v>EN027     Prod&amp;OtherConsumable</v>
          </cell>
          <cell r="I5828" t="str">
            <v>L003 Ankleshwar</v>
          </cell>
          <cell r="J5828" t="str">
            <v>99 Input/Byprodt/Scrap</v>
          </cell>
          <cell r="K5828" t="str">
            <v>10.2012</v>
          </cell>
          <cell r="L5828">
            <v>4</v>
          </cell>
          <cell r="M5828" t="str">
            <v>EA</v>
          </cell>
          <cell r="N5828">
            <v>247</v>
          </cell>
          <cell r="O5828" t="str">
            <v>INR</v>
          </cell>
        </row>
        <row r="5829">
          <cell r="A5829" t="str">
            <v>L003 Ankleshwar</v>
          </cell>
          <cell r="B5829">
            <v>700469</v>
          </cell>
          <cell r="C5829" t="str">
            <v>BUFFER CAPSULES MERCK MAKE PH 9.2</v>
          </cell>
          <cell r="D5829" t="str">
            <v>L0030151                       EnggStore</v>
          </cell>
          <cell r="E5829" t="str">
            <v>E02 E02</v>
          </cell>
          <cell r="F5829" t="str">
            <v>ND No planning</v>
          </cell>
          <cell r="G5829" t="str">
            <v>HIBE Operating supplies</v>
          </cell>
          <cell r="H5829" t="str">
            <v>EN027     Prod&amp;OtherConsumable</v>
          </cell>
          <cell r="I5829" t="str">
            <v>L003 Ankleshwar</v>
          </cell>
          <cell r="J5829" t="str">
            <v>99 Input/Byprodt/Scrap</v>
          </cell>
          <cell r="K5829" t="str">
            <v>10.2012</v>
          </cell>
          <cell r="L5829">
            <v>5</v>
          </cell>
          <cell r="M5829" t="str">
            <v>EA</v>
          </cell>
          <cell r="N5829">
            <v>292.5</v>
          </cell>
          <cell r="O5829" t="str">
            <v>INR</v>
          </cell>
        </row>
        <row r="5830">
          <cell r="A5830" t="str">
            <v>L003 Ankleshwar</v>
          </cell>
          <cell r="B5830">
            <v>700470</v>
          </cell>
          <cell r="C5830" t="str">
            <v>BUFFER CAPSULES MERCK MAKE PH4</v>
          </cell>
          <cell r="D5830" t="str">
            <v>L0030151                       EnggStore</v>
          </cell>
          <cell r="E5830" t="str">
            <v>E02 E02</v>
          </cell>
          <cell r="F5830" t="str">
            <v>ND No planning</v>
          </cell>
          <cell r="G5830" t="str">
            <v>HIBE Operating supplies</v>
          </cell>
          <cell r="H5830" t="str">
            <v>EN027     Prod&amp;OtherConsumable</v>
          </cell>
          <cell r="I5830" t="str">
            <v>L003 Ankleshwar</v>
          </cell>
          <cell r="J5830" t="str">
            <v>99 Input/Byprodt/Scrap</v>
          </cell>
          <cell r="K5830" t="str">
            <v>10.2012</v>
          </cell>
          <cell r="L5830">
            <v>6</v>
          </cell>
          <cell r="M5830" t="str">
            <v>EA</v>
          </cell>
          <cell r="N5830">
            <v>370.5</v>
          </cell>
          <cell r="O5830" t="str">
            <v>INR</v>
          </cell>
        </row>
        <row r="5831">
          <cell r="A5831" t="str">
            <v>L003 Ankleshwar</v>
          </cell>
          <cell r="B5831">
            <v>700489</v>
          </cell>
          <cell r="C5831" t="str">
            <v>BUNGS HDPE 50MM FOR 200LTR HDPE DRUMS.</v>
          </cell>
          <cell r="D5831" t="str">
            <v>L0030151                       EnggStore</v>
          </cell>
          <cell r="E5831" t="str">
            <v>E42 E42</v>
          </cell>
          <cell r="F5831" t="str">
            <v>VB Manual reorder point planning</v>
          </cell>
          <cell r="G5831" t="str">
            <v>HIBE Operating supplies</v>
          </cell>
          <cell r="H5831" t="str">
            <v>EN027     Prod&amp;OtherConsumable</v>
          </cell>
          <cell r="I5831" t="str">
            <v>L003 Ankleshwar</v>
          </cell>
          <cell r="J5831" t="str">
            <v>99 Input/Byprodt/Scrap</v>
          </cell>
          <cell r="K5831" t="str">
            <v>10.2012</v>
          </cell>
          <cell r="L5831">
            <v>100</v>
          </cell>
          <cell r="M5831" t="str">
            <v>EA</v>
          </cell>
          <cell r="N5831">
            <v>1449.2</v>
          </cell>
          <cell r="O5831" t="str">
            <v>INR</v>
          </cell>
        </row>
        <row r="5832">
          <cell r="A5832" t="str">
            <v>L003 Ankleshwar</v>
          </cell>
          <cell r="B5832">
            <v>700490</v>
          </cell>
          <cell r="C5832" t="str">
            <v>BUNGS,50MM,MS,FOR 200LTR DRUMS</v>
          </cell>
          <cell r="D5832" t="str">
            <v>L0030151                       EnggStore</v>
          </cell>
          <cell r="E5832" t="str">
            <v>E42 E42</v>
          </cell>
          <cell r="F5832" t="str">
            <v>VB Manual reorder point planning</v>
          </cell>
          <cell r="G5832" t="str">
            <v>HIBE Operating supplies</v>
          </cell>
          <cell r="H5832" t="str">
            <v>EN027     Prod&amp;OtherConsumable</v>
          </cell>
          <cell r="I5832" t="str">
            <v>L003 Ankleshwar</v>
          </cell>
          <cell r="J5832" t="str">
            <v>99 Input/Byprodt/Scrap</v>
          </cell>
          <cell r="K5832" t="str">
            <v>10.2012</v>
          </cell>
          <cell r="L5832">
            <v>200</v>
          </cell>
          <cell r="M5832" t="str">
            <v>EA</v>
          </cell>
          <cell r="N5832">
            <v>2800</v>
          </cell>
          <cell r="O5832" t="str">
            <v>INR</v>
          </cell>
        </row>
        <row r="5833">
          <cell r="A5833" t="str">
            <v>L003 Ankleshwar</v>
          </cell>
          <cell r="B5833">
            <v>700564</v>
          </cell>
          <cell r="C5833" t="str">
            <v>CELL PENCIL TYPE 1.5 VOLT</v>
          </cell>
          <cell r="D5833" t="str">
            <v>L0030151                       EnggStore</v>
          </cell>
          <cell r="E5833" t="str">
            <v>E42 E42</v>
          </cell>
          <cell r="F5833" t="str">
            <v>VB Manual reorder point planning</v>
          </cell>
          <cell r="G5833" t="str">
            <v>HIBE Operating supplies</v>
          </cell>
          <cell r="H5833" t="str">
            <v>EN027     Prod&amp;OtherConsumable</v>
          </cell>
          <cell r="I5833" t="str">
            <v>L003 Ankleshwar</v>
          </cell>
          <cell r="J5833" t="str">
            <v>99 Input/Byprodt/Scrap</v>
          </cell>
          <cell r="K5833" t="str">
            <v>10.2012</v>
          </cell>
          <cell r="L5833">
            <v>161</v>
          </cell>
          <cell r="M5833" t="str">
            <v>EA</v>
          </cell>
          <cell r="N5833">
            <v>786.88</v>
          </cell>
          <cell r="O5833" t="str">
            <v>INR</v>
          </cell>
        </row>
        <row r="5834">
          <cell r="A5834" t="str">
            <v>L003 Ankleshwar</v>
          </cell>
          <cell r="B5834">
            <v>700564</v>
          </cell>
          <cell r="C5834" t="str">
            <v>CELL PENCIL TYPE 1.5 VOLT</v>
          </cell>
          <cell r="D5834" t="str">
            <v>L0030201                       Cons StoreKP</v>
          </cell>
          <cell r="E5834" t="str">
            <v>E42 E42</v>
          </cell>
          <cell r="F5834" t="str">
            <v>VB Manual reorder point planning</v>
          </cell>
          <cell r="G5834" t="str">
            <v>HIBE Operating supplies</v>
          </cell>
          <cell r="H5834" t="str">
            <v>EN027     Prod&amp;OtherConsumable</v>
          </cell>
          <cell r="I5834" t="str">
            <v>L003 Ankleshwar</v>
          </cell>
          <cell r="J5834" t="str">
            <v>99 Input/Byprodt/Scrap</v>
          </cell>
          <cell r="K5834" t="str">
            <v>10.2012</v>
          </cell>
          <cell r="L5834">
            <v>1</v>
          </cell>
          <cell r="M5834" t="str">
            <v>EA</v>
          </cell>
          <cell r="N5834">
            <v>4.8899999999999899</v>
          </cell>
          <cell r="O5834" t="str">
            <v>INR</v>
          </cell>
        </row>
        <row r="5835">
          <cell r="A5835" t="str">
            <v>L003 Ankleshwar</v>
          </cell>
          <cell r="B5835">
            <v>700629</v>
          </cell>
          <cell r="C5835" t="str">
            <v>CITRIC ACID (COMMERCIAL GRADE)</v>
          </cell>
          <cell r="D5835" t="str">
            <v>L0030151                       EnggStore</v>
          </cell>
          <cell r="E5835" t="str">
            <v>E01 E01</v>
          </cell>
          <cell r="F5835" t="str">
            <v>VB Manual reorder point planning</v>
          </cell>
          <cell r="G5835" t="str">
            <v>HIBE Operating supplies</v>
          </cell>
          <cell r="H5835" t="str">
            <v>EN034     LabConsumables</v>
          </cell>
          <cell r="I5835" t="str">
            <v>L003 Ankleshwar</v>
          </cell>
          <cell r="J5835" t="str">
            <v>99 Input/Byprodt/Scrap</v>
          </cell>
          <cell r="K5835" t="str">
            <v>10.2012</v>
          </cell>
          <cell r="L5835">
            <v>90</v>
          </cell>
          <cell r="M5835" t="str">
            <v>KG</v>
          </cell>
          <cell r="N5835">
            <v>7345</v>
          </cell>
          <cell r="O5835" t="str">
            <v>INR</v>
          </cell>
        </row>
        <row r="5836">
          <cell r="A5836" t="str">
            <v>L003 Ankleshwar</v>
          </cell>
          <cell r="B5836">
            <v>700810</v>
          </cell>
          <cell r="C5836" t="str">
            <v>DESPOSABLE CAP</v>
          </cell>
          <cell r="D5836" t="str">
            <v>L0030151                       EnggStore</v>
          </cell>
          <cell r="E5836" t="str">
            <v>E42 E42</v>
          </cell>
          <cell r="F5836" t="str">
            <v>VB Manual reorder point planning</v>
          </cell>
          <cell r="G5836" t="str">
            <v>HIBE Operating supplies</v>
          </cell>
          <cell r="H5836" t="str">
            <v>EN027     Prod&amp;OtherConsumable</v>
          </cell>
          <cell r="I5836" t="str">
            <v>L003 Ankleshwar</v>
          </cell>
          <cell r="J5836" t="str">
            <v>99 Input/Byprodt/Scrap</v>
          </cell>
          <cell r="K5836" t="str">
            <v>10.2012</v>
          </cell>
          <cell r="L5836">
            <v>7800</v>
          </cell>
          <cell r="M5836" t="str">
            <v>EA</v>
          </cell>
          <cell r="N5836">
            <v>14430</v>
          </cell>
          <cell r="O5836" t="str">
            <v>INR</v>
          </cell>
        </row>
        <row r="5837">
          <cell r="A5837" t="str">
            <v>L003 Ankleshwar</v>
          </cell>
          <cell r="B5837">
            <v>700815</v>
          </cell>
          <cell r="C5837" t="str">
            <v>DEXTRINE 50 KGS BAG</v>
          </cell>
          <cell r="D5837" t="str">
            <v>L0030201                       Cons StoreKP</v>
          </cell>
          <cell r="E5837" t="str">
            <v>E01 E01</v>
          </cell>
          <cell r="F5837" t="str">
            <v>VB Manual reorder point planning</v>
          </cell>
          <cell r="G5837" t="str">
            <v>HIBE Operating supplies</v>
          </cell>
          <cell r="H5837" t="str">
            <v>EN027     Prod&amp;OtherConsumable</v>
          </cell>
          <cell r="I5837" t="str">
            <v>L003 Ankleshwar</v>
          </cell>
          <cell r="J5837" t="str">
            <v>99 Input/Byprodt/Scrap</v>
          </cell>
          <cell r="K5837" t="str">
            <v>10.2012</v>
          </cell>
          <cell r="L5837">
            <v>11</v>
          </cell>
          <cell r="M5837" t="str">
            <v>EA</v>
          </cell>
          <cell r="N5837">
            <v>22901.389999999901</v>
          </cell>
          <cell r="O5837" t="str">
            <v>INR</v>
          </cell>
        </row>
        <row r="5838">
          <cell r="A5838" t="str">
            <v>L003 Ankleshwar</v>
          </cell>
          <cell r="B5838">
            <v>700910</v>
          </cell>
          <cell r="C5838" t="str">
            <v>DUSTER CLOTH (YELLOW)</v>
          </cell>
          <cell r="D5838" t="str">
            <v>L0030151                       EnggStore</v>
          </cell>
          <cell r="E5838" t="str">
            <v>E42 E42</v>
          </cell>
          <cell r="F5838" t="str">
            <v>VB Manual reorder point planning</v>
          </cell>
          <cell r="G5838" t="str">
            <v>HIBE Operating supplies</v>
          </cell>
          <cell r="H5838" t="str">
            <v>EN034     LabConsumables</v>
          </cell>
          <cell r="I5838" t="str">
            <v>L003 Ankleshwar</v>
          </cell>
          <cell r="J5838" t="str">
            <v>99 Input/Byprodt/Scrap</v>
          </cell>
          <cell r="K5838" t="str">
            <v>10.2012</v>
          </cell>
          <cell r="L5838">
            <v>154</v>
          </cell>
          <cell r="M5838" t="str">
            <v>EA</v>
          </cell>
          <cell r="N5838">
            <v>866.75999999999897</v>
          </cell>
          <cell r="O5838" t="str">
            <v>INR</v>
          </cell>
        </row>
        <row r="5839">
          <cell r="A5839" t="str">
            <v>L003 Ankleshwar</v>
          </cell>
          <cell r="B5839">
            <v>700910</v>
          </cell>
          <cell r="C5839" t="str">
            <v>DUSTER CLOTH (YELLOW)</v>
          </cell>
          <cell r="D5839" t="str">
            <v>L0030201                       Cons StoreKP</v>
          </cell>
          <cell r="E5839" t="str">
            <v>E42 E42</v>
          </cell>
          <cell r="F5839" t="str">
            <v>VB Manual reorder point planning</v>
          </cell>
          <cell r="G5839" t="str">
            <v>HIBE Operating supplies</v>
          </cell>
          <cell r="H5839" t="str">
            <v>EN034     LabConsumables</v>
          </cell>
          <cell r="I5839" t="str">
            <v>L003 Ankleshwar</v>
          </cell>
          <cell r="J5839" t="str">
            <v>99 Input/Byprodt/Scrap</v>
          </cell>
          <cell r="K5839" t="str">
            <v>10.2012</v>
          </cell>
          <cell r="L5839">
            <v>33</v>
          </cell>
          <cell r="M5839" t="str">
            <v>EA</v>
          </cell>
          <cell r="N5839">
            <v>185.74</v>
          </cell>
          <cell r="O5839" t="str">
            <v>INR</v>
          </cell>
        </row>
        <row r="5840">
          <cell r="A5840" t="str">
            <v>L003 Ankleshwar</v>
          </cell>
          <cell r="B5840">
            <v>700940</v>
          </cell>
          <cell r="C5840" t="str">
            <v>DP-900 C/F BAG 36"(COMON)F/ETB/AC/AD/ETP</v>
          </cell>
          <cell r="D5840" t="str">
            <v>L0030151                       EnggStore</v>
          </cell>
          <cell r="E5840" t="str">
            <v>E42 E42</v>
          </cell>
          <cell r="F5840" t="str">
            <v>VB Manual reorder point planning</v>
          </cell>
          <cell r="G5840" t="str">
            <v>HIBE Operating supplies</v>
          </cell>
          <cell r="H5840" t="str">
            <v>EN001     Filters Spares</v>
          </cell>
          <cell r="I5840" t="str">
            <v>L003 Ankleshwar</v>
          </cell>
          <cell r="J5840" t="str">
            <v>99 Input/Byprodt/Scrap</v>
          </cell>
          <cell r="K5840" t="str">
            <v>10.2012</v>
          </cell>
          <cell r="L5840">
            <v>11</v>
          </cell>
          <cell r="M5840" t="str">
            <v>EA</v>
          </cell>
          <cell r="N5840">
            <v>5541.1099999999897</v>
          </cell>
          <cell r="O5840" t="str">
            <v>INR</v>
          </cell>
        </row>
        <row r="5841">
          <cell r="A5841" t="str">
            <v>L003 Ankleshwar</v>
          </cell>
          <cell r="B5841">
            <v>700940</v>
          </cell>
          <cell r="C5841" t="str">
            <v>DP-900 C/F BAG 36"(COMON)F/ETB/AC/AD/ETP</v>
          </cell>
          <cell r="D5841" t="str">
            <v>L0030201                       Cons StoreKP</v>
          </cell>
          <cell r="E5841" t="str">
            <v>E42 E42</v>
          </cell>
          <cell r="F5841" t="str">
            <v>VB Manual reorder point planning</v>
          </cell>
          <cell r="G5841" t="str">
            <v>HIBE Operating supplies</v>
          </cell>
          <cell r="H5841" t="str">
            <v>EN001     Filters Spares</v>
          </cell>
          <cell r="I5841" t="str">
            <v>L003 Ankleshwar</v>
          </cell>
          <cell r="J5841" t="str">
            <v>99 Input/Byprodt/Scrap</v>
          </cell>
          <cell r="K5841" t="str">
            <v>10.2012</v>
          </cell>
          <cell r="L5841">
            <v>2</v>
          </cell>
          <cell r="M5841" t="str">
            <v>EA</v>
          </cell>
          <cell r="N5841">
            <v>1007.48</v>
          </cell>
          <cell r="O5841" t="str">
            <v>INR</v>
          </cell>
        </row>
        <row r="5842">
          <cell r="A5842" t="str">
            <v>L003 Ankleshwar</v>
          </cell>
          <cell r="B5842">
            <v>700943</v>
          </cell>
          <cell r="C5842" t="str">
            <v>DP-900 C/F BAG 48"(COMON)F/ETB/AC/AD/ETP</v>
          </cell>
          <cell r="D5842" t="str">
            <v>L0030151                       EnggStore</v>
          </cell>
          <cell r="E5842" t="str">
            <v>E42 E42</v>
          </cell>
          <cell r="F5842" t="str">
            <v>VB Manual reorder point planning</v>
          </cell>
          <cell r="G5842" t="str">
            <v>HIBE Operating supplies</v>
          </cell>
          <cell r="H5842" t="str">
            <v>EN001     Filters Spares</v>
          </cell>
          <cell r="I5842" t="str">
            <v>L003 Ankleshwar</v>
          </cell>
          <cell r="J5842" t="str">
            <v>99 Input/Byprodt/Scrap</v>
          </cell>
          <cell r="K5842" t="str">
            <v>10.2012</v>
          </cell>
          <cell r="L5842">
            <v>5</v>
          </cell>
          <cell r="M5842" t="str">
            <v>EA</v>
          </cell>
          <cell r="N5842">
            <v>3830</v>
          </cell>
          <cell r="O5842" t="str">
            <v>INR</v>
          </cell>
        </row>
        <row r="5843">
          <cell r="A5843" t="str">
            <v>L003 Ankleshwar</v>
          </cell>
          <cell r="B5843">
            <v>700943</v>
          </cell>
          <cell r="C5843" t="str">
            <v>DP-900 C/F BAG 48"(COMON)F/ETB/AC/AD/ETP</v>
          </cell>
          <cell r="D5843" t="str">
            <v>L0030201                       Cons StoreKP</v>
          </cell>
          <cell r="E5843" t="str">
            <v>E42 E42</v>
          </cell>
          <cell r="F5843" t="str">
            <v>VB Manual reorder point planning</v>
          </cell>
          <cell r="G5843" t="str">
            <v>HIBE Operating supplies</v>
          </cell>
          <cell r="H5843" t="str">
            <v>EN001     Filters Spares</v>
          </cell>
          <cell r="I5843" t="str">
            <v>L003 Ankleshwar</v>
          </cell>
          <cell r="J5843" t="str">
            <v>99 Input/Byprodt/Scrap</v>
          </cell>
          <cell r="K5843" t="str">
            <v>10.2012</v>
          </cell>
          <cell r="L5843">
            <v>2</v>
          </cell>
          <cell r="M5843" t="str">
            <v>EA</v>
          </cell>
          <cell r="N5843">
            <v>1532</v>
          </cell>
          <cell r="O5843" t="str">
            <v>INR</v>
          </cell>
        </row>
        <row r="5844">
          <cell r="A5844" t="str">
            <v>L003 Ankleshwar</v>
          </cell>
          <cell r="B5844">
            <v>700968</v>
          </cell>
          <cell r="C5844" t="str">
            <v>DRY BATTERY 9 VOLT DC</v>
          </cell>
          <cell r="D5844" t="str">
            <v>L0030151                       EnggStore</v>
          </cell>
          <cell r="E5844" t="str">
            <v>E42 E42</v>
          </cell>
          <cell r="F5844" t="str">
            <v>VB Manual reorder point planning</v>
          </cell>
          <cell r="G5844" t="str">
            <v>HIBE Operating supplies</v>
          </cell>
          <cell r="H5844" t="str">
            <v>EN027     Prod&amp;OtherConsumable</v>
          </cell>
          <cell r="I5844" t="str">
            <v>L003 Ankleshwar</v>
          </cell>
          <cell r="J5844" t="str">
            <v>99 Input/Byprodt/Scrap</v>
          </cell>
          <cell r="K5844" t="str">
            <v>10.2012</v>
          </cell>
          <cell r="L5844">
            <v>11</v>
          </cell>
          <cell r="M5844" t="str">
            <v>EA</v>
          </cell>
          <cell r="N5844">
            <v>428.38</v>
          </cell>
          <cell r="O5844" t="str">
            <v>INR</v>
          </cell>
        </row>
        <row r="5845">
          <cell r="A5845" t="str">
            <v>L003 Ankleshwar</v>
          </cell>
          <cell r="B5845">
            <v>700969</v>
          </cell>
          <cell r="C5845" t="str">
            <v>DRY CHEMICAL POWDER</v>
          </cell>
          <cell r="D5845" t="str">
            <v>L0030151                       EnggStore</v>
          </cell>
          <cell r="E5845" t="str">
            <v>E01 E01</v>
          </cell>
          <cell r="F5845" t="str">
            <v>VB Manual reorder point planning</v>
          </cell>
          <cell r="G5845" t="str">
            <v>HIBE Operating supplies</v>
          </cell>
          <cell r="H5845" t="str">
            <v>EN010     Fire&amp;safety</v>
          </cell>
          <cell r="I5845" t="str">
            <v>L003 Ankleshwar</v>
          </cell>
          <cell r="J5845" t="str">
            <v>99 Input/Byprodt/Scrap</v>
          </cell>
          <cell r="K5845" t="str">
            <v>10.2012</v>
          </cell>
          <cell r="L5845">
            <v>225</v>
          </cell>
          <cell r="M5845" t="str">
            <v>KG</v>
          </cell>
          <cell r="N5845">
            <v>7481.25</v>
          </cell>
          <cell r="O5845" t="str">
            <v>INR</v>
          </cell>
        </row>
        <row r="5846">
          <cell r="A5846" t="str">
            <v>L003 Ankleshwar</v>
          </cell>
          <cell r="B5846">
            <v>700980</v>
          </cell>
          <cell r="C5846" t="str">
            <v>DUSTER CLOTH</v>
          </cell>
          <cell r="D5846" t="str">
            <v>L0030151                       EnggStore</v>
          </cell>
          <cell r="E5846" t="str">
            <v>E42 E42</v>
          </cell>
          <cell r="F5846" t="str">
            <v>VB Manual reorder point planning</v>
          </cell>
          <cell r="G5846" t="str">
            <v>HIBE Operating supplies</v>
          </cell>
          <cell r="H5846" t="str">
            <v>EN014     Housekeeping</v>
          </cell>
          <cell r="I5846" t="str">
            <v>L003 Ankleshwar</v>
          </cell>
          <cell r="J5846" t="str">
            <v>99 Input/Byprodt/Scrap</v>
          </cell>
          <cell r="K5846" t="str">
            <v>10.2012</v>
          </cell>
          <cell r="L5846">
            <v>1144</v>
          </cell>
          <cell r="M5846" t="str">
            <v>EA</v>
          </cell>
          <cell r="N5846">
            <v>8579.9799999999905</v>
          </cell>
          <cell r="O5846" t="str">
            <v>INR</v>
          </cell>
        </row>
        <row r="5847">
          <cell r="A5847" t="str">
            <v>L003 Ankleshwar</v>
          </cell>
          <cell r="B5847">
            <v>700980</v>
          </cell>
          <cell r="C5847" t="str">
            <v>DUSTER CLOTH</v>
          </cell>
          <cell r="D5847" t="str">
            <v>L0030201                       Cons StoreKP</v>
          </cell>
          <cell r="E5847" t="str">
            <v>E42 E42</v>
          </cell>
          <cell r="F5847" t="str">
            <v>VB Manual reorder point planning</v>
          </cell>
          <cell r="G5847" t="str">
            <v>HIBE Operating supplies</v>
          </cell>
          <cell r="H5847" t="str">
            <v>EN014     Housekeeping</v>
          </cell>
          <cell r="I5847" t="str">
            <v>L003 Ankleshwar</v>
          </cell>
          <cell r="J5847" t="str">
            <v>99 Input/Byprodt/Scrap</v>
          </cell>
          <cell r="K5847" t="str">
            <v>10.2012</v>
          </cell>
          <cell r="L5847">
            <v>523</v>
          </cell>
          <cell r="M5847" t="str">
            <v>EA</v>
          </cell>
          <cell r="N5847">
            <v>3922.4899999999898</v>
          </cell>
          <cell r="O5847" t="str">
            <v>INR</v>
          </cell>
        </row>
        <row r="5848">
          <cell r="A5848" t="str">
            <v>L003 Ankleshwar</v>
          </cell>
          <cell r="B5848">
            <v>700986</v>
          </cell>
          <cell r="C5848" t="str">
            <v>EAR PLUGS,MAKE- BILSON (SWEDEN)</v>
          </cell>
          <cell r="D5848" t="str">
            <v>L0030151                       EnggStore</v>
          </cell>
          <cell r="E5848" t="str">
            <v>E01 E01</v>
          </cell>
          <cell r="F5848" t="str">
            <v>VB Manual reorder point planning</v>
          </cell>
          <cell r="G5848" t="str">
            <v>HIBE Operating supplies</v>
          </cell>
          <cell r="H5848" t="str">
            <v>EN034     LabConsumables</v>
          </cell>
          <cell r="I5848" t="str">
            <v>L003 Ankleshwar</v>
          </cell>
          <cell r="J5848" t="str">
            <v>99 Input/Byprodt/Scrap</v>
          </cell>
          <cell r="K5848" t="str">
            <v>10.2012</v>
          </cell>
          <cell r="L5848">
            <v>9</v>
          </cell>
          <cell r="M5848" t="str">
            <v>EA</v>
          </cell>
          <cell r="N5848">
            <v>850.5</v>
          </cell>
          <cell r="O5848" t="str">
            <v>INR</v>
          </cell>
        </row>
        <row r="5849">
          <cell r="A5849" t="str">
            <v>L003 Ankleshwar</v>
          </cell>
          <cell r="B5849">
            <v>700986</v>
          </cell>
          <cell r="C5849" t="str">
            <v>EAR PLUGS,MAKE- BILSON (SWEDEN)</v>
          </cell>
          <cell r="D5849" t="str">
            <v>L0030201                       Cons StoreKP</v>
          </cell>
          <cell r="E5849" t="str">
            <v>E01 E01</v>
          </cell>
          <cell r="F5849" t="str">
            <v>VB Manual reorder point planning</v>
          </cell>
          <cell r="G5849" t="str">
            <v>HIBE Operating supplies</v>
          </cell>
          <cell r="H5849" t="str">
            <v>EN034     LabConsumables</v>
          </cell>
          <cell r="I5849" t="str">
            <v>L003 Ankleshwar</v>
          </cell>
          <cell r="J5849" t="str">
            <v>99 Input/Byprodt/Scrap</v>
          </cell>
          <cell r="K5849" t="str">
            <v>10.2012</v>
          </cell>
          <cell r="L5849">
            <v>8</v>
          </cell>
          <cell r="M5849" t="str">
            <v>EA</v>
          </cell>
          <cell r="N5849">
            <v>756</v>
          </cell>
          <cell r="O5849" t="str">
            <v>INR</v>
          </cell>
        </row>
        <row r="5850">
          <cell r="A5850" t="str">
            <v>L003 Ankleshwar</v>
          </cell>
          <cell r="B5850">
            <v>701049</v>
          </cell>
          <cell r="C5850" t="str">
            <v>FACE SHIELD,PLASTIC,UEE-106, 9X14</v>
          </cell>
          <cell r="D5850" t="str">
            <v>L0030151                       EnggStore</v>
          </cell>
          <cell r="E5850" t="str">
            <v>E01 E01</v>
          </cell>
          <cell r="F5850" t="str">
            <v>VB Manual reorder point planning</v>
          </cell>
          <cell r="G5850" t="str">
            <v>HIBE Operating supplies</v>
          </cell>
          <cell r="H5850" t="str">
            <v>EN010     Fire&amp;safety</v>
          </cell>
          <cell r="I5850" t="str">
            <v>L003 Ankleshwar</v>
          </cell>
          <cell r="J5850" t="str">
            <v>99 Input/Byprodt/Scrap</v>
          </cell>
          <cell r="K5850" t="str">
            <v>10.2012</v>
          </cell>
          <cell r="L5850">
            <v>21</v>
          </cell>
          <cell r="M5850" t="str">
            <v>EA</v>
          </cell>
          <cell r="N5850">
            <v>4158</v>
          </cell>
          <cell r="O5850" t="str">
            <v>INR</v>
          </cell>
        </row>
        <row r="5851">
          <cell r="A5851" t="str">
            <v>L003 Ankleshwar</v>
          </cell>
          <cell r="B5851">
            <v>701049</v>
          </cell>
          <cell r="C5851" t="str">
            <v>FACE SHIELD,PLASTIC,UEE-106, 9X14</v>
          </cell>
          <cell r="D5851" t="str">
            <v>L0030201                       Cons StoreKP</v>
          </cell>
          <cell r="E5851" t="str">
            <v>E01 E01</v>
          </cell>
          <cell r="F5851" t="str">
            <v>VB Manual reorder point planning</v>
          </cell>
          <cell r="G5851" t="str">
            <v>HIBE Operating supplies</v>
          </cell>
          <cell r="H5851" t="str">
            <v>EN010     Fire&amp;safety</v>
          </cell>
          <cell r="I5851" t="str">
            <v>L003 Ankleshwar</v>
          </cell>
          <cell r="J5851" t="str">
            <v>99 Input/Byprodt/Scrap</v>
          </cell>
          <cell r="K5851" t="str">
            <v>10.2012</v>
          </cell>
          <cell r="L5851">
            <v>11</v>
          </cell>
          <cell r="M5851" t="str">
            <v>EA</v>
          </cell>
          <cell r="N5851">
            <v>2178</v>
          </cell>
          <cell r="O5851" t="str">
            <v>INR</v>
          </cell>
        </row>
        <row r="5852">
          <cell r="A5852" t="str">
            <v>L003 Ankleshwar</v>
          </cell>
          <cell r="B5852">
            <v>701104</v>
          </cell>
          <cell r="C5852" t="str">
            <v>FILTER CLOTH FOR ENZYME FOR 7ADCA</v>
          </cell>
          <cell r="D5852" t="str">
            <v>L0030151                       EnggStore</v>
          </cell>
          <cell r="E5852" t="str">
            <v>E06 E06</v>
          </cell>
          <cell r="F5852" t="str">
            <v>ND No planning</v>
          </cell>
          <cell r="G5852" t="str">
            <v>HIBE Operating supplies</v>
          </cell>
          <cell r="H5852" t="str">
            <v>EN001     Filters Spares</v>
          </cell>
          <cell r="I5852" t="str">
            <v>L003 Ankleshwar</v>
          </cell>
          <cell r="J5852" t="str">
            <v>99 Input/Byprodt/Scrap</v>
          </cell>
          <cell r="K5852" t="str">
            <v>10.2012</v>
          </cell>
          <cell r="L5852">
            <v>2</v>
          </cell>
          <cell r="M5852" t="str">
            <v>M</v>
          </cell>
          <cell r="N5852">
            <v>4656</v>
          </cell>
          <cell r="O5852" t="str">
            <v>INR</v>
          </cell>
        </row>
        <row r="5853">
          <cell r="A5853" t="str">
            <v>L003 Ankleshwar</v>
          </cell>
          <cell r="B5853">
            <v>701212</v>
          </cell>
          <cell r="C5853" t="str">
            <v>FLASK CONICAL 1000ML</v>
          </cell>
          <cell r="D5853" t="str">
            <v>L0030151                       EnggStore</v>
          </cell>
          <cell r="E5853">
            <v>0</v>
          </cell>
          <cell r="F5853" t="str">
            <v>ND No planning</v>
          </cell>
          <cell r="G5853" t="str">
            <v>HIBE Operating supplies</v>
          </cell>
          <cell r="H5853" t="str">
            <v>EN025     Glasswareitems</v>
          </cell>
          <cell r="I5853" t="str">
            <v>L003 Ankleshwar</v>
          </cell>
          <cell r="J5853" t="str">
            <v>99 Input/Byprodt/Scrap</v>
          </cell>
          <cell r="K5853" t="str">
            <v>10.2012</v>
          </cell>
          <cell r="L5853">
            <v>11</v>
          </cell>
          <cell r="M5853" t="str">
            <v>EA</v>
          </cell>
          <cell r="N5853">
            <v>1979.21</v>
          </cell>
          <cell r="O5853" t="str">
            <v>INR</v>
          </cell>
        </row>
        <row r="5854">
          <cell r="A5854" t="str">
            <v>L003 Ankleshwar</v>
          </cell>
          <cell r="B5854">
            <v>701221</v>
          </cell>
          <cell r="C5854" t="str">
            <v>FLASK FILTERATION 1000ML</v>
          </cell>
          <cell r="D5854" t="str">
            <v>L0030151                       EnggStore</v>
          </cell>
          <cell r="E5854">
            <v>0</v>
          </cell>
          <cell r="F5854" t="str">
            <v>ND No planning</v>
          </cell>
          <cell r="G5854" t="str">
            <v>HIBE Operating supplies</v>
          </cell>
          <cell r="H5854" t="str">
            <v>EN025     Glasswareitems</v>
          </cell>
          <cell r="I5854" t="str">
            <v>L003 Ankleshwar</v>
          </cell>
          <cell r="J5854" t="str">
            <v>99 Input/Byprodt/Scrap</v>
          </cell>
          <cell r="K5854" t="str">
            <v>10.2012</v>
          </cell>
          <cell r="L5854">
            <v>1</v>
          </cell>
          <cell r="M5854" t="str">
            <v>EA</v>
          </cell>
          <cell r="N5854">
            <v>51.439999999999898</v>
          </cell>
          <cell r="O5854" t="str">
            <v>INR</v>
          </cell>
        </row>
        <row r="5855">
          <cell r="A5855" t="str">
            <v>L003 Ankleshwar</v>
          </cell>
          <cell r="B5855">
            <v>701461</v>
          </cell>
          <cell r="C5855" t="str">
            <v>HAND GLOVES,NITRILE RUBBER,SIZE-13</v>
          </cell>
          <cell r="D5855" t="str">
            <v>L0030151                       EnggStore</v>
          </cell>
          <cell r="E5855" t="str">
            <v>E42 E42</v>
          </cell>
          <cell r="F5855" t="str">
            <v>VB Manual reorder point planning</v>
          </cell>
          <cell r="G5855" t="str">
            <v>HIBE Operating supplies</v>
          </cell>
          <cell r="H5855" t="str">
            <v>EN027     Prod&amp;OtherConsumable</v>
          </cell>
          <cell r="I5855" t="str">
            <v>L003 Ankleshwar</v>
          </cell>
          <cell r="J5855" t="str">
            <v>99 Input/Byprodt/Scrap</v>
          </cell>
          <cell r="K5855" t="str">
            <v>10.2012</v>
          </cell>
          <cell r="L5855">
            <v>152</v>
          </cell>
          <cell r="M5855" t="str">
            <v>EA</v>
          </cell>
          <cell r="N5855">
            <v>12616</v>
          </cell>
          <cell r="O5855" t="str">
            <v>INR</v>
          </cell>
        </row>
        <row r="5856">
          <cell r="A5856" t="str">
            <v>L003 Ankleshwar</v>
          </cell>
          <cell r="B5856">
            <v>701461</v>
          </cell>
          <cell r="C5856" t="str">
            <v>HAND GLOVES,NITRILE RUBBER,SIZE-13</v>
          </cell>
          <cell r="D5856" t="str">
            <v>L0030201                       Cons StoreKP</v>
          </cell>
          <cell r="E5856" t="str">
            <v>E42 E42</v>
          </cell>
          <cell r="F5856" t="str">
            <v>VB Manual reorder point planning</v>
          </cell>
          <cell r="G5856" t="str">
            <v>HIBE Operating supplies</v>
          </cell>
          <cell r="H5856" t="str">
            <v>EN027     Prod&amp;OtherConsumable</v>
          </cell>
          <cell r="I5856" t="str">
            <v>L003 Ankleshwar</v>
          </cell>
          <cell r="J5856" t="str">
            <v>99 Input/Byprodt/Scrap</v>
          </cell>
          <cell r="K5856" t="str">
            <v>10.2012</v>
          </cell>
          <cell r="L5856">
            <v>12</v>
          </cell>
          <cell r="M5856" t="str">
            <v>EA</v>
          </cell>
          <cell r="N5856">
            <v>996</v>
          </cell>
          <cell r="O5856" t="str">
            <v>INR</v>
          </cell>
        </row>
        <row r="5857">
          <cell r="A5857" t="str">
            <v>L003 Ankleshwar</v>
          </cell>
          <cell r="B5857">
            <v>701463</v>
          </cell>
          <cell r="C5857" t="str">
            <v>HAND GLOVES,RUBBER, SIZE- 18</v>
          </cell>
          <cell r="D5857" t="str">
            <v>L0030151                       EnggStore</v>
          </cell>
          <cell r="E5857" t="str">
            <v>E01 E01</v>
          </cell>
          <cell r="F5857" t="str">
            <v>VB Manual reorder point planning</v>
          </cell>
          <cell r="G5857" t="str">
            <v>HIBE Operating supplies</v>
          </cell>
          <cell r="H5857" t="str">
            <v>EN027     Prod&amp;OtherConsumable</v>
          </cell>
          <cell r="I5857" t="str">
            <v>L003 Ankleshwar</v>
          </cell>
          <cell r="J5857" t="str">
            <v>99 Input/Byprodt/Scrap</v>
          </cell>
          <cell r="K5857" t="str">
            <v>10.2012</v>
          </cell>
          <cell r="L5857">
            <v>19</v>
          </cell>
          <cell r="M5857" t="str">
            <v>EA</v>
          </cell>
          <cell r="N5857">
            <v>647.74</v>
          </cell>
          <cell r="O5857" t="str">
            <v>INR</v>
          </cell>
        </row>
        <row r="5858">
          <cell r="A5858" t="str">
            <v>L003 Ankleshwar</v>
          </cell>
          <cell r="B5858">
            <v>701463</v>
          </cell>
          <cell r="C5858" t="str">
            <v>HAND GLOVES,RUBBER, SIZE- 18</v>
          </cell>
          <cell r="D5858" t="str">
            <v>L0030201                       Cons StoreKP</v>
          </cell>
          <cell r="E5858" t="str">
            <v>E01 E01</v>
          </cell>
          <cell r="F5858" t="str">
            <v>VB Manual reorder point planning</v>
          </cell>
          <cell r="G5858" t="str">
            <v>HIBE Operating supplies</v>
          </cell>
          <cell r="H5858" t="str">
            <v>EN027     Prod&amp;OtherConsumable</v>
          </cell>
          <cell r="I5858" t="str">
            <v>L003 Ankleshwar</v>
          </cell>
          <cell r="J5858" t="str">
            <v>99 Input/Byprodt/Scrap</v>
          </cell>
          <cell r="K5858" t="str">
            <v>10.2012</v>
          </cell>
          <cell r="L5858">
            <v>34</v>
          </cell>
          <cell r="M5858" t="str">
            <v>EA</v>
          </cell>
          <cell r="N5858">
            <v>1159.1099999999899</v>
          </cell>
          <cell r="O5858" t="str">
            <v>INR</v>
          </cell>
        </row>
        <row r="5859">
          <cell r="A5859" t="str">
            <v>L003 Ankleshwar</v>
          </cell>
          <cell r="B5859">
            <v>701467</v>
          </cell>
          <cell r="C5859" t="str">
            <v>HARPIC LIQUID 500 MLS PACK</v>
          </cell>
          <cell r="D5859" t="str">
            <v>L0030151                       EnggStore</v>
          </cell>
          <cell r="E5859" t="str">
            <v>E42 E42</v>
          </cell>
          <cell r="F5859" t="str">
            <v>VB Manual reorder point planning</v>
          </cell>
          <cell r="G5859" t="str">
            <v>HIBE Operating supplies</v>
          </cell>
          <cell r="H5859" t="str">
            <v>EN014     Housekeeping</v>
          </cell>
          <cell r="I5859" t="str">
            <v>L003 Ankleshwar</v>
          </cell>
          <cell r="J5859" t="str">
            <v>99 Input/Byprodt/Scrap</v>
          </cell>
          <cell r="K5859" t="str">
            <v>10.2012</v>
          </cell>
          <cell r="L5859">
            <v>1</v>
          </cell>
          <cell r="M5859" t="str">
            <v>BT</v>
          </cell>
          <cell r="N5859">
            <v>56.84</v>
          </cell>
          <cell r="O5859" t="str">
            <v>INR</v>
          </cell>
        </row>
        <row r="5860">
          <cell r="A5860" t="str">
            <v>L003 Ankleshwar</v>
          </cell>
          <cell r="B5860">
            <v>701468</v>
          </cell>
          <cell r="C5860" t="str">
            <v>HDPE WOVEN BAG  26X42 WITHOUT LAMINATED</v>
          </cell>
          <cell r="D5860" t="str">
            <v>L0030151                       EnggStore</v>
          </cell>
          <cell r="E5860" t="str">
            <v>E02 E02</v>
          </cell>
          <cell r="F5860" t="str">
            <v>ND No planning</v>
          </cell>
          <cell r="G5860" t="str">
            <v>HIBE Operating supplies</v>
          </cell>
          <cell r="H5860" t="str">
            <v>EN027     Prod&amp;OtherConsumable</v>
          </cell>
          <cell r="I5860" t="str">
            <v>L003 Ankleshwar</v>
          </cell>
          <cell r="J5860" t="str">
            <v>99 Input/Byprodt/Scrap</v>
          </cell>
          <cell r="K5860" t="str">
            <v>10.2012</v>
          </cell>
          <cell r="L5860">
            <v>500</v>
          </cell>
          <cell r="M5860" t="str">
            <v>EA</v>
          </cell>
          <cell r="N5860">
            <v>8625</v>
          </cell>
          <cell r="O5860" t="str">
            <v>INR</v>
          </cell>
        </row>
        <row r="5861">
          <cell r="A5861" t="str">
            <v>L003 Ankleshwar</v>
          </cell>
          <cell r="B5861">
            <v>701534</v>
          </cell>
          <cell r="C5861" t="str">
            <v>HPLC COLUMN ZORBAX SB-CN,250X4.6CM,5U</v>
          </cell>
          <cell r="D5861" t="str">
            <v>L0030301                       QCStores</v>
          </cell>
          <cell r="E5861" t="str">
            <v>E01 E01</v>
          </cell>
          <cell r="F5861" t="str">
            <v>ND No planning</v>
          </cell>
          <cell r="G5861" t="str">
            <v>HIBE Operating supplies</v>
          </cell>
          <cell r="H5861" t="str">
            <v>EN002     QA.Equip&amp;items</v>
          </cell>
          <cell r="I5861" t="str">
            <v>L003 Ankleshwar</v>
          </cell>
          <cell r="J5861" t="str">
            <v>99 Input/Byprodt/Scrap</v>
          </cell>
          <cell r="K5861" t="str">
            <v>10.2012</v>
          </cell>
          <cell r="L5861">
            <v>1</v>
          </cell>
          <cell r="M5861" t="str">
            <v>EA</v>
          </cell>
          <cell r="N5861">
            <v>27950.04</v>
          </cell>
          <cell r="O5861" t="str">
            <v>INR</v>
          </cell>
        </row>
        <row r="5862">
          <cell r="A5862" t="str">
            <v>L003 Ankleshwar</v>
          </cell>
          <cell r="B5862">
            <v>701569</v>
          </cell>
          <cell r="C5862" t="str">
            <v>HYDRATED LIME 85 TO 90%</v>
          </cell>
          <cell r="D5862" t="str">
            <v>L003RM05                       RM ST ETB Own</v>
          </cell>
          <cell r="E5862" t="str">
            <v>E02 E02</v>
          </cell>
          <cell r="F5862" t="str">
            <v>ND No planning</v>
          </cell>
          <cell r="G5862" t="str">
            <v>HIBE Operating supplies</v>
          </cell>
          <cell r="H5862" t="str">
            <v>EN027     Prod&amp;OtherConsumable</v>
          </cell>
          <cell r="I5862" t="str">
            <v>L003 Ankleshwar</v>
          </cell>
          <cell r="J5862" t="str">
            <v>99 Input/Byprodt/Scrap</v>
          </cell>
          <cell r="K5862" t="str">
            <v>10.2012</v>
          </cell>
          <cell r="L5862">
            <v>2480</v>
          </cell>
          <cell r="M5862" t="str">
            <v>KG</v>
          </cell>
          <cell r="N5862">
            <v>7614.8599999999897</v>
          </cell>
          <cell r="O5862" t="str">
            <v>INR</v>
          </cell>
        </row>
        <row r="5863">
          <cell r="A5863" t="str">
            <v>L003 Ankleshwar</v>
          </cell>
          <cell r="B5863">
            <v>701617</v>
          </cell>
          <cell r="C5863" t="str">
            <v>INDUSTRIAL GOGGLES MODEL:UEE-160</v>
          </cell>
          <cell r="D5863" t="str">
            <v>L0030151                       EnggStore</v>
          </cell>
          <cell r="E5863" t="str">
            <v>E01 E01</v>
          </cell>
          <cell r="F5863" t="str">
            <v>VB Manual reorder point planning</v>
          </cell>
          <cell r="G5863" t="str">
            <v>HIBE Operating supplies</v>
          </cell>
          <cell r="H5863" t="str">
            <v>EN010     Fire&amp;safety</v>
          </cell>
          <cell r="I5863" t="str">
            <v>L003 Ankleshwar</v>
          </cell>
          <cell r="J5863" t="str">
            <v>99 Input/Byprodt/Scrap</v>
          </cell>
          <cell r="K5863" t="str">
            <v>10.2012</v>
          </cell>
          <cell r="L5863">
            <v>1</v>
          </cell>
          <cell r="M5863" t="str">
            <v>EA</v>
          </cell>
          <cell r="N5863">
            <v>95</v>
          </cell>
          <cell r="O5863" t="str">
            <v>INR</v>
          </cell>
        </row>
        <row r="5864">
          <cell r="A5864" t="str">
            <v>L003 Ankleshwar</v>
          </cell>
          <cell r="B5864">
            <v>701617</v>
          </cell>
          <cell r="C5864" t="str">
            <v>INDUSTRIAL GOGGLES MODEL:UEE-160</v>
          </cell>
          <cell r="D5864" t="str">
            <v>L0030201                       Cons StoreKP</v>
          </cell>
          <cell r="E5864" t="str">
            <v>E01 E01</v>
          </cell>
          <cell r="F5864" t="str">
            <v>VB Manual reorder point planning</v>
          </cell>
          <cell r="G5864" t="str">
            <v>HIBE Operating supplies</v>
          </cell>
          <cell r="H5864" t="str">
            <v>EN010     Fire&amp;safety</v>
          </cell>
          <cell r="I5864" t="str">
            <v>L003 Ankleshwar</v>
          </cell>
          <cell r="J5864" t="str">
            <v>99 Input/Byprodt/Scrap</v>
          </cell>
          <cell r="K5864" t="str">
            <v>10.2012</v>
          </cell>
          <cell r="L5864">
            <v>3</v>
          </cell>
          <cell r="M5864" t="str">
            <v>EA</v>
          </cell>
          <cell r="N5864">
            <v>285</v>
          </cell>
          <cell r="O5864" t="str">
            <v>INR</v>
          </cell>
        </row>
        <row r="5865">
          <cell r="A5865" t="str">
            <v>L003 Ankleshwar</v>
          </cell>
          <cell r="B5865">
            <v>701624</v>
          </cell>
          <cell r="C5865" t="str">
            <v>INNER HARNESS CHIN STRIP COTTON STRING</v>
          </cell>
          <cell r="D5865" t="str">
            <v>L0030151                       EnggStore</v>
          </cell>
          <cell r="E5865" t="str">
            <v>E01 E01</v>
          </cell>
          <cell r="F5865" t="str">
            <v>VB Manual reorder point planning</v>
          </cell>
          <cell r="G5865" t="str">
            <v>HIBE Operating supplies</v>
          </cell>
          <cell r="H5865" t="str">
            <v>EN010     Fire&amp;safety</v>
          </cell>
          <cell r="I5865" t="str">
            <v>L003 Ankleshwar</v>
          </cell>
          <cell r="J5865" t="str">
            <v>99 Input/Byprodt/Scrap</v>
          </cell>
          <cell r="K5865" t="str">
            <v>10.2012</v>
          </cell>
          <cell r="L5865">
            <v>77</v>
          </cell>
          <cell r="M5865" t="str">
            <v>SET</v>
          </cell>
          <cell r="N5865">
            <v>1001.01</v>
          </cell>
          <cell r="O5865" t="str">
            <v>INR</v>
          </cell>
        </row>
        <row r="5866">
          <cell r="A5866" t="str">
            <v>L003 Ankleshwar</v>
          </cell>
          <cell r="B5866">
            <v>701652</v>
          </cell>
          <cell r="C5866" t="str">
            <v>ARENOFLOC -510</v>
          </cell>
          <cell r="D5866" t="str">
            <v>L0030151                       EnggStore</v>
          </cell>
          <cell r="E5866" t="str">
            <v>E02 E02</v>
          </cell>
          <cell r="F5866" t="str">
            <v>ND No planning</v>
          </cell>
          <cell r="G5866" t="str">
            <v>HIBE Operating supplies</v>
          </cell>
          <cell r="H5866" t="str">
            <v>EN027     Prod&amp;OtherConsumable</v>
          </cell>
          <cell r="I5866" t="str">
            <v>L003 Ankleshwar</v>
          </cell>
          <cell r="J5866" t="str">
            <v>99 Input/Byprodt/Scrap</v>
          </cell>
          <cell r="K5866" t="str">
            <v>10.2012</v>
          </cell>
          <cell r="L5866">
            <v>130</v>
          </cell>
          <cell r="M5866" t="str">
            <v>KG</v>
          </cell>
          <cell r="N5866">
            <v>40103.11</v>
          </cell>
          <cell r="O5866" t="str">
            <v>INR</v>
          </cell>
        </row>
        <row r="5867">
          <cell r="A5867" t="str">
            <v>L003 Ankleshwar</v>
          </cell>
          <cell r="B5867">
            <v>701661</v>
          </cell>
          <cell r="C5867" t="str">
            <v>KEROSINE PUMP HEAVY DUTY</v>
          </cell>
          <cell r="D5867" t="str">
            <v>L0030151                       EnggStore</v>
          </cell>
          <cell r="E5867" t="str">
            <v>E42 E42</v>
          </cell>
          <cell r="F5867" t="str">
            <v>VB Manual reorder point planning</v>
          </cell>
          <cell r="G5867" t="str">
            <v>HIBE Operating supplies</v>
          </cell>
          <cell r="H5867" t="str">
            <v>EN027     Prod&amp;OtherConsumable</v>
          </cell>
          <cell r="I5867" t="str">
            <v>L003 Ankleshwar</v>
          </cell>
          <cell r="J5867" t="str">
            <v>99 Input/Byprodt/Scrap</v>
          </cell>
          <cell r="K5867" t="str">
            <v>10.2012</v>
          </cell>
          <cell r="L5867">
            <v>9</v>
          </cell>
          <cell r="M5867" t="str">
            <v>EA</v>
          </cell>
          <cell r="N5867">
            <v>2188.9</v>
          </cell>
          <cell r="O5867" t="str">
            <v>INR</v>
          </cell>
        </row>
        <row r="5868">
          <cell r="A5868" t="str">
            <v>L003 Ankleshwar</v>
          </cell>
          <cell r="B5868">
            <v>701661</v>
          </cell>
          <cell r="C5868" t="str">
            <v>KEROSINE PUMP HEAVY DUTY</v>
          </cell>
          <cell r="D5868" t="str">
            <v>L0030201                       Cons StoreKP</v>
          </cell>
          <cell r="E5868" t="str">
            <v>E42 E42</v>
          </cell>
          <cell r="F5868" t="str">
            <v>VB Manual reorder point planning</v>
          </cell>
          <cell r="G5868" t="str">
            <v>HIBE Operating supplies</v>
          </cell>
          <cell r="H5868" t="str">
            <v>EN027     Prod&amp;OtherConsumable</v>
          </cell>
          <cell r="I5868" t="str">
            <v>L003 Ankleshwar</v>
          </cell>
          <cell r="J5868" t="str">
            <v>99 Input/Byprodt/Scrap</v>
          </cell>
          <cell r="K5868" t="str">
            <v>10.2012</v>
          </cell>
          <cell r="L5868">
            <v>6</v>
          </cell>
          <cell r="M5868" t="str">
            <v>EA</v>
          </cell>
          <cell r="N5868">
            <v>1459.27</v>
          </cell>
          <cell r="O5868" t="str">
            <v>INR</v>
          </cell>
        </row>
        <row r="5869">
          <cell r="A5869" t="str">
            <v>L003 Ankleshwar</v>
          </cell>
          <cell r="B5869">
            <v>701703</v>
          </cell>
          <cell r="C5869" t="str">
            <v>LDPE HAND GLOVES DISPOSABLE PAIR</v>
          </cell>
          <cell r="D5869" t="str">
            <v>L0030151                       EnggStore</v>
          </cell>
          <cell r="E5869" t="str">
            <v>E01 E01</v>
          </cell>
          <cell r="F5869" t="str">
            <v>VB Manual reorder point planning</v>
          </cell>
          <cell r="G5869" t="str">
            <v>HIBE Operating supplies</v>
          </cell>
          <cell r="H5869" t="str">
            <v>EN010     Fire&amp;safety</v>
          </cell>
          <cell r="I5869" t="str">
            <v>L003 Ankleshwar</v>
          </cell>
          <cell r="J5869" t="str">
            <v>99 Input/Byprodt/Scrap</v>
          </cell>
          <cell r="K5869" t="str">
            <v>10.2012</v>
          </cell>
          <cell r="L5869">
            <v>3797</v>
          </cell>
          <cell r="M5869" t="str">
            <v>EA</v>
          </cell>
          <cell r="N5869">
            <v>3037.5999999999899</v>
          </cell>
          <cell r="O5869" t="str">
            <v>INR</v>
          </cell>
        </row>
        <row r="5870">
          <cell r="A5870" t="str">
            <v>L003 Ankleshwar</v>
          </cell>
          <cell r="B5870">
            <v>701703</v>
          </cell>
          <cell r="C5870" t="str">
            <v>LDPE HAND GLOVES DISPOSABLE PAIR</v>
          </cell>
          <cell r="D5870" t="str">
            <v>L0030201                       Cons StoreKP</v>
          </cell>
          <cell r="E5870" t="str">
            <v>E01 E01</v>
          </cell>
          <cell r="F5870" t="str">
            <v>VB Manual reorder point planning</v>
          </cell>
          <cell r="G5870" t="str">
            <v>HIBE Operating supplies</v>
          </cell>
          <cell r="H5870" t="str">
            <v>EN010     Fire&amp;safety</v>
          </cell>
          <cell r="I5870" t="str">
            <v>L003 Ankleshwar</v>
          </cell>
          <cell r="J5870" t="str">
            <v>99 Input/Byprodt/Scrap</v>
          </cell>
          <cell r="K5870" t="str">
            <v>10.2012</v>
          </cell>
          <cell r="L5870">
            <v>630</v>
          </cell>
          <cell r="M5870" t="str">
            <v>EA</v>
          </cell>
          <cell r="N5870">
            <v>504</v>
          </cell>
          <cell r="O5870" t="str">
            <v>INR</v>
          </cell>
        </row>
        <row r="5871">
          <cell r="A5871" t="str">
            <v>L003 Ankleshwar</v>
          </cell>
          <cell r="B5871">
            <v>701704</v>
          </cell>
          <cell r="C5871" t="str">
            <v>LDPE SAMPLE BAG 1 KG  8"X11"X250GAUGE</v>
          </cell>
          <cell r="D5871" t="str">
            <v>L0030151                       EnggStore</v>
          </cell>
          <cell r="E5871" t="str">
            <v>E01 E01</v>
          </cell>
          <cell r="F5871" t="str">
            <v>VB Manual reorder point planning</v>
          </cell>
          <cell r="G5871" t="str">
            <v>HIBE Operating supplies</v>
          </cell>
          <cell r="H5871" t="str">
            <v>EN027     Prod&amp;OtherConsumable</v>
          </cell>
          <cell r="I5871" t="str">
            <v>L003 Ankleshwar</v>
          </cell>
          <cell r="J5871" t="str">
            <v>99 Input/Byprodt/Scrap</v>
          </cell>
          <cell r="K5871" t="str">
            <v>10.2012</v>
          </cell>
          <cell r="L5871">
            <v>25.399999999999899</v>
          </cell>
          <cell r="M5871" t="str">
            <v>KG</v>
          </cell>
          <cell r="N5871">
            <v>2550.86</v>
          </cell>
          <cell r="O5871" t="str">
            <v>INR</v>
          </cell>
        </row>
        <row r="5872">
          <cell r="A5872" t="str">
            <v>L003 Ankleshwar</v>
          </cell>
          <cell r="B5872">
            <v>701704</v>
          </cell>
          <cell r="C5872" t="str">
            <v>LDPE SAMPLE BAG 1 KG  8"X11"X250GAUGE</v>
          </cell>
          <cell r="D5872" t="str">
            <v>L0030201                       Cons StoreKP</v>
          </cell>
          <cell r="E5872" t="str">
            <v>E01 E01</v>
          </cell>
          <cell r="F5872" t="str">
            <v>VB Manual reorder point planning</v>
          </cell>
          <cell r="G5872" t="str">
            <v>HIBE Operating supplies</v>
          </cell>
          <cell r="H5872" t="str">
            <v>EN027     Prod&amp;OtherConsumable</v>
          </cell>
          <cell r="I5872" t="str">
            <v>L003 Ankleshwar</v>
          </cell>
          <cell r="J5872" t="str">
            <v>99 Input/Byprodt/Scrap</v>
          </cell>
          <cell r="K5872" t="str">
            <v>10.2012</v>
          </cell>
          <cell r="L5872">
            <v>10</v>
          </cell>
          <cell r="M5872" t="str">
            <v>KG</v>
          </cell>
          <cell r="N5872">
            <v>1004.27</v>
          </cell>
          <cell r="O5872" t="str">
            <v>INR</v>
          </cell>
        </row>
        <row r="5873">
          <cell r="A5873" t="str">
            <v>L003 Ankleshwar</v>
          </cell>
          <cell r="B5873">
            <v>701708</v>
          </cell>
          <cell r="C5873" t="str">
            <v>LDPE SAMPLE BAG 5 KGS 15"X18"X250GAUGE</v>
          </cell>
          <cell r="D5873" t="str">
            <v>L0030151                       EnggStore</v>
          </cell>
          <cell r="E5873" t="str">
            <v>E42 E42</v>
          </cell>
          <cell r="F5873" t="str">
            <v>VB Manual reorder point planning</v>
          </cell>
          <cell r="G5873" t="str">
            <v>HIBE Operating supplies</v>
          </cell>
          <cell r="H5873" t="str">
            <v>EN027     Prod&amp;OtherConsumable</v>
          </cell>
          <cell r="I5873" t="str">
            <v>L003 Ankleshwar</v>
          </cell>
          <cell r="J5873" t="str">
            <v>99 Input/Byprodt/Scrap</v>
          </cell>
          <cell r="K5873" t="str">
            <v>10.2012</v>
          </cell>
          <cell r="L5873">
            <v>64.400000000000006</v>
          </cell>
          <cell r="M5873" t="str">
            <v>KG</v>
          </cell>
          <cell r="N5873">
            <v>6359.52</v>
          </cell>
          <cell r="O5873" t="str">
            <v>INR</v>
          </cell>
        </row>
        <row r="5874">
          <cell r="A5874" t="str">
            <v>L003 Ankleshwar</v>
          </cell>
          <cell r="B5874">
            <v>701710</v>
          </cell>
          <cell r="C5874" t="str">
            <v>LDPE SAMPLE BAG 500 GM 6"X8"X250GAUGE</v>
          </cell>
          <cell r="D5874" t="str">
            <v>L0030151                       EnggStore</v>
          </cell>
          <cell r="E5874" t="str">
            <v>E42 E42</v>
          </cell>
          <cell r="F5874" t="str">
            <v>VB Manual reorder point planning</v>
          </cell>
          <cell r="G5874" t="str">
            <v>HIBE Operating supplies</v>
          </cell>
          <cell r="H5874" t="str">
            <v>EN027     Prod&amp;OtherConsumable</v>
          </cell>
          <cell r="I5874" t="str">
            <v>L003 Ankleshwar</v>
          </cell>
          <cell r="J5874" t="str">
            <v>99 Input/Byprodt/Scrap</v>
          </cell>
          <cell r="K5874" t="str">
            <v>10.2012</v>
          </cell>
          <cell r="L5874">
            <v>14.5</v>
          </cell>
          <cell r="M5874" t="str">
            <v>KG</v>
          </cell>
          <cell r="N5874">
            <v>1441.15</v>
          </cell>
          <cell r="O5874" t="str">
            <v>INR</v>
          </cell>
        </row>
        <row r="5875">
          <cell r="A5875" t="str">
            <v>L003 Ankleshwar</v>
          </cell>
          <cell r="B5875">
            <v>701718</v>
          </cell>
          <cell r="C5875" t="str">
            <v>LEAD SEAL</v>
          </cell>
          <cell r="D5875" t="str">
            <v>L0030151                       EnggStore</v>
          </cell>
          <cell r="E5875" t="str">
            <v>E42 E42</v>
          </cell>
          <cell r="F5875" t="str">
            <v>VB Manual reorder point planning</v>
          </cell>
          <cell r="G5875" t="str">
            <v>HIBE Operating supplies</v>
          </cell>
          <cell r="H5875" t="str">
            <v>EN027     Prod&amp;OtherConsumable</v>
          </cell>
          <cell r="I5875" t="str">
            <v>L003 Ankleshwar</v>
          </cell>
          <cell r="J5875" t="str">
            <v>99 Input/Byprodt/Scrap</v>
          </cell>
          <cell r="K5875" t="str">
            <v>10.2012</v>
          </cell>
          <cell r="L5875">
            <v>19</v>
          </cell>
          <cell r="M5875" t="str">
            <v>KG</v>
          </cell>
          <cell r="N5875">
            <v>3157.8</v>
          </cell>
          <cell r="O5875" t="str">
            <v>INR</v>
          </cell>
        </row>
        <row r="5876">
          <cell r="A5876" t="str">
            <v>L003 Ankleshwar</v>
          </cell>
          <cell r="B5876">
            <v>701719</v>
          </cell>
          <cell r="C5876" t="str">
            <v>LEATHER HAND GLOVES 14"</v>
          </cell>
          <cell r="D5876" t="str">
            <v>L0030151                       EnggStore</v>
          </cell>
          <cell r="E5876" t="str">
            <v>E01 E01</v>
          </cell>
          <cell r="F5876" t="str">
            <v>VB Manual reorder point planning</v>
          </cell>
          <cell r="G5876" t="str">
            <v>HIBE Operating supplies</v>
          </cell>
          <cell r="H5876" t="str">
            <v>EN010     Fire&amp;safety</v>
          </cell>
          <cell r="I5876" t="str">
            <v>L003 Ankleshwar</v>
          </cell>
          <cell r="J5876" t="str">
            <v>99 Input/Byprodt/Scrap</v>
          </cell>
          <cell r="K5876" t="str">
            <v>10.2012</v>
          </cell>
          <cell r="L5876">
            <v>21</v>
          </cell>
          <cell r="M5876" t="str">
            <v>PAA</v>
          </cell>
          <cell r="N5876">
            <v>514.5</v>
          </cell>
          <cell r="O5876" t="str">
            <v>INR</v>
          </cell>
        </row>
        <row r="5877">
          <cell r="A5877" t="str">
            <v>L003 Ankleshwar</v>
          </cell>
          <cell r="B5877">
            <v>701816</v>
          </cell>
          <cell r="C5877" t="str">
            <v>MEASSURING CYLINDER PLASTIC 1000ML</v>
          </cell>
          <cell r="D5877" t="str">
            <v>L0030151                       EnggStore</v>
          </cell>
          <cell r="E5877" t="str">
            <v>E03 E03</v>
          </cell>
          <cell r="F5877" t="str">
            <v>ND No planning</v>
          </cell>
          <cell r="G5877" t="str">
            <v>HIBE Operating supplies</v>
          </cell>
          <cell r="H5877" t="str">
            <v>EN025     Glasswareitems</v>
          </cell>
          <cell r="I5877" t="str">
            <v>L003 Ankleshwar</v>
          </cell>
          <cell r="J5877" t="str">
            <v>99 Input/Byprodt/Scrap</v>
          </cell>
          <cell r="K5877" t="str">
            <v>10.2012</v>
          </cell>
          <cell r="L5877">
            <v>1</v>
          </cell>
          <cell r="M5877" t="str">
            <v>EA</v>
          </cell>
          <cell r="N5877">
            <v>157.08000000000001</v>
          </cell>
          <cell r="O5877" t="str">
            <v>INR</v>
          </cell>
        </row>
        <row r="5878">
          <cell r="A5878" t="str">
            <v>L003 Ankleshwar</v>
          </cell>
          <cell r="B5878">
            <v>701819</v>
          </cell>
          <cell r="C5878" t="str">
            <v>MEASURING CYLINDER 10 ML</v>
          </cell>
          <cell r="D5878" t="str">
            <v>L0030151                       EnggStore</v>
          </cell>
          <cell r="E5878" t="str">
            <v>E03 E03</v>
          </cell>
          <cell r="F5878" t="str">
            <v>ND No planning</v>
          </cell>
          <cell r="G5878" t="str">
            <v>HIBE Operating supplies</v>
          </cell>
          <cell r="H5878" t="str">
            <v>EN025     Glasswareitems</v>
          </cell>
          <cell r="I5878" t="str">
            <v>L003 Ankleshwar</v>
          </cell>
          <cell r="J5878" t="str">
            <v>99 Input/Byprodt/Scrap</v>
          </cell>
          <cell r="K5878" t="str">
            <v>10.2012</v>
          </cell>
          <cell r="L5878">
            <v>2</v>
          </cell>
          <cell r="M5878" t="str">
            <v>EA</v>
          </cell>
          <cell r="N5878">
            <v>326.19999999999902</v>
          </cell>
          <cell r="O5878" t="str">
            <v>INR</v>
          </cell>
        </row>
        <row r="5879">
          <cell r="A5879" t="str">
            <v>L003 Ankleshwar</v>
          </cell>
          <cell r="B5879">
            <v>701838</v>
          </cell>
          <cell r="C5879" t="str">
            <v>MEDIUM CELL 1.5 V</v>
          </cell>
          <cell r="D5879" t="str">
            <v>L0030151                       EnggStore</v>
          </cell>
          <cell r="E5879" t="str">
            <v>E01 E01</v>
          </cell>
          <cell r="F5879" t="str">
            <v>VB Manual reorder point planning</v>
          </cell>
          <cell r="G5879" t="str">
            <v>HIBE Operating supplies</v>
          </cell>
          <cell r="H5879" t="str">
            <v>EN027     Prod&amp;OtherConsumable</v>
          </cell>
          <cell r="I5879" t="str">
            <v>L003 Ankleshwar</v>
          </cell>
          <cell r="J5879" t="str">
            <v>99 Input/Byprodt/Scrap</v>
          </cell>
          <cell r="K5879" t="str">
            <v>10.2012</v>
          </cell>
          <cell r="L5879">
            <v>13</v>
          </cell>
          <cell r="M5879" t="str">
            <v>EA</v>
          </cell>
          <cell r="N5879">
            <v>127.069999999999</v>
          </cell>
          <cell r="O5879" t="str">
            <v>INR</v>
          </cell>
        </row>
        <row r="5880">
          <cell r="A5880" t="str">
            <v>L003 Ankleshwar</v>
          </cell>
          <cell r="B5880">
            <v>701946</v>
          </cell>
          <cell r="C5880" t="str">
            <v>MUSLIN CLOTH</v>
          </cell>
          <cell r="D5880" t="str">
            <v>L0030151                       EnggStore</v>
          </cell>
          <cell r="E5880" t="str">
            <v>E42 E42</v>
          </cell>
          <cell r="F5880" t="str">
            <v>VB Manual reorder point planning</v>
          </cell>
          <cell r="G5880" t="str">
            <v>HIBE Operating supplies</v>
          </cell>
          <cell r="H5880" t="str">
            <v>EN001     Filters Spares</v>
          </cell>
          <cell r="I5880" t="str">
            <v>L003 Ankleshwar</v>
          </cell>
          <cell r="J5880" t="str">
            <v>99 Input/Byprodt/Scrap</v>
          </cell>
          <cell r="K5880" t="str">
            <v>10.2012</v>
          </cell>
          <cell r="L5880">
            <v>300</v>
          </cell>
          <cell r="M5880" t="str">
            <v>M</v>
          </cell>
          <cell r="N5880">
            <v>5115.97</v>
          </cell>
          <cell r="O5880" t="str">
            <v>INR</v>
          </cell>
        </row>
        <row r="5881">
          <cell r="A5881" t="str">
            <v>L003 Ankleshwar</v>
          </cell>
          <cell r="B5881">
            <v>701946</v>
          </cell>
          <cell r="C5881" t="str">
            <v>MUSLIN CLOTH</v>
          </cell>
          <cell r="D5881" t="str">
            <v>L0030201                       Cons StoreKP</v>
          </cell>
          <cell r="E5881" t="str">
            <v>E42 E42</v>
          </cell>
          <cell r="F5881" t="str">
            <v>VB Manual reorder point planning</v>
          </cell>
          <cell r="G5881" t="str">
            <v>HIBE Operating supplies</v>
          </cell>
          <cell r="H5881" t="str">
            <v>EN001     Filters Spares</v>
          </cell>
          <cell r="I5881" t="str">
            <v>L003 Ankleshwar</v>
          </cell>
          <cell r="J5881" t="str">
            <v>99 Input/Byprodt/Scrap</v>
          </cell>
          <cell r="K5881" t="str">
            <v>10.2012</v>
          </cell>
          <cell r="L5881">
            <v>115</v>
          </cell>
          <cell r="M5881" t="str">
            <v>M</v>
          </cell>
          <cell r="N5881">
            <v>1961.1199999999899</v>
          </cell>
          <cell r="O5881" t="str">
            <v>INR</v>
          </cell>
        </row>
        <row r="5882">
          <cell r="A5882" t="str">
            <v>L003 Ankleshwar</v>
          </cell>
          <cell r="B5882">
            <v>701997</v>
          </cell>
          <cell r="C5882" t="str">
            <v>NITRIC ACID (COMMERCIAL GRADE)</v>
          </cell>
          <cell r="D5882" t="str">
            <v>L0030151                       EnggStore</v>
          </cell>
          <cell r="E5882" t="str">
            <v>E42 E42</v>
          </cell>
          <cell r="F5882" t="str">
            <v>VB Manual reorder point planning</v>
          </cell>
          <cell r="G5882" t="str">
            <v>HIBE Operating supplies</v>
          </cell>
          <cell r="H5882" t="str">
            <v>EN011     UtlChem/Lub/Fuel/Gas</v>
          </cell>
          <cell r="I5882" t="str">
            <v>L003 Ankleshwar</v>
          </cell>
          <cell r="J5882" t="str">
            <v>99 Input/Byprodt/Scrap</v>
          </cell>
          <cell r="K5882" t="str">
            <v>10.2012</v>
          </cell>
          <cell r="L5882">
            <v>680</v>
          </cell>
          <cell r="M5882" t="str">
            <v>KG</v>
          </cell>
          <cell r="N5882">
            <v>10200</v>
          </cell>
          <cell r="O5882" t="str">
            <v>INR</v>
          </cell>
        </row>
        <row r="5883">
          <cell r="A5883" t="str">
            <v>L003 Ankleshwar</v>
          </cell>
          <cell r="B5883">
            <v>702015</v>
          </cell>
          <cell r="C5883" t="str">
            <v>NOISE PROOF SOUND LESS AIR MUFFLE</v>
          </cell>
          <cell r="D5883" t="str">
            <v>L0030151                       EnggStore</v>
          </cell>
          <cell r="E5883" t="str">
            <v>E01 E01</v>
          </cell>
          <cell r="F5883" t="str">
            <v>VB Manual reorder point planning</v>
          </cell>
          <cell r="G5883" t="str">
            <v>HIBE Operating supplies</v>
          </cell>
          <cell r="H5883" t="str">
            <v>EN010     Fire&amp;safety</v>
          </cell>
          <cell r="I5883" t="str">
            <v>L003 Ankleshwar</v>
          </cell>
          <cell r="J5883" t="str">
            <v>99 Input/Byprodt/Scrap</v>
          </cell>
          <cell r="K5883" t="str">
            <v>10.2012</v>
          </cell>
          <cell r="L5883">
            <v>5</v>
          </cell>
          <cell r="M5883" t="str">
            <v>PAA</v>
          </cell>
          <cell r="N5883">
            <v>425</v>
          </cell>
          <cell r="O5883" t="str">
            <v>INR</v>
          </cell>
        </row>
        <row r="5884">
          <cell r="A5884" t="str">
            <v>L003 Ankleshwar</v>
          </cell>
          <cell r="B5884">
            <v>702019</v>
          </cell>
          <cell r="C5884" t="str">
            <v>NOSE MASK COTTON (WITH ELASTIC)</v>
          </cell>
          <cell r="D5884" t="str">
            <v>L0030151                       EnggStore</v>
          </cell>
          <cell r="E5884" t="str">
            <v>E01 E01</v>
          </cell>
          <cell r="F5884" t="str">
            <v>VB Manual reorder point planning</v>
          </cell>
          <cell r="G5884" t="str">
            <v>HIBE Operating supplies</v>
          </cell>
          <cell r="H5884" t="str">
            <v>EN027     Prod&amp;OtherConsumable</v>
          </cell>
          <cell r="I5884" t="str">
            <v>L003 Ankleshwar</v>
          </cell>
          <cell r="J5884" t="str">
            <v>99 Input/Byprodt/Scrap</v>
          </cell>
          <cell r="K5884" t="str">
            <v>10.2012</v>
          </cell>
          <cell r="L5884">
            <v>731</v>
          </cell>
          <cell r="M5884" t="str">
            <v>EA</v>
          </cell>
          <cell r="N5884">
            <v>13112.78</v>
          </cell>
          <cell r="O5884" t="str">
            <v>INR</v>
          </cell>
        </row>
        <row r="5885">
          <cell r="A5885" t="str">
            <v>L003 Ankleshwar</v>
          </cell>
          <cell r="B5885">
            <v>702019</v>
          </cell>
          <cell r="C5885" t="str">
            <v>NOSE MASK COTTON (WITH ELASTIC)</v>
          </cell>
          <cell r="D5885" t="str">
            <v>L0030201                       Cons StoreKP</v>
          </cell>
          <cell r="E5885" t="str">
            <v>E01 E01</v>
          </cell>
          <cell r="F5885" t="str">
            <v>VB Manual reorder point planning</v>
          </cell>
          <cell r="G5885" t="str">
            <v>HIBE Operating supplies</v>
          </cell>
          <cell r="H5885" t="str">
            <v>EN027     Prod&amp;OtherConsumable</v>
          </cell>
          <cell r="I5885" t="str">
            <v>L003 Ankleshwar</v>
          </cell>
          <cell r="J5885" t="str">
            <v>99 Input/Byprodt/Scrap</v>
          </cell>
          <cell r="K5885" t="str">
            <v>10.2012</v>
          </cell>
          <cell r="L5885">
            <v>239</v>
          </cell>
          <cell r="M5885" t="str">
            <v>EA</v>
          </cell>
          <cell r="N5885">
            <v>4287.21</v>
          </cell>
          <cell r="O5885" t="str">
            <v>INR</v>
          </cell>
        </row>
        <row r="5886">
          <cell r="A5886" t="str">
            <v>L003 Ankleshwar</v>
          </cell>
          <cell r="B5886">
            <v>702144</v>
          </cell>
          <cell r="C5886" t="str">
            <v>PH PAPER 0-3</v>
          </cell>
          <cell r="D5886" t="str">
            <v>L0030151                       EnggStore</v>
          </cell>
          <cell r="E5886" t="str">
            <v>E01 E01</v>
          </cell>
          <cell r="F5886" t="str">
            <v>VB Manual reorder point planning</v>
          </cell>
          <cell r="G5886" t="str">
            <v>HIBE Operating supplies</v>
          </cell>
          <cell r="H5886" t="str">
            <v>EN027     Prod&amp;OtherConsumable</v>
          </cell>
          <cell r="I5886" t="str">
            <v>L003 Ankleshwar</v>
          </cell>
          <cell r="J5886" t="str">
            <v>99 Input/Byprodt/Scrap</v>
          </cell>
          <cell r="K5886" t="str">
            <v>10.2012</v>
          </cell>
          <cell r="L5886">
            <v>4</v>
          </cell>
          <cell r="M5886" t="str">
            <v>PAC</v>
          </cell>
          <cell r="N5886">
            <v>11940</v>
          </cell>
          <cell r="O5886" t="str">
            <v>INR</v>
          </cell>
        </row>
        <row r="5887">
          <cell r="A5887" t="str">
            <v>L003 Ankleshwar</v>
          </cell>
          <cell r="B5887">
            <v>702233</v>
          </cell>
          <cell r="C5887" t="str">
            <v>PLASTIC WASH BOTTLE 500 ML. CAPACITY</v>
          </cell>
          <cell r="D5887" t="str">
            <v>L0030151                       EnggStore</v>
          </cell>
          <cell r="E5887" t="str">
            <v>E42 E42</v>
          </cell>
          <cell r="F5887" t="str">
            <v>VB Manual reorder point planning</v>
          </cell>
          <cell r="G5887" t="str">
            <v>HIBE Operating supplies</v>
          </cell>
          <cell r="H5887" t="str">
            <v>EN025     Glasswareitems</v>
          </cell>
          <cell r="I5887" t="str">
            <v>L003 Ankleshwar</v>
          </cell>
          <cell r="J5887" t="str">
            <v>99 Input/Byprodt/Scrap</v>
          </cell>
          <cell r="K5887" t="str">
            <v>10.2012</v>
          </cell>
          <cell r="L5887">
            <v>14</v>
          </cell>
          <cell r="M5887" t="str">
            <v>EA</v>
          </cell>
          <cell r="N5887">
            <v>394</v>
          </cell>
          <cell r="O5887" t="str">
            <v>INR</v>
          </cell>
        </row>
        <row r="5888">
          <cell r="A5888" t="str">
            <v>L003 Ankleshwar</v>
          </cell>
          <cell r="B5888">
            <v>702343</v>
          </cell>
          <cell r="C5888" t="str">
            <v>PP DR02 DRYER CYCLO.SEPA. BAG TA0.25X3MT</v>
          </cell>
          <cell r="D5888" t="str">
            <v>L0030151                       EnggStore</v>
          </cell>
          <cell r="E5888" t="str">
            <v>E06 E06</v>
          </cell>
          <cell r="F5888" t="str">
            <v>ND No planning</v>
          </cell>
          <cell r="G5888" t="str">
            <v>HIBE Operating supplies</v>
          </cell>
          <cell r="H5888" t="str">
            <v>EN001     Filters Spares</v>
          </cell>
          <cell r="I5888" t="str">
            <v>L003 Ankleshwar</v>
          </cell>
          <cell r="J5888" t="str">
            <v>99 Input/Byprodt/Scrap</v>
          </cell>
          <cell r="K5888" t="str">
            <v>10.2012</v>
          </cell>
          <cell r="L5888">
            <v>15</v>
          </cell>
          <cell r="M5888" t="str">
            <v>EA</v>
          </cell>
          <cell r="N5888">
            <v>6000</v>
          </cell>
          <cell r="O5888" t="str">
            <v>INR</v>
          </cell>
        </row>
        <row r="5889">
          <cell r="A5889" t="str">
            <v>L003 Ankleshwar</v>
          </cell>
          <cell r="B5889">
            <v>702345</v>
          </cell>
          <cell r="C5889" t="str">
            <v>PP SAMPLE BAG 100GM 4"X6"X100G(KG=1230NO</v>
          </cell>
          <cell r="D5889" t="str">
            <v>L0030151                       EnggStore</v>
          </cell>
          <cell r="E5889" t="str">
            <v>E42 E42</v>
          </cell>
          <cell r="F5889" t="str">
            <v>VB Manual reorder point planning</v>
          </cell>
          <cell r="G5889" t="str">
            <v>HIBE Operating supplies</v>
          </cell>
          <cell r="H5889" t="str">
            <v>EN027     Prod&amp;OtherConsumable</v>
          </cell>
          <cell r="I5889" t="str">
            <v>L003 Ankleshwar</v>
          </cell>
          <cell r="J5889" t="str">
            <v>99 Input/Byprodt/Scrap</v>
          </cell>
          <cell r="K5889" t="str">
            <v>10.2012</v>
          </cell>
          <cell r="L5889">
            <v>26.085000000000001</v>
          </cell>
          <cell r="M5889" t="str">
            <v>KG</v>
          </cell>
          <cell r="N5889">
            <v>3574.27</v>
          </cell>
          <cell r="O5889" t="str">
            <v>INR</v>
          </cell>
        </row>
        <row r="5890">
          <cell r="A5890" t="str">
            <v>L003 Ankleshwar</v>
          </cell>
          <cell r="B5890">
            <v>702383</v>
          </cell>
          <cell r="C5890" t="str">
            <v>PP-D1100 C/F BAG 32",5201A/B/C/D F/7ADCA</v>
          </cell>
          <cell r="D5890" t="str">
            <v>L0030151                       EnggStore</v>
          </cell>
          <cell r="E5890" t="str">
            <v>E01 E01</v>
          </cell>
          <cell r="F5890" t="str">
            <v>VB Manual reorder point planning</v>
          </cell>
          <cell r="G5890" t="str">
            <v>HIBE Operating supplies</v>
          </cell>
          <cell r="H5890" t="str">
            <v>EN001     Filters Spares</v>
          </cell>
          <cell r="I5890" t="str">
            <v>L003 Ankleshwar</v>
          </cell>
          <cell r="J5890" t="str">
            <v>99 Input/Byprodt/Scrap</v>
          </cell>
          <cell r="K5890" t="str">
            <v>10.2012</v>
          </cell>
          <cell r="L5890">
            <v>9</v>
          </cell>
          <cell r="M5890" t="str">
            <v>EA</v>
          </cell>
          <cell r="N5890">
            <v>5715</v>
          </cell>
          <cell r="O5890" t="str">
            <v>INR</v>
          </cell>
        </row>
        <row r="5891">
          <cell r="A5891" t="str">
            <v>L003 Ankleshwar</v>
          </cell>
          <cell r="B5891">
            <v>702385</v>
          </cell>
          <cell r="C5891" t="str">
            <v>PP-D1100 C/F BAG 48" F-5201E FOR 7ADCA</v>
          </cell>
          <cell r="D5891" t="str">
            <v>L0030201                       Cons StoreKP</v>
          </cell>
          <cell r="E5891" t="str">
            <v>E42 E42</v>
          </cell>
          <cell r="F5891" t="str">
            <v>VB Manual reorder point planning</v>
          </cell>
          <cell r="G5891" t="str">
            <v>HIBE Operating supplies</v>
          </cell>
          <cell r="H5891" t="str">
            <v>EN001     Filters Spares</v>
          </cell>
          <cell r="I5891" t="str">
            <v>L003 Ankleshwar</v>
          </cell>
          <cell r="J5891" t="str">
            <v>99 Input/Byprodt/Scrap</v>
          </cell>
          <cell r="K5891" t="str">
            <v>10.2012</v>
          </cell>
          <cell r="L5891">
            <v>10</v>
          </cell>
          <cell r="M5891" t="str">
            <v>EA</v>
          </cell>
          <cell r="N5891">
            <v>13870</v>
          </cell>
          <cell r="O5891" t="str">
            <v>INR</v>
          </cell>
        </row>
        <row r="5892">
          <cell r="A5892" t="str">
            <v>L003 Ankleshwar</v>
          </cell>
          <cell r="B5892">
            <v>702386</v>
          </cell>
          <cell r="C5892" t="str">
            <v>PP-424A ANTI STATIC C/F BAG 48"F-5401A/B</v>
          </cell>
          <cell r="D5892" t="str">
            <v>L0030201                       Cons StoreKP</v>
          </cell>
          <cell r="E5892" t="str">
            <v>E01 E01</v>
          </cell>
          <cell r="F5892" t="str">
            <v>VB Manual reorder point planning</v>
          </cell>
          <cell r="G5892" t="str">
            <v>HIBE Operating supplies</v>
          </cell>
          <cell r="H5892" t="str">
            <v>EN001     Filters Spares</v>
          </cell>
          <cell r="I5892" t="str">
            <v>L003 Ankleshwar</v>
          </cell>
          <cell r="J5892" t="str">
            <v>99 Input/Byprodt/Scrap</v>
          </cell>
          <cell r="K5892" t="str">
            <v>10.2012</v>
          </cell>
          <cell r="L5892">
            <v>5</v>
          </cell>
          <cell r="M5892" t="str">
            <v>EA</v>
          </cell>
          <cell r="N5892">
            <v>9500</v>
          </cell>
          <cell r="O5892" t="str">
            <v>INR</v>
          </cell>
        </row>
        <row r="5893">
          <cell r="A5893" t="str">
            <v>L003 Ankleshwar</v>
          </cell>
          <cell r="B5893">
            <v>702401</v>
          </cell>
          <cell r="C5893" t="str">
            <v>PP-D-900 WOVEN FABRIC 28"X4.4MR  TA F901</v>
          </cell>
          <cell r="D5893" t="str">
            <v>L0030201                       Cons StoreKP</v>
          </cell>
          <cell r="E5893" t="str">
            <v>E42 E42</v>
          </cell>
          <cell r="F5893" t="str">
            <v>VB Manual reorder point planning</v>
          </cell>
          <cell r="G5893" t="str">
            <v>HIBE Operating supplies</v>
          </cell>
          <cell r="H5893" t="str">
            <v>EN001     Filters Spares</v>
          </cell>
          <cell r="I5893" t="str">
            <v>L003 Ankleshwar</v>
          </cell>
          <cell r="J5893" t="str">
            <v>99 Input/Byprodt/Scrap</v>
          </cell>
          <cell r="K5893" t="str">
            <v>10.2012</v>
          </cell>
          <cell r="L5893">
            <v>16</v>
          </cell>
          <cell r="M5893" t="str">
            <v>EA</v>
          </cell>
          <cell r="N5893">
            <v>7066.68</v>
          </cell>
          <cell r="O5893" t="str">
            <v>INR</v>
          </cell>
        </row>
        <row r="5894">
          <cell r="A5894" t="str">
            <v>L003 Ankleshwar</v>
          </cell>
          <cell r="B5894">
            <v>702409</v>
          </cell>
          <cell r="C5894" t="str">
            <v>PP-S5 BAG ROUND 63"DIA</v>
          </cell>
          <cell r="D5894" t="str">
            <v>L0030151                       EnggStore</v>
          </cell>
          <cell r="E5894" t="str">
            <v>E06 E06</v>
          </cell>
          <cell r="F5894" t="str">
            <v>ND No planning</v>
          </cell>
          <cell r="G5894" t="str">
            <v>HIBE Operating supplies</v>
          </cell>
          <cell r="H5894" t="str">
            <v>EN001     Filters Spares</v>
          </cell>
          <cell r="I5894" t="str">
            <v>L003 Ankleshwar</v>
          </cell>
          <cell r="J5894" t="str">
            <v>99 Input/Byprodt/Scrap</v>
          </cell>
          <cell r="K5894" t="str">
            <v>10.2012</v>
          </cell>
          <cell r="L5894">
            <v>1</v>
          </cell>
          <cell r="M5894" t="str">
            <v>EA</v>
          </cell>
          <cell r="N5894">
            <v>700</v>
          </cell>
          <cell r="O5894" t="str">
            <v>INR</v>
          </cell>
        </row>
        <row r="5895">
          <cell r="A5895" t="str">
            <v>L003 Ankleshwar</v>
          </cell>
          <cell r="B5895">
            <v>702446</v>
          </cell>
          <cell r="C5895" t="str">
            <v>PVC  HAND GLOVES YELLOW COLOUR 18"</v>
          </cell>
          <cell r="D5895" t="str">
            <v>L0030151                       EnggStore</v>
          </cell>
          <cell r="E5895" t="str">
            <v>E01 E01</v>
          </cell>
          <cell r="F5895" t="str">
            <v>VB Manual reorder point planning</v>
          </cell>
          <cell r="G5895" t="str">
            <v>HIBE Operating supplies</v>
          </cell>
          <cell r="H5895" t="str">
            <v>EN010     Fire&amp;safety</v>
          </cell>
          <cell r="I5895" t="str">
            <v>L003 Ankleshwar</v>
          </cell>
          <cell r="J5895" t="str">
            <v>99 Input/Byprodt/Scrap</v>
          </cell>
          <cell r="K5895" t="str">
            <v>10.2012</v>
          </cell>
          <cell r="L5895">
            <v>232</v>
          </cell>
          <cell r="M5895" t="str">
            <v>PAA</v>
          </cell>
          <cell r="N5895">
            <v>17290.77</v>
          </cell>
          <cell r="O5895" t="str">
            <v>INR</v>
          </cell>
        </row>
        <row r="5896">
          <cell r="A5896" t="str">
            <v>L003 Ankleshwar</v>
          </cell>
          <cell r="B5896">
            <v>702446</v>
          </cell>
          <cell r="C5896" t="str">
            <v>PVC  HAND GLOVES YELLOW COLOUR 18"</v>
          </cell>
          <cell r="D5896" t="str">
            <v>L0030201                       Cons StoreKP</v>
          </cell>
          <cell r="E5896" t="str">
            <v>E01 E01</v>
          </cell>
          <cell r="F5896" t="str">
            <v>VB Manual reorder point planning</v>
          </cell>
          <cell r="G5896" t="str">
            <v>HIBE Operating supplies</v>
          </cell>
          <cell r="H5896" t="str">
            <v>EN010     Fire&amp;safety</v>
          </cell>
          <cell r="I5896" t="str">
            <v>L003 Ankleshwar</v>
          </cell>
          <cell r="J5896" t="str">
            <v>99 Input/Byprodt/Scrap</v>
          </cell>
          <cell r="K5896" t="str">
            <v>10.2012</v>
          </cell>
          <cell r="L5896">
            <v>104</v>
          </cell>
          <cell r="M5896" t="str">
            <v>PAA</v>
          </cell>
          <cell r="N5896">
            <v>7751.0299999999897</v>
          </cell>
          <cell r="O5896" t="str">
            <v>INR</v>
          </cell>
        </row>
        <row r="5897">
          <cell r="A5897" t="str">
            <v>L003 Ankleshwar</v>
          </cell>
          <cell r="B5897">
            <v>702447</v>
          </cell>
          <cell r="C5897" t="str">
            <v>PVC APPRONS</v>
          </cell>
          <cell r="D5897" t="str">
            <v>L0030151                       EnggStore</v>
          </cell>
          <cell r="E5897" t="str">
            <v>E01 E01</v>
          </cell>
          <cell r="F5897" t="str">
            <v>VB Manual reorder point planning</v>
          </cell>
          <cell r="G5897" t="str">
            <v>HIBE Operating supplies</v>
          </cell>
          <cell r="H5897" t="str">
            <v>EN010     Fire&amp;safety</v>
          </cell>
          <cell r="I5897" t="str">
            <v>L003 Ankleshwar</v>
          </cell>
          <cell r="J5897" t="str">
            <v>99 Input/Byprodt/Scrap</v>
          </cell>
          <cell r="K5897" t="str">
            <v>10.2012</v>
          </cell>
          <cell r="L5897">
            <v>29</v>
          </cell>
          <cell r="M5897" t="str">
            <v>EA</v>
          </cell>
          <cell r="N5897">
            <v>1682</v>
          </cell>
          <cell r="O5897" t="str">
            <v>INR</v>
          </cell>
        </row>
        <row r="5898">
          <cell r="A5898" t="str">
            <v>L003 Ankleshwar</v>
          </cell>
          <cell r="B5898">
            <v>702447</v>
          </cell>
          <cell r="C5898" t="str">
            <v>PVC APPRONS</v>
          </cell>
          <cell r="D5898" t="str">
            <v>L0030201                       Cons StoreKP</v>
          </cell>
          <cell r="E5898" t="str">
            <v>E01 E01</v>
          </cell>
          <cell r="F5898" t="str">
            <v>VB Manual reorder point planning</v>
          </cell>
          <cell r="G5898" t="str">
            <v>HIBE Operating supplies</v>
          </cell>
          <cell r="H5898" t="str">
            <v>EN010     Fire&amp;safety</v>
          </cell>
          <cell r="I5898" t="str">
            <v>L003 Ankleshwar</v>
          </cell>
          <cell r="J5898" t="str">
            <v>99 Input/Byprodt/Scrap</v>
          </cell>
          <cell r="K5898" t="str">
            <v>10.2012</v>
          </cell>
          <cell r="L5898">
            <v>2</v>
          </cell>
          <cell r="M5898" t="str">
            <v>EA</v>
          </cell>
          <cell r="N5898">
            <v>116</v>
          </cell>
          <cell r="O5898" t="str">
            <v>INR</v>
          </cell>
        </row>
        <row r="5899">
          <cell r="A5899" t="str">
            <v>L003 Ankleshwar</v>
          </cell>
          <cell r="B5899">
            <v>702449</v>
          </cell>
          <cell r="C5899" t="str">
            <v>PVC BOWL FOR EYE SHOWER</v>
          </cell>
          <cell r="D5899" t="str">
            <v>L0030151                       EnggStore</v>
          </cell>
          <cell r="E5899" t="str">
            <v>E01 E01</v>
          </cell>
          <cell r="F5899" t="str">
            <v>VB Manual reorder point planning</v>
          </cell>
          <cell r="G5899" t="str">
            <v>HIBE Operating supplies</v>
          </cell>
          <cell r="H5899" t="str">
            <v>EN010     Fire&amp;safety</v>
          </cell>
          <cell r="I5899" t="str">
            <v>L003 Ankleshwar</v>
          </cell>
          <cell r="J5899" t="str">
            <v>99 Input/Byprodt/Scrap</v>
          </cell>
          <cell r="K5899" t="str">
            <v>10.2012</v>
          </cell>
          <cell r="L5899">
            <v>3</v>
          </cell>
          <cell r="M5899" t="str">
            <v>EA</v>
          </cell>
          <cell r="N5899">
            <v>641.25</v>
          </cell>
          <cell r="O5899" t="str">
            <v>INR</v>
          </cell>
        </row>
        <row r="5900">
          <cell r="A5900" t="str">
            <v>L003 Ankleshwar</v>
          </cell>
          <cell r="B5900">
            <v>702457</v>
          </cell>
          <cell r="C5900" t="str">
            <v>PVC TRANSPARANT BUBBLE HOOD</v>
          </cell>
          <cell r="D5900" t="str">
            <v>L0030151                       EnggStore</v>
          </cell>
          <cell r="E5900" t="str">
            <v>E01 E01</v>
          </cell>
          <cell r="F5900" t="str">
            <v>VB Manual reorder point planning</v>
          </cell>
          <cell r="G5900" t="str">
            <v>HIBE Operating supplies</v>
          </cell>
          <cell r="H5900" t="str">
            <v>EN010     Fire&amp;safety</v>
          </cell>
          <cell r="I5900" t="str">
            <v>L003 Ankleshwar</v>
          </cell>
          <cell r="J5900" t="str">
            <v>99 Input/Byprodt/Scrap</v>
          </cell>
          <cell r="K5900" t="str">
            <v>10.2012</v>
          </cell>
          <cell r="L5900">
            <v>23</v>
          </cell>
          <cell r="M5900" t="str">
            <v>EA</v>
          </cell>
          <cell r="N5900">
            <v>2767.3</v>
          </cell>
          <cell r="O5900" t="str">
            <v>INR</v>
          </cell>
        </row>
        <row r="5901">
          <cell r="A5901" t="str">
            <v>L003 Ankleshwar</v>
          </cell>
          <cell r="B5901">
            <v>702474</v>
          </cell>
          <cell r="C5901" t="str">
            <v>PYRROLIDINE 99% (CAS-123-75-1)</v>
          </cell>
          <cell r="D5901" t="str">
            <v>L0030051                       RMstores</v>
          </cell>
          <cell r="E5901">
            <v>0</v>
          </cell>
          <cell r="F5901" t="str">
            <v>ND No planning</v>
          </cell>
          <cell r="G5901" t="str">
            <v>HIBE Operating supplies</v>
          </cell>
          <cell r="H5901" t="str">
            <v>EN034     LabConsumables</v>
          </cell>
          <cell r="I5901" t="str">
            <v>L003 Ankleshwar</v>
          </cell>
          <cell r="J5901" t="str">
            <v>99 Input/Byprodt/Scrap</v>
          </cell>
          <cell r="K5901" t="str">
            <v>10.2012</v>
          </cell>
          <cell r="L5901">
            <v>60.5</v>
          </cell>
          <cell r="M5901" t="str">
            <v>KG</v>
          </cell>
          <cell r="N5901">
            <v>52831.4</v>
          </cell>
          <cell r="O5901" t="str">
            <v>INR</v>
          </cell>
        </row>
        <row r="5902">
          <cell r="A5902" t="str">
            <v>L003 Ankleshwar</v>
          </cell>
          <cell r="B5902">
            <v>702582</v>
          </cell>
          <cell r="C5902" t="str">
            <v>SAFETY AIR HOOD W/T PVC JACKET&amp; AIR PIPE</v>
          </cell>
          <cell r="D5902" t="str">
            <v>L0030151                       EnggStore</v>
          </cell>
          <cell r="E5902" t="str">
            <v>E01 E01</v>
          </cell>
          <cell r="F5902" t="str">
            <v>VB Manual reorder point planning</v>
          </cell>
          <cell r="G5902" t="str">
            <v>HIBE Operating supplies</v>
          </cell>
          <cell r="H5902" t="str">
            <v>EN010     Fire&amp;safety</v>
          </cell>
          <cell r="I5902" t="str">
            <v>L003 Ankleshwar</v>
          </cell>
          <cell r="J5902" t="str">
            <v>99 Input/Byprodt/Scrap</v>
          </cell>
          <cell r="K5902" t="str">
            <v>10.2012</v>
          </cell>
          <cell r="L5902">
            <v>7</v>
          </cell>
          <cell r="M5902" t="str">
            <v>EA</v>
          </cell>
          <cell r="N5902">
            <v>9098.6399999999903</v>
          </cell>
          <cell r="O5902" t="str">
            <v>INR</v>
          </cell>
        </row>
        <row r="5903">
          <cell r="A5903" t="str">
            <v>L003 Ankleshwar</v>
          </cell>
          <cell r="B5903">
            <v>702582</v>
          </cell>
          <cell r="C5903" t="str">
            <v>SAFETY AIR HOOD W/T PVC JACKET&amp; AIR PIPE</v>
          </cell>
          <cell r="D5903" t="str">
            <v>L0030201                       Cons StoreKP</v>
          </cell>
          <cell r="E5903" t="str">
            <v>E01 E01</v>
          </cell>
          <cell r="F5903" t="str">
            <v>VB Manual reorder point planning</v>
          </cell>
          <cell r="G5903" t="str">
            <v>HIBE Operating supplies</v>
          </cell>
          <cell r="H5903" t="str">
            <v>EN010     Fire&amp;safety</v>
          </cell>
          <cell r="I5903" t="str">
            <v>L003 Ankleshwar</v>
          </cell>
          <cell r="J5903" t="str">
            <v>99 Input/Byprodt/Scrap</v>
          </cell>
          <cell r="K5903" t="str">
            <v>10.2012</v>
          </cell>
          <cell r="L5903">
            <v>13</v>
          </cell>
          <cell r="M5903" t="str">
            <v>EA</v>
          </cell>
          <cell r="N5903">
            <v>16897.47</v>
          </cell>
          <cell r="O5903" t="str">
            <v>INR</v>
          </cell>
        </row>
        <row r="5904">
          <cell r="A5904" t="str">
            <v>L003 Ankleshwar</v>
          </cell>
          <cell r="B5904">
            <v>702583</v>
          </cell>
          <cell r="C5904" t="str">
            <v>SAFETY CLIP &amp; CHAIN FOR 5 KG FIRE EXT</v>
          </cell>
          <cell r="D5904" t="str">
            <v>L0030151                       EnggStore</v>
          </cell>
          <cell r="E5904" t="str">
            <v>E01 E01</v>
          </cell>
          <cell r="F5904" t="str">
            <v>VB Manual reorder point planning</v>
          </cell>
          <cell r="G5904" t="str">
            <v>HIBE Operating supplies</v>
          </cell>
          <cell r="H5904" t="str">
            <v>EN010     Fire&amp;safety</v>
          </cell>
          <cell r="I5904" t="str">
            <v>L003 Ankleshwar</v>
          </cell>
          <cell r="J5904" t="str">
            <v>99 Input/Byprodt/Scrap</v>
          </cell>
          <cell r="K5904" t="str">
            <v>10.2012</v>
          </cell>
          <cell r="L5904">
            <v>100</v>
          </cell>
          <cell r="M5904" t="str">
            <v>EA</v>
          </cell>
          <cell r="N5904">
            <v>1200</v>
          </cell>
          <cell r="O5904" t="str">
            <v>INR</v>
          </cell>
        </row>
        <row r="5905">
          <cell r="A5905" t="str">
            <v>L003 Ankleshwar</v>
          </cell>
          <cell r="B5905">
            <v>702586</v>
          </cell>
          <cell r="C5905" t="str">
            <v>SAFETY SHOES,INDL TYPE BLACK</v>
          </cell>
          <cell r="D5905" t="str">
            <v>L0030151                       EnggStore</v>
          </cell>
          <cell r="E5905" t="str">
            <v>E02 E02</v>
          </cell>
          <cell r="F5905" t="str">
            <v>ND No planning</v>
          </cell>
          <cell r="G5905" t="str">
            <v>HIBE Operating supplies</v>
          </cell>
          <cell r="H5905" t="str">
            <v>EN010     Fire&amp;safety</v>
          </cell>
          <cell r="I5905" t="str">
            <v>L003 Ankleshwar</v>
          </cell>
          <cell r="J5905" t="str">
            <v>99 Input/Byprodt/Scrap</v>
          </cell>
          <cell r="K5905" t="str">
            <v>10.2012</v>
          </cell>
          <cell r="L5905">
            <v>10</v>
          </cell>
          <cell r="M5905" t="str">
            <v>PAA</v>
          </cell>
          <cell r="N5905">
            <v>4900</v>
          </cell>
          <cell r="O5905" t="str">
            <v>INR</v>
          </cell>
        </row>
        <row r="5906">
          <cell r="A5906" t="str">
            <v>L003 Ankleshwar</v>
          </cell>
          <cell r="B5906">
            <v>702605</v>
          </cell>
          <cell r="C5906" t="str">
            <v>SELF SEALING PLASTIC BAG SIZE 3" X 4"</v>
          </cell>
          <cell r="D5906" t="str">
            <v>L0030151                       EnggStore</v>
          </cell>
          <cell r="E5906" t="str">
            <v>E42 E42</v>
          </cell>
          <cell r="F5906" t="str">
            <v>VB Manual reorder point planning</v>
          </cell>
          <cell r="G5906" t="str">
            <v>HIBE Operating supplies</v>
          </cell>
          <cell r="H5906" t="str">
            <v>EN027     Prod&amp;OtherConsumable</v>
          </cell>
          <cell r="I5906" t="str">
            <v>L003 Ankleshwar</v>
          </cell>
          <cell r="J5906" t="str">
            <v>99 Input/Byprodt/Scrap</v>
          </cell>
          <cell r="K5906" t="str">
            <v>10.2012</v>
          </cell>
          <cell r="L5906">
            <v>5600</v>
          </cell>
          <cell r="M5906" t="str">
            <v>EA</v>
          </cell>
          <cell r="N5906">
            <v>2401.65</v>
          </cell>
          <cell r="O5906" t="str">
            <v>INR</v>
          </cell>
        </row>
        <row r="5907">
          <cell r="A5907" t="str">
            <v>L003 Ankleshwar</v>
          </cell>
          <cell r="B5907">
            <v>702621</v>
          </cell>
          <cell r="C5907" t="str">
            <v>SHOE COVERS, DISPOSABLE</v>
          </cell>
          <cell r="D5907" t="str">
            <v>L0030151                       EnggStore</v>
          </cell>
          <cell r="E5907" t="str">
            <v>E42 E42</v>
          </cell>
          <cell r="F5907" t="str">
            <v>VB Manual reorder point planning</v>
          </cell>
          <cell r="G5907" t="str">
            <v>HIBE Operating supplies</v>
          </cell>
          <cell r="H5907" t="str">
            <v>EN027     Prod&amp;OtherConsumable</v>
          </cell>
          <cell r="I5907" t="str">
            <v>L003 Ankleshwar</v>
          </cell>
          <cell r="J5907" t="str">
            <v>99 Input/Byprodt/Scrap</v>
          </cell>
          <cell r="K5907" t="str">
            <v>10.2012</v>
          </cell>
          <cell r="L5907">
            <v>8250</v>
          </cell>
          <cell r="M5907" t="str">
            <v>PAA</v>
          </cell>
          <cell r="N5907">
            <v>17737.5</v>
          </cell>
          <cell r="O5907" t="str">
            <v>INR</v>
          </cell>
        </row>
        <row r="5908">
          <cell r="A5908" t="str">
            <v>L003 Ankleshwar</v>
          </cell>
          <cell r="B5908">
            <v>702621</v>
          </cell>
          <cell r="C5908" t="str">
            <v>SHOE COVERS, DISPOSABLE</v>
          </cell>
          <cell r="D5908" t="str">
            <v>L0030201                       Cons StoreKP</v>
          </cell>
          <cell r="E5908" t="str">
            <v>E42 E42</v>
          </cell>
          <cell r="F5908" t="str">
            <v>VB Manual reorder point planning</v>
          </cell>
          <cell r="G5908" t="str">
            <v>HIBE Operating supplies</v>
          </cell>
          <cell r="H5908" t="str">
            <v>EN027     Prod&amp;OtherConsumable</v>
          </cell>
          <cell r="I5908" t="str">
            <v>L003 Ankleshwar</v>
          </cell>
          <cell r="J5908" t="str">
            <v>99 Input/Byprodt/Scrap</v>
          </cell>
          <cell r="K5908" t="str">
            <v>10.2012</v>
          </cell>
          <cell r="L5908">
            <v>2800</v>
          </cell>
          <cell r="M5908" t="str">
            <v>PAA</v>
          </cell>
          <cell r="N5908">
            <v>6020</v>
          </cell>
          <cell r="O5908" t="str">
            <v>INR</v>
          </cell>
        </row>
        <row r="5909">
          <cell r="A5909" t="str">
            <v>L003 Ankleshwar</v>
          </cell>
          <cell r="B5909">
            <v>702622</v>
          </cell>
          <cell r="C5909" t="str">
            <v>SHOWER FOR HEAD</v>
          </cell>
          <cell r="D5909" t="str">
            <v>L0030151                       EnggStore</v>
          </cell>
          <cell r="E5909" t="str">
            <v>E02 E02</v>
          </cell>
          <cell r="F5909" t="str">
            <v>ND No planning</v>
          </cell>
          <cell r="G5909" t="str">
            <v>HIBE Operating supplies</v>
          </cell>
          <cell r="H5909" t="str">
            <v>EN010     Fire&amp;safety</v>
          </cell>
          <cell r="I5909" t="str">
            <v>L003 Ankleshwar</v>
          </cell>
          <cell r="J5909" t="str">
            <v>99 Input/Byprodt/Scrap</v>
          </cell>
          <cell r="K5909" t="str">
            <v>10.2012</v>
          </cell>
          <cell r="L5909">
            <v>1</v>
          </cell>
          <cell r="M5909" t="str">
            <v>EA</v>
          </cell>
          <cell r="N5909">
            <v>237.5</v>
          </cell>
          <cell r="O5909" t="str">
            <v>INR</v>
          </cell>
        </row>
        <row r="5910">
          <cell r="A5910" t="str">
            <v>L003 Ankleshwar</v>
          </cell>
          <cell r="B5910">
            <v>702657</v>
          </cell>
          <cell r="C5910" t="str">
            <v>SK804 C/F BAG 100% FPP CLOTH 36" F5901B</v>
          </cell>
          <cell r="D5910" t="str">
            <v>L0030151                       EnggStore</v>
          </cell>
          <cell r="E5910" t="str">
            <v>E01 E01</v>
          </cell>
          <cell r="F5910" t="str">
            <v>VB Manual reorder point planning</v>
          </cell>
          <cell r="G5910" t="str">
            <v>HIBE Operating supplies</v>
          </cell>
          <cell r="H5910" t="str">
            <v>EN001     Filters Spares</v>
          </cell>
          <cell r="I5910" t="str">
            <v>L003 Ankleshwar</v>
          </cell>
          <cell r="J5910" t="str">
            <v>99 Input/Byprodt/Scrap</v>
          </cell>
          <cell r="K5910" t="str">
            <v>10.2012</v>
          </cell>
          <cell r="L5910">
            <v>1</v>
          </cell>
          <cell r="M5910" t="str">
            <v>EA</v>
          </cell>
          <cell r="N5910">
            <v>665</v>
          </cell>
          <cell r="O5910" t="str">
            <v>INR</v>
          </cell>
        </row>
        <row r="5911">
          <cell r="A5911" t="str">
            <v>L003 Ankleshwar</v>
          </cell>
          <cell r="B5911">
            <v>702658</v>
          </cell>
          <cell r="C5911" t="str">
            <v>SK-804 C/F BAG 100% FPP48"F5901ATOD/5902</v>
          </cell>
          <cell r="D5911" t="str">
            <v>L0030201                       Cons StoreKP</v>
          </cell>
          <cell r="E5911" t="str">
            <v>E42 E42</v>
          </cell>
          <cell r="F5911" t="str">
            <v>VB Manual reorder point planning</v>
          </cell>
          <cell r="G5911" t="str">
            <v>HIBE Operating supplies</v>
          </cell>
          <cell r="H5911" t="str">
            <v>EN001     Filters Spares</v>
          </cell>
          <cell r="I5911" t="str">
            <v>L003 Ankleshwar</v>
          </cell>
          <cell r="J5911" t="str">
            <v>99 Input/Byprodt/Scrap</v>
          </cell>
          <cell r="K5911" t="str">
            <v>10.2012</v>
          </cell>
          <cell r="L5911">
            <v>6</v>
          </cell>
          <cell r="M5911" t="str">
            <v>EA</v>
          </cell>
          <cell r="N5911">
            <v>7101.6</v>
          </cell>
          <cell r="O5911" t="str">
            <v>INR</v>
          </cell>
        </row>
        <row r="5912">
          <cell r="A5912" t="str">
            <v>L003 Ankleshwar</v>
          </cell>
          <cell r="B5912">
            <v>702773</v>
          </cell>
          <cell r="C5912" t="str">
            <v>SODIUM THAIO SULPHATE CRYSTAL</v>
          </cell>
          <cell r="D5912" t="str">
            <v>L0030151                       EnggStore</v>
          </cell>
          <cell r="E5912" t="str">
            <v>E02 E02</v>
          </cell>
          <cell r="F5912" t="str">
            <v>ND No planning</v>
          </cell>
          <cell r="G5912" t="str">
            <v>HIBE Operating supplies</v>
          </cell>
          <cell r="H5912" t="str">
            <v>EN010     Fire&amp;safety</v>
          </cell>
          <cell r="I5912" t="str">
            <v>L003 Ankleshwar</v>
          </cell>
          <cell r="J5912" t="str">
            <v>99 Input/Byprodt/Scrap</v>
          </cell>
          <cell r="K5912" t="str">
            <v>10.2012</v>
          </cell>
          <cell r="L5912">
            <v>100</v>
          </cell>
          <cell r="M5912" t="str">
            <v>KG</v>
          </cell>
          <cell r="N5912">
            <v>1700</v>
          </cell>
          <cell r="O5912" t="str">
            <v>INR</v>
          </cell>
        </row>
        <row r="5913">
          <cell r="A5913" t="str">
            <v>L003 Ankleshwar</v>
          </cell>
          <cell r="B5913">
            <v>702830</v>
          </cell>
          <cell r="C5913" t="str">
            <v>STARCH IODIDE PAPER E-MERCK 1PKTX100STRI</v>
          </cell>
          <cell r="D5913" t="str">
            <v>L0030201                       Cons StoreKP</v>
          </cell>
          <cell r="E5913" t="str">
            <v>E02 E02</v>
          </cell>
          <cell r="F5913" t="str">
            <v>ND No planning</v>
          </cell>
          <cell r="G5913" t="str">
            <v>HIBE Operating supplies</v>
          </cell>
          <cell r="H5913" t="str">
            <v>EN027     Prod&amp;OtherConsumable</v>
          </cell>
          <cell r="I5913" t="str">
            <v>L003 Ankleshwar</v>
          </cell>
          <cell r="J5913" t="str">
            <v>99 Input/Byprodt/Scrap</v>
          </cell>
          <cell r="K5913" t="str">
            <v>10.2012</v>
          </cell>
          <cell r="L5913">
            <v>8</v>
          </cell>
          <cell r="M5913" t="str">
            <v>PAC</v>
          </cell>
          <cell r="N5913">
            <v>567.6</v>
          </cell>
          <cell r="O5913" t="str">
            <v>INR</v>
          </cell>
        </row>
        <row r="5914">
          <cell r="A5914" t="str">
            <v>L003 Ankleshwar</v>
          </cell>
          <cell r="B5914">
            <v>702861</v>
          </cell>
          <cell r="C5914" t="str">
            <v>SUFLOC SS-3</v>
          </cell>
          <cell r="D5914" t="str">
            <v>L0030151                       EnggStore</v>
          </cell>
          <cell r="E5914" t="str">
            <v>E01 E01</v>
          </cell>
          <cell r="F5914" t="str">
            <v>VB Manual reorder point planning</v>
          </cell>
          <cell r="G5914" t="str">
            <v>HIBE Operating supplies</v>
          </cell>
          <cell r="H5914" t="str">
            <v>EN027     Prod&amp;OtherConsumable</v>
          </cell>
          <cell r="I5914" t="str">
            <v>L003 Ankleshwar</v>
          </cell>
          <cell r="J5914" t="str">
            <v>99 Input/Byprodt/Scrap</v>
          </cell>
          <cell r="K5914" t="str">
            <v>10.2012</v>
          </cell>
          <cell r="L5914">
            <v>100</v>
          </cell>
          <cell r="M5914" t="str">
            <v>KG</v>
          </cell>
          <cell r="N5914">
            <v>23226.0999999999</v>
          </cell>
          <cell r="O5914" t="str">
            <v>INR</v>
          </cell>
        </row>
        <row r="5915">
          <cell r="A5915" t="str">
            <v>L003 Ankleshwar</v>
          </cell>
          <cell r="B5915">
            <v>702865</v>
          </cell>
          <cell r="C5915" t="str">
            <v>SULPHAMIC ACID,COMMERCIAL GRADE</v>
          </cell>
          <cell r="D5915" t="str">
            <v>L0030151                       EnggStore</v>
          </cell>
          <cell r="E5915" t="str">
            <v>E42 E42</v>
          </cell>
          <cell r="F5915" t="str">
            <v>VB Manual reorder point planning</v>
          </cell>
          <cell r="G5915" t="str">
            <v>HIBE Operating supplies</v>
          </cell>
          <cell r="H5915" t="str">
            <v>EN011     UtlChem/Lub/Fuel/Gas</v>
          </cell>
          <cell r="I5915" t="str">
            <v>L003 Ankleshwar</v>
          </cell>
          <cell r="J5915" t="str">
            <v>99 Input/Byprodt/Scrap</v>
          </cell>
          <cell r="K5915" t="str">
            <v>10.2012</v>
          </cell>
          <cell r="L5915">
            <v>19</v>
          </cell>
          <cell r="M5915" t="str">
            <v>KG</v>
          </cell>
          <cell r="N5915">
            <v>684</v>
          </cell>
          <cell r="O5915" t="str">
            <v>INR</v>
          </cell>
        </row>
        <row r="5916">
          <cell r="A5916" t="str">
            <v>L003 Ankleshwar</v>
          </cell>
          <cell r="B5916">
            <v>703181</v>
          </cell>
          <cell r="C5916" t="str">
            <v>NEEDLE BIG</v>
          </cell>
          <cell r="D5916" t="str">
            <v>L0030151                       EnggStore</v>
          </cell>
          <cell r="E5916" t="str">
            <v>E42 E42</v>
          </cell>
          <cell r="F5916" t="str">
            <v>VB Manual reorder point planning</v>
          </cell>
          <cell r="G5916" t="str">
            <v>HIBE Operating supplies</v>
          </cell>
          <cell r="H5916" t="str">
            <v>EN027     Prod&amp;OtherConsumable</v>
          </cell>
          <cell r="I5916" t="str">
            <v>L003 Ankleshwar</v>
          </cell>
          <cell r="J5916" t="str">
            <v>99 Input/Byprodt/Scrap</v>
          </cell>
          <cell r="K5916" t="str">
            <v>10.2012</v>
          </cell>
          <cell r="L5916">
            <v>108</v>
          </cell>
          <cell r="M5916" t="str">
            <v>EA</v>
          </cell>
          <cell r="N5916">
            <v>44.439999999999898</v>
          </cell>
          <cell r="O5916" t="str">
            <v>INR</v>
          </cell>
        </row>
        <row r="5917">
          <cell r="A5917" t="str">
            <v>L003 Ankleshwar</v>
          </cell>
          <cell r="B5917">
            <v>703182</v>
          </cell>
          <cell r="C5917" t="str">
            <v>NYLONE STICHING THREAD.</v>
          </cell>
          <cell r="D5917" t="str">
            <v>L0030151                       EnggStore</v>
          </cell>
          <cell r="E5917" t="str">
            <v>E42 E42</v>
          </cell>
          <cell r="F5917" t="str">
            <v>VB Manual reorder point planning</v>
          </cell>
          <cell r="G5917" t="str">
            <v>HIBE Operating supplies</v>
          </cell>
          <cell r="H5917" t="str">
            <v>EN027     Prod&amp;OtherConsumable</v>
          </cell>
          <cell r="I5917" t="str">
            <v>L003 Ankleshwar</v>
          </cell>
          <cell r="J5917" t="str">
            <v>99 Input/Byprodt/Scrap</v>
          </cell>
          <cell r="K5917" t="str">
            <v>10.2012</v>
          </cell>
          <cell r="L5917">
            <v>9</v>
          </cell>
          <cell r="M5917" t="str">
            <v>ROL</v>
          </cell>
          <cell r="N5917">
            <v>283.36</v>
          </cell>
          <cell r="O5917" t="str">
            <v>INR</v>
          </cell>
        </row>
        <row r="5918">
          <cell r="A5918" t="str">
            <v>L003 Ankleshwar</v>
          </cell>
          <cell r="B5918">
            <v>703185</v>
          </cell>
          <cell r="C5918" t="str">
            <v>SS-304 HOSE CLAMP 3"</v>
          </cell>
          <cell r="D5918" t="str">
            <v>L0030151                       EnggStore</v>
          </cell>
          <cell r="E5918">
            <v>0</v>
          </cell>
          <cell r="F5918" t="str">
            <v>ND No planning</v>
          </cell>
          <cell r="G5918" t="str">
            <v>HIBE Operating supplies</v>
          </cell>
          <cell r="H5918" t="str">
            <v>EN027     Prod&amp;OtherConsumable</v>
          </cell>
          <cell r="I5918" t="str">
            <v>L003 Ankleshwar</v>
          </cell>
          <cell r="J5918" t="str">
            <v>99 Input/Byprodt/Scrap</v>
          </cell>
          <cell r="K5918" t="str">
            <v>10.2012</v>
          </cell>
          <cell r="L5918">
            <v>12</v>
          </cell>
          <cell r="M5918" t="str">
            <v>EA</v>
          </cell>
          <cell r="N5918">
            <v>473.70999999999901</v>
          </cell>
          <cell r="O5918" t="str">
            <v>INR</v>
          </cell>
        </row>
        <row r="5919">
          <cell r="A5919" t="str">
            <v>L003 Ankleshwar</v>
          </cell>
          <cell r="B5919">
            <v>703188</v>
          </cell>
          <cell r="C5919" t="str">
            <v>PLASTIC BUCKET 50 LTR</v>
          </cell>
          <cell r="D5919" t="str">
            <v>L0030151                       EnggStore</v>
          </cell>
          <cell r="E5919" t="str">
            <v>E01 E01</v>
          </cell>
          <cell r="F5919" t="str">
            <v>VB Manual reorder point planning</v>
          </cell>
          <cell r="G5919" t="str">
            <v>HIBE Operating supplies</v>
          </cell>
          <cell r="H5919" t="str">
            <v>EN027     Prod&amp;OtherConsumable</v>
          </cell>
          <cell r="I5919" t="str">
            <v>L003 Ankleshwar</v>
          </cell>
          <cell r="J5919" t="str">
            <v>99 Input/Byprodt/Scrap</v>
          </cell>
          <cell r="K5919" t="str">
            <v>10.2012</v>
          </cell>
          <cell r="L5919">
            <v>1</v>
          </cell>
          <cell r="M5919" t="str">
            <v>EA</v>
          </cell>
          <cell r="N5919">
            <v>312.42</v>
          </cell>
          <cell r="O5919" t="str">
            <v>INR</v>
          </cell>
        </row>
        <row r="5920">
          <cell r="A5920" t="str">
            <v>L003 Ankleshwar</v>
          </cell>
          <cell r="B5920">
            <v>703190</v>
          </cell>
          <cell r="C5920" t="str">
            <v>SS BUCKET: 21 L</v>
          </cell>
          <cell r="D5920" t="str">
            <v>L0030151                       EnggStore</v>
          </cell>
          <cell r="E5920" t="str">
            <v>E42 E42</v>
          </cell>
          <cell r="F5920" t="str">
            <v>VB Manual reorder point planning</v>
          </cell>
          <cell r="G5920" t="str">
            <v>HIBE Operating supplies</v>
          </cell>
          <cell r="H5920" t="str">
            <v>EN027     Prod&amp;OtherConsumable</v>
          </cell>
          <cell r="I5920" t="str">
            <v>L003 Ankleshwar</v>
          </cell>
          <cell r="J5920" t="str">
            <v>99 Input/Byprodt/Scrap</v>
          </cell>
          <cell r="K5920" t="str">
            <v>10.2012</v>
          </cell>
          <cell r="L5920">
            <v>11</v>
          </cell>
          <cell r="M5920" t="str">
            <v>EA</v>
          </cell>
          <cell r="N5920">
            <v>5995</v>
          </cell>
          <cell r="O5920" t="str">
            <v>INR</v>
          </cell>
        </row>
        <row r="5921">
          <cell r="A5921" t="str">
            <v>L003 Ankleshwar</v>
          </cell>
          <cell r="B5921">
            <v>703190</v>
          </cell>
          <cell r="C5921" t="str">
            <v>SS BUCKET: 21 L</v>
          </cell>
          <cell r="D5921" t="str">
            <v>L0030201                       Cons StoreKP</v>
          </cell>
          <cell r="E5921" t="str">
            <v>E42 E42</v>
          </cell>
          <cell r="F5921" t="str">
            <v>VB Manual reorder point planning</v>
          </cell>
          <cell r="G5921" t="str">
            <v>HIBE Operating supplies</v>
          </cell>
          <cell r="H5921" t="str">
            <v>EN027     Prod&amp;OtherConsumable</v>
          </cell>
          <cell r="I5921" t="str">
            <v>L003 Ankleshwar</v>
          </cell>
          <cell r="J5921" t="str">
            <v>99 Input/Byprodt/Scrap</v>
          </cell>
          <cell r="K5921" t="str">
            <v>10.2012</v>
          </cell>
          <cell r="L5921">
            <v>11</v>
          </cell>
          <cell r="M5921" t="str">
            <v>EA</v>
          </cell>
          <cell r="N5921">
            <v>5995</v>
          </cell>
          <cell r="O5921" t="str">
            <v>INR</v>
          </cell>
        </row>
        <row r="5922">
          <cell r="A5922" t="str">
            <v>L003 Ankleshwar</v>
          </cell>
          <cell r="B5922">
            <v>703191</v>
          </cell>
          <cell r="C5922" t="str">
            <v>PLASTIC BUCKET 15 LTR.CAP. WITH MARKING</v>
          </cell>
          <cell r="D5922" t="str">
            <v>L0030151                       EnggStore</v>
          </cell>
          <cell r="E5922" t="str">
            <v>E42 E42</v>
          </cell>
          <cell r="F5922" t="str">
            <v>VB Manual reorder point planning</v>
          </cell>
          <cell r="G5922" t="str">
            <v>HIBE Operating supplies</v>
          </cell>
          <cell r="H5922" t="str">
            <v>EN027     Prod&amp;OtherConsumable</v>
          </cell>
          <cell r="I5922" t="str">
            <v>L003 Ankleshwar</v>
          </cell>
          <cell r="J5922" t="str">
            <v>99 Input/Byprodt/Scrap</v>
          </cell>
          <cell r="K5922" t="str">
            <v>10.2012</v>
          </cell>
          <cell r="L5922">
            <v>12</v>
          </cell>
          <cell r="M5922" t="str">
            <v>EA</v>
          </cell>
          <cell r="N5922">
            <v>1144.2</v>
          </cell>
          <cell r="O5922" t="str">
            <v>INR</v>
          </cell>
        </row>
        <row r="5923">
          <cell r="A5923" t="str">
            <v>L003 Ankleshwar</v>
          </cell>
          <cell r="B5923">
            <v>703191</v>
          </cell>
          <cell r="C5923" t="str">
            <v>PLASTIC BUCKET 15 LTR.CAP. WITH MARKING</v>
          </cell>
          <cell r="D5923" t="str">
            <v>L0030201                       Cons StoreKP</v>
          </cell>
          <cell r="E5923" t="str">
            <v>E42 E42</v>
          </cell>
          <cell r="F5923" t="str">
            <v>VB Manual reorder point planning</v>
          </cell>
          <cell r="G5923" t="str">
            <v>HIBE Operating supplies</v>
          </cell>
          <cell r="H5923" t="str">
            <v>EN027     Prod&amp;OtherConsumable</v>
          </cell>
          <cell r="I5923" t="str">
            <v>L003 Ankleshwar</v>
          </cell>
          <cell r="J5923" t="str">
            <v>99 Input/Byprodt/Scrap</v>
          </cell>
          <cell r="K5923" t="str">
            <v>10.2012</v>
          </cell>
          <cell r="L5923">
            <v>8</v>
          </cell>
          <cell r="M5923" t="str">
            <v>EA</v>
          </cell>
          <cell r="N5923">
            <v>762.79999999999905</v>
          </cell>
          <cell r="O5923" t="str">
            <v>INR</v>
          </cell>
        </row>
        <row r="5924">
          <cell r="A5924" t="str">
            <v>L003 Ankleshwar</v>
          </cell>
          <cell r="B5924">
            <v>703194</v>
          </cell>
          <cell r="C5924" t="str">
            <v>PP SCOOP</v>
          </cell>
          <cell r="D5924" t="str">
            <v>L0030151                       EnggStore</v>
          </cell>
          <cell r="E5924" t="str">
            <v>E01 E01</v>
          </cell>
          <cell r="F5924" t="str">
            <v>VB Manual reorder point planning</v>
          </cell>
          <cell r="G5924" t="str">
            <v>HIBE Operating supplies</v>
          </cell>
          <cell r="H5924" t="str">
            <v>EN027     Prod&amp;OtherConsumable</v>
          </cell>
          <cell r="I5924" t="str">
            <v>L003 Ankleshwar</v>
          </cell>
          <cell r="J5924" t="str">
            <v>99 Input/Byprodt/Scrap</v>
          </cell>
          <cell r="K5924" t="str">
            <v>10.2012</v>
          </cell>
          <cell r="L5924">
            <v>8</v>
          </cell>
          <cell r="M5924" t="str">
            <v>EA</v>
          </cell>
          <cell r="N5924">
            <v>576</v>
          </cell>
          <cell r="O5924" t="str">
            <v>INR</v>
          </cell>
        </row>
        <row r="5925">
          <cell r="A5925" t="str">
            <v>L003 Ankleshwar</v>
          </cell>
          <cell r="B5925">
            <v>703195</v>
          </cell>
          <cell r="C5925" t="str">
            <v>SS 316 SCOOP 10"X9"</v>
          </cell>
          <cell r="D5925" t="str">
            <v>L0030151                       EnggStore</v>
          </cell>
          <cell r="E5925" t="str">
            <v>E01 E01</v>
          </cell>
          <cell r="F5925" t="str">
            <v>VB Manual reorder point planning</v>
          </cell>
          <cell r="G5925" t="str">
            <v>HIBE Operating supplies</v>
          </cell>
          <cell r="H5925" t="str">
            <v>EN027     Prod&amp;OtherConsumable</v>
          </cell>
          <cell r="I5925" t="str">
            <v>L003 Ankleshwar</v>
          </cell>
          <cell r="J5925" t="str">
            <v>99 Input/Byprodt/Scrap</v>
          </cell>
          <cell r="K5925" t="str">
            <v>10.2012</v>
          </cell>
          <cell r="L5925">
            <v>1</v>
          </cell>
          <cell r="M5925" t="str">
            <v>EA</v>
          </cell>
          <cell r="N5925">
            <v>1045</v>
          </cell>
          <cell r="O5925" t="str">
            <v>INR</v>
          </cell>
        </row>
        <row r="5926">
          <cell r="A5926" t="str">
            <v>L003 Ankleshwar</v>
          </cell>
          <cell r="B5926">
            <v>703199</v>
          </cell>
          <cell r="C5926" t="str">
            <v>NOZZLE FOR SAFTY SHOWER</v>
          </cell>
          <cell r="D5926" t="str">
            <v>L0030151                       EnggStore</v>
          </cell>
          <cell r="E5926" t="str">
            <v>E01 E01</v>
          </cell>
          <cell r="F5926" t="str">
            <v>VB Manual reorder point planning</v>
          </cell>
          <cell r="G5926" t="str">
            <v>HIBE Operating supplies</v>
          </cell>
          <cell r="H5926" t="str">
            <v>EN010     Fire&amp;safety</v>
          </cell>
          <cell r="I5926" t="str">
            <v>L003 Ankleshwar</v>
          </cell>
          <cell r="J5926" t="str">
            <v>99 Input/Byprodt/Scrap</v>
          </cell>
          <cell r="K5926" t="str">
            <v>10.2012</v>
          </cell>
          <cell r="L5926">
            <v>6</v>
          </cell>
          <cell r="M5926" t="str">
            <v>EA</v>
          </cell>
          <cell r="N5926">
            <v>1282.5</v>
          </cell>
          <cell r="O5926" t="str">
            <v>INR</v>
          </cell>
        </row>
        <row r="5927">
          <cell r="A5927" t="str">
            <v>L003 Ankleshwar</v>
          </cell>
          <cell r="B5927">
            <v>703206</v>
          </cell>
          <cell r="C5927" t="str">
            <v>SPARK ARRESTOR (MUFFLER ) SIZE 1-1/2"</v>
          </cell>
          <cell r="D5927" t="str">
            <v>L0030151                       EnggStore</v>
          </cell>
          <cell r="E5927">
            <v>0</v>
          </cell>
          <cell r="F5927" t="str">
            <v>ND No planning</v>
          </cell>
          <cell r="G5927" t="str">
            <v>HIBE Operating supplies</v>
          </cell>
          <cell r="H5927" t="str">
            <v>EN010     Fire&amp;safety</v>
          </cell>
          <cell r="I5927" t="str">
            <v>L003 Ankleshwar</v>
          </cell>
          <cell r="J5927" t="str">
            <v>99 Input/Byprodt/Scrap</v>
          </cell>
          <cell r="K5927" t="str">
            <v>10.2012</v>
          </cell>
          <cell r="L5927">
            <v>6</v>
          </cell>
          <cell r="M5927" t="str">
            <v>EA</v>
          </cell>
          <cell r="N5927">
            <v>3000</v>
          </cell>
          <cell r="O5927" t="str">
            <v>INR</v>
          </cell>
        </row>
        <row r="5928">
          <cell r="A5928" t="str">
            <v>L003 Ankleshwar</v>
          </cell>
          <cell r="B5928">
            <v>703208</v>
          </cell>
          <cell r="C5928" t="str">
            <v>RUBBER BUSH F/DRY POWDER 5K FIRE EXTING.</v>
          </cell>
          <cell r="D5928" t="str">
            <v>L0030151                       EnggStore</v>
          </cell>
          <cell r="E5928">
            <v>0</v>
          </cell>
          <cell r="F5928" t="str">
            <v>ND No planning</v>
          </cell>
          <cell r="G5928" t="str">
            <v>HIBE Operating supplies</v>
          </cell>
          <cell r="H5928" t="str">
            <v>EN010     Fire&amp;safety</v>
          </cell>
          <cell r="I5928" t="str">
            <v>L003 Ankleshwar</v>
          </cell>
          <cell r="J5928" t="str">
            <v>99 Input/Byprodt/Scrap</v>
          </cell>
          <cell r="K5928" t="str">
            <v>10.2012</v>
          </cell>
          <cell r="L5928">
            <v>100</v>
          </cell>
          <cell r="M5928" t="str">
            <v>EA</v>
          </cell>
          <cell r="N5928">
            <v>1068.75</v>
          </cell>
          <cell r="O5928" t="str">
            <v>INR</v>
          </cell>
        </row>
        <row r="5929">
          <cell r="A5929" t="str">
            <v>L003 Ankleshwar</v>
          </cell>
          <cell r="B5929">
            <v>703211</v>
          </cell>
          <cell r="C5929" t="str">
            <v>HDPE TARPOLINE 10'X 9'</v>
          </cell>
          <cell r="D5929" t="str">
            <v>L0030151                       EnggStore</v>
          </cell>
          <cell r="E5929">
            <v>0</v>
          </cell>
          <cell r="F5929" t="str">
            <v>ND No planning</v>
          </cell>
          <cell r="G5929" t="str">
            <v>HIBE Operating supplies</v>
          </cell>
          <cell r="H5929" t="str">
            <v>EN027     Prod&amp;OtherConsumable</v>
          </cell>
          <cell r="I5929" t="str">
            <v>L003 Ankleshwar</v>
          </cell>
          <cell r="J5929" t="str">
            <v>99 Input/Byprodt/Scrap</v>
          </cell>
          <cell r="K5929" t="str">
            <v>10.2012</v>
          </cell>
          <cell r="L5929">
            <v>7</v>
          </cell>
          <cell r="M5929" t="str">
            <v>EA</v>
          </cell>
          <cell r="N5929">
            <v>1816.15</v>
          </cell>
          <cell r="O5929" t="str">
            <v>INR</v>
          </cell>
        </row>
        <row r="5930">
          <cell r="A5930" t="str">
            <v>L003 Ankleshwar</v>
          </cell>
          <cell r="B5930">
            <v>703212</v>
          </cell>
          <cell r="C5930" t="str">
            <v>HDPE TARPOLINE 8' X 40'</v>
          </cell>
          <cell r="D5930" t="str">
            <v>L0030151                       EnggStore</v>
          </cell>
          <cell r="E5930">
            <v>0</v>
          </cell>
          <cell r="F5930" t="str">
            <v>ND No planning</v>
          </cell>
          <cell r="G5930" t="str">
            <v>HIBE Operating supplies</v>
          </cell>
          <cell r="H5930" t="str">
            <v>EN027     Prod&amp;OtherConsumable</v>
          </cell>
          <cell r="I5930" t="str">
            <v>L003 Ankleshwar</v>
          </cell>
          <cell r="J5930" t="str">
            <v>99 Input/Byprodt/Scrap</v>
          </cell>
          <cell r="K5930" t="str">
            <v>10.2012</v>
          </cell>
          <cell r="L5930">
            <v>1</v>
          </cell>
          <cell r="M5930" t="str">
            <v>EA</v>
          </cell>
          <cell r="N5930">
            <v>880</v>
          </cell>
          <cell r="O5930" t="str">
            <v>INR</v>
          </cell>
        </row>
        <row r="5931">
          <cell r="A5931" t="str">
            <v>L003 Ankleshwar</v>
          </cell>
          <cell r="B5931">
            <v>703231</v>
          </cell>
          <cell r="C5931" t="str">
            <v>NYLON SAFETY BELT ROPE 5MTR LENGHT</v>
          </cell>
          <cell r="D5931" t="str">
            <v>L0030151                       EnggStore</v>
          </cell>
          <cell r="E5931" t="str">
            <v>E01 E01</v>
          </cell>
          <cell r="F5931" t="str">
            <v>VB Manual reorder point planning</v>
          </cell>
          <cell r="G5931" t="str">
            <v>HIBE Operating supplies</v>
          </cell>
          <cell r="H5931" t="str">
            <v>EN010     Fire&amp;safety</v>
          </cell>
          <cell r="I5931" t="str">
            <v>L003 Ankleshwar</v>
          </cell>
          <cell r="J5931" t="str">
            <v>99 Input/Byprodt/Scrap</v>
          </cell>
          <cell r="K5931" t="str">
            <v>10.2012</v>
          </cell>
          <cell r="L5931">
            <v>1</v>
          </cell>
          <cell r="M5931" t="str">
            <v>EA</v>
          </cell>
          <cell r="N5931">
            <v>810</v>
          </cell>
          <cell r="O5931" t="str">
            <v>INR</v>
          </cell>
        </row>
        <row r="5932">
          <cell r="A5932" t="str">
            <v>L003 Ankleshwar</v>
          </cell>
          <cell r="B5932">
            <v>703231</v>
          </cell>
          <cell r="C5932" t="str">
            <v>NYLON SAFETY BELT ROPE 5MTR LENGHT</v>
          </cell>
          <cell r="D5932" t="str">
            <v>L0030201                       Cons StoreKP</v>
          </cell>
          <cell r="E5932" t="str">
            <v>E01 E01</v>
          </cell>
          <cell r="F5932" t="str">
            <v>VB Manual reorder point planning</v>
          </cell>
          <cell r="G5932" t="str">
            <v>HIBE Operating supplies</v>
          </cell>
          <cell r="H5932" t="str">
            <v>EN010     Fire&amp;safety</v>
          </cell>
          <cell r="I5932" t="str">
            <v>L003 Ankleshwar</v>
          </cell>
          <cell r="J5932" t="str">
            <v>99 Input/Byprodt/Scrap</v>
          </cell>
          <cell r="K5932" t="str">
            <v>10.2012</v>
          </cell>
          <cell r="L5932">
            <v>7</v>
          </cell>
          <cell r="M5932" t="str">
            <v>EA</v>
          </cell>
          <cell r="N5932">
            <v>5670</v>
          </cell>
          <cell r="O5932" t="str">
            <v>INR</v>
          </cell>
        </row>
        <row r="5933">
          <cell r="A5933" t="str">
            <v>L003 Ankleshwar</v>
          </cell>
          <cell r="B5933">
            <v>703234</v>
          </cell>
          <cell r="C5933" t="str">
            <v>CAP WASHERS FOR DCP 5KG/10KG</v>
          </cell>
          <cell r="D5933" t="str">
            <v>L0030151                       EnggStore</v>
          </cell>
          <cell r="E5933" t="str">
            <v>E01 E01</v>
          </cell>
          <cell r="F5933" t="str">
            <v>VB Manual reorder point planning</v>
          </cell>
          <cell r="G5933" t="str">
            <v>HIBE Operating supplies</v>
          </cell>
          <cell r="H5933" t="str">
            <v>EN010     Fire&amp;safety</v>
          </cell>
          <cell r="I5933" t="str">
            <v>L003 Ankleshwar</v>
          </cell>
          <cell r="J5933" t="str">
            <v>99 Input/Byprodt/Scrap</v>
          </cell>
          <cell r="K5933" t="str">
            <v>10.2012</v>
          </cell>
          <cell r="L5933">
            <v>50</v>
          </cell>
          <cell r="M5933" t="str">
            <v>EA</v>
          </cell>
          <cell r="N5933">
            <v>400</v>
          </cell>
          <cell r="O5933" t="str">
            <v>INR</v>
          </cell>
        </row>
        <row r="5934">
          <cell r="A5934" t="str">
            <v>L003 Ankleshwar</v>
          </cell>
          <cell r="B5934">
            <v>703239</v>
          </cell>
          <cell r="C5934" t="str">
            <v>RUBBER WASHER F/SHRT GM BRNCH PIPE NOZZ.</v>
          </cell>
          <cell r="D5934" t="str">
            <v>L0030151                       EnggStore</v>
          </cell>
          <cell r="E5934" t="str">
            <v>E01 E01</v>
          </cell>
          <cell r="F5934" t="str">
            <v>VB Manual reorder point planning</v>
          </cell>
          <cell r="G5934" t="str">
            <v>HIBE Operating supplies</v>
          </cell>
          <cell r="H5934" t="str">
            <v>EN010     Fire&amp;safety</v>
          </cell>
          <cell r="I5934" t="str">
            <v>L003 Ankleshwar</v>
          </cell>
          <cell r="J5934" t="str">
            <v>99 Input/Byprodt/Scrap</v>
          </cell>
          <cell r="K5934" t="str">
            <v>10.2012</v>
          </cell>
          <cell r="L5934">
            <v>126</v>
          </cell>
          <cell r="M5934" t="str">
            <v>EA</v>
          </cell>
          <cell r="N5934">
            <v>1795.5</v>
          </cell>
          <cell r="O5934" t="str">
            <v>INR</v>
          </cell>
        </row>
        <row r="5935">
          <cell r="A5935" t="str">
            <v>L003 Ankleshwar</v>
          </cell>
          <cell r="B5935">
            <v>703253</v>
          </cell>
          <cell r="C5935" t="str">
            <v>PLASTIC BALL SIZE 1-1/2" (1KG OF 70 NOS)</v>
          </cell>
          <cell r="D5935" t="str">
            <v>L0030151                       EnggStore</v>
          </cell>
          <cell r="E5935">
            <v>0</v>
          </cell>
          <cell r="F5935" t="str">
            <v>ND No planning</v>
          </cell>
          <cell r="G5935" t="str">
            <v>HIBE Operating supplies</v>
          </cell>
          <cell r="H5935" t="str">
            <v>EN027     Prod&amp;OtherConsumable</v>
          </cell>
          <cell r="I5935" t="str">
            <v>L003 Ankleshwar</v>
          </cell>
          <cell r="J5935" t="str">
            <v>99 Input/Byprodt/Scrap</v>
          </cell>
          <cell r="K5935" t="str">
            <v>10.2012</v>
          </cell>
          <cell r="L5935">
            <v>2.5</v>
          </cell>
          <cell r="M5935" t="str">
            <v>KG</v>
          </cell>
          <cell r="N5935">
            <v>656.25</v>
          </cell>
          <cell r="O5935" t="str">
            <v>INR</v>
          </cell>
        </row>
        <row r="5936">
          <cell r="A5936" t="str">
            <v>L003 Ankleshwar</v>
          </cell>
          <cell r="B5936">
            <v>703254</v>
          </cell>
          <cell r="C5936" t="str">
            <v>HDPE TARPOLINE SIZE 15' X 12'</v>
          </cell>
          <cell r="D5936" t="str">
            <v>L0030151                       EnggStore</v>
          </cell>
          <cell r="E5936">
            <v>0</v>
          </cell>
          <cell r="F5936" t="str">
            <v>ND No planning</v>
          </cell>
          <cell r="G5936" t="str">
            <v>HIBE Operating supplies</v>
          </cell>
          <cell r="H5936" t="str">
            <v>EN027     Prod&amp;OtherConsumable</v>
          </cell>
          <cell r="I5936" t="str">
            <v>L003 Ankleshwar</v>
          </cell>
          <cell r="J5936" t="str">
            <v>99 Input/Byprodt/Scrap</v>
          </cell>
          <cell r="K5936" t="str">
            <v>10.2012</v>
          </cell>
          <cell r="L5936">
            <v>6</v>
          </cell>
          <cell r="M5936" t="str">
            <v>EA</v>
          </cell>
          <cell r="N5936">
            <v>2743.71</v>
          </cell>
          <cell r="O5936" t="str">
            <v>INR</v>
          </cell>
        </row>
        <row r="5937">
          <cell r="A5937" t="str">
            <v>L003 Ankleshwar</v>
          </cell>
          <cell r="B5937">
            <v>703264</v>
          </cell>
          <cell r="C5937" t="str">
            <v>GLASS SAMPLING TUBE OD 19XID13X1100MM L</v>
          </cell>
          <cell r="D5937" t="str">
            <v>L0030151                       EnggStore</v>
          </cell>
          <cell r="E5937" t="str">
            <v>E02 E02</v>
          </cell>
          <cell r="F5937" t="str">
            <v>ND No planning</v>
          </cell>
          <cell r="G5937" t="str">
            <v>HIBE Operating supplies</v>
          </cell>
          <cell r="H5937" t="str">
            <v>EN025     Glasswareitems</v>
          </cell>
          <cell r="I5937" t="str">
            <v>L003 Ankleshwar</v>
          </cell>
          <cell r="J5937" t="str">
            <v>99 Input/Byprodt/Scrap</v>
          </cell>
          <cell r="K5937" t="str">
            <v>10.2012</v>
          </cell>
          <cell r="L5937">
            <v>1</v>
          </cell>
          <cell r="M5937" t="str">
            <v>EA</v>
          </cell>
          <cell r="N5937">
            <v>300</v>
          </cell>
          <cell r="O5937" t="str">
            <v>INR</v>
          </cell>
        </row>
        <row r="5938">
          <cell r="A5938" t="str">
            <v>L003 Ankleshwar</v>
          </cell>
          <cell r="B5938">
            <v>703267</v>
          </cell>
          <cell r="C5938" t="str">
            <v>AFFF COMPOUND 3% CONCENTRATE ISI MAKE</v>
          </cell>
          <cell r="D5938" t="str">
            <v>L0030151                       EnggStore</v>
          </cell>
          <cell r="E5938" t="str">
            <v>E01 E01</v>
          </cell>
          <cell r="F5938" t="str">
            <v>VB Manual reorder point planning</v>
          </cell>
          <cell r="G5938" t="str">
            <v>HIBE Operating supplies</v>
          </cell>
          <cell r="H5938" t="str">
            <v>EN010     Fire&amp;safety</v>
          </cell>
          <cell r="I5938" t="str">
            <v>L003 Ankleshwar</v>
          </cell>
          <cell r="J5938" t="str">
            <v>99 Input/Byprodt/Scrap</v>
          </cell>
          <cell r="K5938" t="str">
            <v>10.2012</v>
          </cell>
          <cell r="L5938">
            <v>260</v>
          </cell>
          <cell r="M5938" t="str">
            <v>L</v>
          </cell>
          <cell r="N5938">
            <v>19266</v>
          </cell>
          <cell r="O5938" t="str">
            <v>INR</v>
          </cell>
        </row>
        <row r="5939">
          <cell r="A5939" t="str">
            <v>L003 Ankleshwar</v>
          </cell>
          <cell r="B5939">
            <v>703268</v>
          </cell>
          <cell r="C5939" t="str">
            <v>PH PAPER 2-10.5</v>
          </cell>
          <cell r="D5939" t="str">
            <v>L0030151                       EnggStore</v>
          </cell>
          <cell r="E5939" t="str">
            <v>E42 E42</v>
          </cell>
          <cell r="F5939" t="str">
            <v>VB Manual reorder point planning</v>
          </cell>
          <cell r="G5939" t="str">
            <v>HIBE Operating supplies</v>
          </cell>
          <cell r="H5939" t="str">
            <v>EN027     Prod&amp;OtherConsumable</v>
          </cell>
          <cell r="I5939" t="str">
            <v>L003 Ankleshwar</v>
          </cell>
          <cell r="J5939" t="str">
            <v>99 Input/Byprodt/Scrap</v>
          </cell>
          <cell r="K5939" t="str">
            <v>10.2012</v>
          </cell>
          <cell r="L5939">
            <v>185</v>
          </cell>
          <cell r="M5939" t="str">
            <v>PAC</v>
          </cell>
          <cell r="N5939">
            <v>18529.77</v>
          </cell>
          <cell r="O5939" t="str">
            <v>INR</v>
          </cell>
        </row>
        <row r="5940">
          <cell r="A5940" t="str">
            <v>L003 Ankleshwar</v>
          </cell>
          <cell r="B5940">
            <v>703268</v>
          </cell>
          <cell r="C5940" t="str">
            <v>PH PAPER 2-10.5</v>
          </cell>
          <cell r="D5940" t="str">
            <v>L0030201                       Cons StoreKP</v>
          </cell>
          <cell r="E5940" t="str">
            <v>E42 E42</v>
          </cell>
          <cell r="F5940" t="str">
            <v>VB Manual reorder point planning</v>
          </cell>
          <cell r="G5940" t="str">
            <v>HIBE Operating supplies</v>
          </cell>
          <cell r="H5940" t="str">
            <v>EN027     Prod&amp;OtherConsumable</v>
          </cell>
          <cell r="I5940" t="str">
            <v>L003 Ankleshwar</v>
          </cell>
          <cell r="J5940" t="str">
            <v>99 Input/Byprodt/Scrap</v>
          </cell>
          <cell r="K5940" t="str">
            <v>10.2012</v>
          </cell>
          <cell r="L5940">
            <v>39</v>
          </cell>
          <cell r="M5940" t="str">
            <v>PAC</v>
          </cell>
          <cell r="N5940">
            <v>3906.28</v>
          </cell>
          <cell r="O5940" t="str">
            <v>INR</v>
          </cell>
        </row>
        <row r="5941">
          <cell r="A5941" t="str">
            <v>L003 Ankleshwar</v>
          </cell>
          <cell r="B5941">
            <v>703273</v>
          </cell>
          <cell r="C5941" t="str">
            <v>SODIUM META BI SULPHITE</v>
          </cell>
          <cell r="D5941" t="str">
            <v>L0030201                       Cons StoreKP</v>
          </cell>
          <cell r="E5941" t="str">
            <v>E01 E01</v>
          </cell>
          <cell r="F5941" t="str">
            <v>VB Manual reorder point planning</v>
          </cell>
          <cell r="G5941" t="str">
            <v>HIBE Operating supplies</v>
          </cell>
          <cell r="H5941" t="str">
            <v>EN027     Prod&amp;OtherConsumable</v>
          </cell>
          <cell r="I5941" t="str">
            <v>L003 Ankleshwar</v>
          </cell>
          <cell r="J5941" t="str">
            <v>99 Input/Byprodt/Scrap</v>
          </cell>
          <cell r="K5941" t="str">
            <v>10.2012</v>
          </cell>
          <cell r="L5941">
            <v>580</v>
          </cell>
          <cell r="M5941" t="str">
            <v>KG</v>
          </cell>
          <cell r="N5941">
            <v>23925</v>
          </cell>
          <cell r="O5941" t="str">
            <v>INR</v>
          </cell>
        </row>
        <row r="5942">
          <cell r="A5942" t="str">
            <v>L003 Ankleshwar</v>
          </cell>
          <cell r="B5942">
            <v>703274</v>
          </cell>
          <cell r="C5942" t="str">
            <v>NYLONE WIRE MESH DOUBLE NET 80MESH</v>
          </cell>
          <cell r="D5942" t="str">
            <v>L0030151                       EnggStore</v>
          </cell>
          <cell r="E5942" t="str">
            <v>E01 E01</v>
          </cell>
          <cell r="F5942" t="str">
            <v>VB Manual reorder point planning</v>
          </cell>
          <cell r="G5942" t="str">
            <v>HIBE Operating supplies</v>
          </cell>
          <cell r="H5942" t="str">
            <v>EN027     Prod&amp;OtherConsumable</v>
          </cell>
          <cell r="I5942" t="str">
            <v>L003 Ankleshwar</v>
          </cell>
          <cell r="J5942" t="str">
            <v>99 Input/Byprodt/Scrap</v>
          </cell>
          <cell r="K5942" t="str">
            <v>10.2012</v>
          </cell>
          <cell r="L5942">
            <v>3</v>
          </cell>
          <cell r="M5942" t="str">
            <v>M</v>
          </cell>
          <cell r="N5942">
            <v>360</v>
          </cell>
          <cell r="O5942" t="str">
            <v>INR</v>
          </cell>
        </row>
        <row r="5943">
          <cell r="A5943" t="str">
            <v>L003 Ankleshwar</v>
          </cell>
          <cell r="B5943">
            <v>703275</v>
          </cell>
          <cell r="C5943" t="str">
            <v>WHITE CLOUD FILTER PAD WCFP-201[60X62CM]</v>
          </cell>
          <cell r="D5943" t="str">
            <v>L0030151                       EnggStore</v>
          </cell>
          <cell r="E5943" t="str">
            <v>E42 E42</v>
          </cell>
          <cell r="F5943" t="str">
            <v>VB Manual reorder point planning</v>
          </cell>
          <cell r="G5943" t="str">
            <v>HIBE Operating supplies</v>
          </cell>
          <cell r="H5943" t="str">
            <v>EN027     Prod&amp;OtherConsumable</v>
          </cell>
          <cell r="I5943" t="str">
            <v>L003 Ankleshwar</v>
          </cell>
          <cell r="J5943" t="str">
            <v>99 Input/Byprodt/Scrap</v>
          </cell>
          <cell r="K5943" t="str">
            <v>10.2012</v>
          </cell>
          <cell r="L5943">
            <v>8</v>
          </cell>
          <cell r="M5943" t="str">
            <v>EA</v>
          </cell>
          <cell r="N5943">
            <v>316.75999999999902</v>
          </cell>
          <cell r="O5943" t="str">
            <v>INR</v>
          </cell>
        </row>
        <row r="5944">
          <cell r="A5944" t="str">
            <v>L003 Ankleshwar</v>
          </cell>
          <cell r="B5944">
            <v>703275</v>
          </cell>
          <cell r="C5944" t="str">
            <v>WHITE CLOUD FILTER PAD WCFP-201[60X62CM]</v>
          </cell>
          <cell r="D5944" t="str">
            <v>L0030201                       Cons StoreKP</v>
          </cell>
          <cell r="E5944" t="str">
            <v>E42 E42</v>
          </cell>
          <cell r="F5944" t="str">
            <v>VB Manual reorder point planning</v>
          </cell>
          <cell r="G5944" t="str">
            <v>HIBE Operating supplies</v>
          </cell>
          <cell r="H5944" t="str">
            <v>EN027     Prod&amp;OtherConsumable</v>
          </cell>
          <cell r="I5944" t="str">
            <v>L003 Ankleshwar</v>
          </cell>
          <cell r="J5944" t="str">
            <v>99 Input/Byprodt/Scrap</v>
          </cell>
          <cell r="K5944" t="str">
            <v>10.2012</v>
          </cell>
          <cell r="L5944">
            <v>104</v>
          </cell>
          <cell r="M5944" t="str">
            <v>EA</v>
          </cell>
          <cell r="N5944">
            <v>4117.93</v>
          </cell>
          <cell r="O5944" t="str">
            <v>INR</v>
          </cell>
        </row>
        <row r="5945">
          <cell r="A5945" t="str">
            <v>L003 Ankleshwar</v>
          </cell>
          <cell r="B5945">
            <v>703276</v>
          </cell>
          <cell r="C5945" t="str">
            <v>NETLON INSECT SCREEN 15MM SQ.MESH 1X10M</v>
          </cell>
          <cell r="D5945" t="str">
            <v>L0030151                       EnggStore</v>
          </cell>
          <cell r="E5945" t="str">
            <v>E42 E42</v>
          </cell>
          <cell r="F5945" t="str">
            <v>VB Manual reorder point planning</v>
          </cell>
          <cell r="G5945" t="str">
            <v>HIBE Operating supplies</v>
          </cell>
          <cell r="H5945" t="str">
            <v>EN024     EnggConsumables</v>
          </cell>
          <cell r="I5945" t="str">
            <v>L003 Ankleshwar</v>
          </cell>
          <cell r="J5945" t="str">
            <v>99 Input/Byprodt/Scrap</v>
          </cell>
          <cell r="K5945" t="str">
            <v>10.2012</v>
          </cell>
          <cell r="L5945">
            <v>75</v>
          </cell>
          <cell r="M5945" t="str">
            <v>M2</v>
          </cell>
          <cell r="N5945">
            <v>4571.25</v>
          </cell>
          <cell r="O5945" t="str">
            <v>INR</v>
          </cell>
        </row>
        <row r="5946">
          <cell r="A5946" t="str">
            <v>L003 Ankleshwar</v>
          </cell>
          <cell r="B5946">
            <v>703277</v>
          </cell>
          <cell r="C5946" t="str">
            <v>CALCIUM CHLORIDE ANHDRS FINE</v>
          </cell>
          <cell r="D5946" t="str">
            <v>L0030151                       EnggStore</v>
          </cell>
          <cell r="E5946" t="str">
            <v>E01 E01</v>
          </cell>
          <cell r="F5946" t="str">
            <v>VB Manual reorder point planning</v>
          </cell>
          <cell r="G5946" t="str">
            <v>HIBE Operating supplies</v>
          </cell>
          <cell r="H5946" t="str">
            <v>EN027     Prod&amp;OtherConsumable</v>
          </cell>
          <cell r="I5946" t="str">
            <v>L003 Ankleshwar</v>
          </cell>
          <cell r="J5946" t="str">
            <v>99 Input/Byprodt/Scrap</v>
          </cell>
          <cell r="K5946" t="str">
            <v>10.2012</v>
          </cell>
          <cell r="L5946">
            <v>100</v>
          </cell>
          <cell r="M5946" t="str">
            <v>KG</v>
          </cell>
          <cell r="N5946">
            <v>1300</v>
          </cell>
          <cell r="O5946" t="str">
            <v>INR</v>
          </cell>
        </row>
        <row r="5947">
          <cell r="A5947" t="str">
            <v>L003 Ankleshwar</v>
          </cell>
          <cell r="B5947">
            <v>703277</v>
          </cell>
          <cell r="C5947" t="str">
            <v>CALCIUM CHLORIDE ANHDRS FINE</v>
          </cell>
          <cell r="D5947" t="str">
            <v>L0030201                       Cons StoreKP</v>
          </cell>
          <cell r="E5947" t="str">
            <v>E01 E01</v>
          </cell>
          <cell r="F5947" t="str">
            <v>VB Manual reorder point planning</v>
          </cell>
          <cell r="G5947" t="str">
            <v>HIBE Operating supplies</v>
          </cell>
          <cell r="H5947" t="str">
            <v>EN027     Prod&amp;OtherConsumable</v>
          </cell>
          <cell r="I5947" t="str">
            <v>L003 Ankleshwar</v>
          </cell>
          <cell r="J5947" t="str">
            <v>99 Input/Byprodt/Scrap</v>
          </cell>
          <cell r="K5947" t="str">
            <v>10.2012</v>
          </cell>
          <cell r="L5947">
            <v>1000</v>
          </cell>
          <cell r="M5947" t="str">
            <v>KG</v>
          </cell>
          <cell r="N5947">
            <v>13000</v>
          </cell>
          <cell r="O5947" t="str">
            <v>INR</v>
          </cell>
        </row>
        <row r="5948">
          <cell r="A5948" t="str">
            <v>L003 Ankleshwar</v>
          </cell>
          <cell r="B5948">
            <v>703286</v>
          </cell>
          <cell r="C5948" t="str">
            <v>PP-D1100 FILTER PAD 19$ F/7ADCA</v>
          </cell>
          <cell r="D5948" t="str">
            <v>L0030151                       EnggStore</v>
          </cell>
          <cell r="E5948" t="str">
            <v>E42 E42</v>
          </cell>
          <cell r="F5948" t="str">
            <v>VB Manual reorder point planning</v>
          </cell>
          <cell r="G5948" t="str">
            <v>HIBE Operating supplies</v>
          </cell>
          <cell r="H5948" t="str">
            <v>EN001     Filters Spares</v>
          </cell>
          <cell r="I5948" t="str">
            <v>L003 Ankleshwar</v>
          </cell>
          <cell r="J5948" t="str">
            <v>99 Input/Byprodt/Scrap</v>
          </cell>
          <cell r="K5948" t="str">
            <v>10.2012</v>
          </cell>
          <cell r="L5948">
            <v>38</v>
          </cell>
          <cell r="M5948" t="str">
            <v>EA</v>
          </cell>
          <cell r="N5948">
            <v>1921.54</v>
          </cell>
          <cell r="O5948" t="str">
            <v>INR</v>
          </cell>
        </row>
        <row r="5949">
          <cell r="A5949" t="str">
            <v>L003 Ankleshwar</v>
          </cell>
          <cell r="B5949">
            <v>703286</v>
          </cell>
          <cell r="C5949" t="str">
            <v>PP-D1100 FILTER PAD 19$ F/7ADCA</v>
          </cell>
          <cell r="D5949" t="str">
            <v>L0030201                       Cons StoreKP</v>
          </cell>
          <cell r="E5949" t="str">
            <v>E42 E42</v>
          </cell>
          <cell r="F5949" t="str">
            <v>VB Manual reorder point planning</v>
          </cell>
          <cell r="G5949" t="str">
            <v>HIBE Operating supplies</v>
          </cell>
          <cell r="H5949" t="str">
            <v>EN001     Filters Spares</v>
          </cell>
          <cell r="I5949" t="str">
            <v>L003 Ankleshwar</v>
          </cell>
          <cell r="J5949" t="str">
            <v>99 Input/Byprodt/Scrap</v>
          </cell>
          <cell r="K5949" t="str">
            <v>10.2012</v>
          </cell>
          <cell r="L5949">
            <v>62</v>
          </cell>
          <cell r="M5949" t="str">
            <v>EA</v>
          </cell>
          <cell r="N5949">
            <v>3135.1399999999899</v>
          </cell>
          <cell r="O5949" t="str">
            <v>INR</v>
          </cell>
        </row>
        <row r="5950">
          <cell r="A5950" t="str">
            <v>L003 Ankleshwar</v>
          </cell>
          <cell r="B5950">
            <v>703287</v>
          </cell>
          <cell r="C5950" t="str">
            <v>SS304 HOSE CLAMP 1-1/2$</v>
          </cell>
          <cell r="D5950" t="str">
            <v>L0030151                       EnggStore</v>
          </cell>
          <cell r="E5950" t="str">
            <v>E01 E01</v>
          </cell>
          <cell r="F5950" t="str">
            <v>VB Manual reorder point planning</v>
          </cell>
          <cell r="G5950" t="str">
            <v>HIBE Operating supplies</v>
          </cell>
          <cell r="H5950" t="str">
            <v>EN027     Prod&amp;OtherConsumable</v>
          </cell>
          <cell r="I5950" t="str">
            <v>L003 Ankleshwar</v>
          </cell>
          <cell r="J5950" t="str">
            <v>99 Input/Byprodt/Scrap</v>
          </cell>
          <cell r="K5950" t="str">
            <v>10.2012</v>
          </cell>
          <cell r="L5950">
            <v>543</v>
          </cell>
          <cell r="M5950" t="str">
            <v>EA</v>
          </cell>
          <cell r="N5950">
            <v>28297.9399999999</v>
          </cell>
          <cell r="O5950" t="str">
            <v>INR</v>
          </cell>
        </row>
        <row r="5951">
          <cell r="A5951" t="str">
            <v>L003 Ankleshwar</v>
          </cell>
          <cell r="B5951">
            <v>703288</v>
          </cell>
          <cell r="C5951" t="str">
            <v>HIGH SPEED DIESEL</v>
          </cell>
          <cell r="D5951" t="str">
            <v>L0030151                       EnggStore</v>
          </cell>
          <cell r="E5951" t="str">
            <v>E02 E02</v>
          </cell>
          <cell r="F5951" t="str">
            <v>ND No planning</v>
          </cell>
          <cell r="G5951" t="str">
            <v>HIBE Operating supplies</v>
          </cell>
          <cell r="H5951" t="str">
            <v>EN012     Fuels</v>
          </cell>
          <cell r="I5951" t="str">
            <v>L003 Ankleshwar</v>
          </cell>
          <cell r="J5951" t="str">
            <v>99 Input/Byprodt/Scrap</v>
          </cell>
          <cell r="K5951" t="str">
            <v>10.2012</v>
          </cell>
          <cell r="L5951">
            <v>18591</v>
          </cell>
          <cell r="M5951" t="str">
            <v>L</v>
          </cell>
          <cell r="N5951">
            <v>885108.5</v>
          </cell>
          <cell r="O5951" t="str">
            <v>INR</v>
          </cell>
        </row>
        <row r="5952">
          <cell r="A5952" t="str">
            <v>L003 Ankleshwar</v>
          </cell>
          <cell r="B5952">
            <v>703300</v>
          </cell>
          <cell r="C5952" t="str">
            <v>OIL CASTROL GBF BRAKE FOR FORK LIFT</v>
          </cell>
          <cell r="D5952" t="str">
            <v>L0030151                       EnggStore</v>
          </cell>
          <cell r="E5952" t="str">
            <v>E02 E02</v>
          </cell>
          <cell r="F5952" t="str">
            <v>ND No planning</v>
          </cell>
          <cell r="G5952" t="str">
            <v>HIBE Operating supplies</v>
          </cell>
          <cell r="H5952" t="str">
            <v>EN011     UtlChem/Lub/Fuel/Gas</v>
          </cell>
          <cell r="I5952" t="str">
            <v>L003 Ankleshwar</v>
          </cell>
          <cell r="J5952" t="str">
            <v>99 Input/Byprodt/Scrap</v>
          </cell>
          <cell r="K5952" t="str">
            <v>10.2012</v>
          </cell>
          <cell r="L5952">
            <v>1</v>
          </cell>
          <cell r="M5952" t="str">
            <v>L</v>
          </cell>
          <cell r="N5952">
            <v>230</v>
          </cell>
          <cell r="O5952" t="str">
            <v>INR</v>
          </cell>
        </row>
        <row r="5953">
          <cell r="A5953" t="str">
            <v>L003 Ankleshwar</v>
          </cell>
          <cell r="B5953">
            <v>703301</v>
          </cell>
          <cell r="C5953" t="str">
            <v>V-SEAL 18X26X 4/7 FOR FORK LIFT</v>
          </cell>
          <cell r="D5953" t="str">
            <v>L0030151                       EnggStore</v>
          </cell>
          <cell r="E5953" t="str">
            <v>E42 E42</v>
          </cell>
          <cell r="F5953" t="str">
            <v>VB Manual reorder point planning</v>
          </cell>
          <cell r="G5953" t="str">
            <v>HIBE Operating supplies</v>
          </cell>
          <cell r="H5953" t="str">
            <v>EN015     MaterialHandlingspar</v>
          </cell>
          <cell r="I5953" t="str">
            <v>L003 Ankleshwar</v>
          </cell>
          <cell r="J5953" t="str">
            <v>99 Input/Byprodt/Scrap</v>
          </cell>
          <cell r="K5953" t="str">
            <v>10.2012</v>
          </cell>
          <cell r="L5953">
            <v>4</v>
          </cell>
          <cell r="M5953" t="str">
            <v>EA</v>
          </cell>
          <cell r="N5953">
            <v>0</v>
          </cell>
          <cell r="O5953" t="str">
            <v>INR</v>
          </cell>
        </row>
        <row r="5954">
          <cell r="A5954" t="str">
            <v>L003 Ankleshwar</v>
          </cell>
          <cell r="B5954">
            <v>703320</v>
          </cell>
          <cell r="C5954" t="str">
            <v>BENZOIL SEPTOL</v>
          </cell>
          <cell r="D5954" t="str">
            <v>L0030201                       Cons StoreKP</v>
          </cell>
          <cell r="E5954" t="str">
            <v>E42 E42</v>
          </cell>
          <cell r="F5954" t="str">
            <v>VB Manual reorder point planning</v>
          </cell>
          <cell r="G5954" t="str">
            <v>HIBE Operating supplies</v>
          </cell>
          <cell r="H5954" t="str">
            <v>EN027     Prod&amp;OtherConsumable</v>
          </cell>
          <cell r="I5954" t="str">
            <v>L003 Ankleshwar</v>
          </cell>
          <cell r="J5954" t="str">
            <v>99 Input/Byprodt/Scrap</v>
          </cell>
          <cell r="K5954" t="str">
            <v>10.2012</v>
          </cell>
          <cell r="L5954">
            <v>1</v>
          </cell>
          <cell r="M5954" t="str">
            <v>L</v>
          </cell>
          <cell r="N5954">
            <v>50.719999999999899</v>
          </cell>
          <cell r="O5954" t="str">
            <v>INR</v>
          </cell>
        </row>
        <row r="5955">
          <cell r="A5955" t="str">
            <v>L003 Ankleshwar</v>
          </cell>
          <cell r="B5955">
            <v>703327</v>
          </cell>
          <cell r="C5955" t="str">
            <v>DETTOL</v>
          </cell>
          <cell r="D5955" t="str">
            <v>L0030201                       Cons StoreKP</v>
          </cell>
          <cell r="E5955" t="str">
            <v>E42 E42</v>
          </cell>
          <cell r="F5955" t="str">
            <v>VB Manual reorder point planning</v>
          </cell>
          <cell r="G5955" t="str">
            <v>HIBE Operating supplies</v>
          </cell>
          <cell r="H5955" t="str">
            <v>EN027     Prod&amp;OtherConsumable</v>
          </cell>
          <cell r="I5955" t="str">
            <v>L003 Ankleshwar</v>
          </cell>
          <cell r="J5955" t="str">
            <v>99 Input/Byprodt/Scrap</v>
          </cell>
          <cell r="K5955" t="str">
            <v>10.2012</v>
          </cell>
          <cell r="L5955">
            <v>5</v>
          </cell>
          <cell r="M5955" t="str">
            <v>L</v>
          </cell>
          <cell r="N5955">
            <v>685.64999999999895</v>
          </cell>
          <cell r="O5955" t="str">
            <v>INR</v>
          </cell>
        </row>
        <row r="5956">
          <cell r="A5956" t="str">
            <v>L003 Ankleshwar</v>
          </cell>
          <cell r="B5956">
            <v>703345</v>
          </cell>
          <cell r="C5956" t="str">
            <v>TEEPOL</v>
          </cell>
          <cell r="D5956" t="str">
            <v>L0030151                       EnggStore</v>
          </cell>
          <cell r="E5956" t="str">
            <v>E01 E01</v>
          </cell>
          <cell r="F5956" t="str">
            <v>ND No planning</v>
          </cell>
          <cell r="G5956" t="str">
            <v>HIBE Operating supplies</v>
          </cell>
          <cell r="H5956" t="str">
            <v>EN027     Prod&amp;OtherConsumable</v>
          </cell>
          <cell r="I5956" t="str">
            <v>L003 Ankleshwar</v>
          </cell>
          <cell r="J5956" t="str">
            <v>99 Input/Byprodt/Scrap</v>
          </cell>
          <cell r="K5956" t="str">
            <v>10.2012</v>
          </cell>
          <cell r="L5956">
            <v>20</v>
          </cell>
          <cell r="M5956" t="str">
            <v>KG</v>
          </cell>
          <cell r="N5956">
            <v>2119.7600000000002</v>
          </cell>
          <cell r="O5956" t="str">
            <v>INR</v>
          </cell>
        </row>
        <row r="5957">
          <cell r="A5957" t="str">
            <v>L003 Ankleshwar</v>
          </cell>
          <cell r="B5957">
            <v>703510</v>
          </cell>
          <cell r="C5957" t="str">
            <v>SK-804 SPARKLER FILTER PAD SIZE 14</v>
          </cell>
          <cell r="D5957" t="str">
            <v>L0030201                       Cons StoreKP</v>
          </cell>
          <cell r="E5957" t="str">
            <v>E01 E01</v>
          </cell>
          <cell r="F5957" t="str">
            <v>VB Manual reorder point planning</v>
          </cell>
          <cell r="G5957" t="str">
            <v>HIBE Operating supplies</v>
          </cell>
          <cell r="H5957" t="str">
            <v>EN001     Filters Spares</v>
          </cell>
          <cell r="I5957" t="str">
            <v>L003 Ankleshwar</v>
          </cell>
          <cell r="J5957" t="str">
            <v>99 Input/Byprodt/Scrap</v>
          </cell>
          <cell r="K5957" t="str">
            <v>10.2012</v>
          </cell>
          <cell r="L5957">
            <v>196</v>
          </cell>
          <cell r="M5957" t="str">
            <v>EA</v>
          </cell>
          <cell r="N5957">
            <v>6683.6</v>
          </cell>
          <cell r="O5957" t="str">
            <v>INR</v>
          </cell>
        </row>
        <row r="5958">
          <cell r="A5958" t="str">
            <v>L003 Ankleshwar</v>
          </cell>
          <cell r="B5958">
            <v>703511</v>
          </cell>
          <cell r="C5958" t="str">
            <v>SK-804 SPARKLER FILTER PAD SIZE 18</v>
          </cell>
          <cell r="D5958" t="str">
            <v>L0030201                       Cons StoreKP</v>
          </cell>
          <cell r="E5958" t="str">
            <v>E01 E01</v>
          </cell>
          <cell r="F5958" t="str">
            <v>VB Manual reorder point planning</v>
          </cell>
          <cell r="G5958" t="str">
            <v>HIBE Operating supplies</v>
          </cell>
          <cell r="H5958" t="str">
            <v>EN001     Filters Spares</v>
          </cell>
          <cell r="I5958" t="str">
            <v>L003 Ankleshwar</v>
          </cell>
          <cell r="J5958" t="str">
            <v>99 Input/Byprodt/Scrap</v>
          </cell>
          <cell r="K5958" t="str">
            <v>10.2012</v>
          </cell>
          <cell r="L5958">
            <v>88</v>
          </cell>
          <cell r="M5958" t="str">
            <v>EA</v>
          </cell>
          <cell r="N5958">
            <v>3872</v>
          </cell>
          <cell r="O5958" t="str">
            <v>INR</v>
          </cell>
        </row>
        <row r="5959">
          <cell r="A5959" t="str">
            <v>L003 Ankleshwar</v>
          </cell>
          <cell r="B5959">
            <v>703516</v>
          </cell>
          <cell r="C5959" t="str">
            <v>OIL HERMONY-100 GULF MAKE ( REF.54041055</v>
          </cell>
          <cell r="D5959" t="str">
            <v>L0030151                       EnggStore</v>
          </cell>
          <cell r="E5959" t="str">
            <v>E01 E01</v>
          </cell>
          <cell r="F5959" t="str">
            <v>VB Manual reorder point planning</v>
          </cell>
          <cell r="G5959" t="str">
            <v>HIBE Operating supplies</v>
          </cell>
          <cell r="H5959" t="str">
            <v>EN011     UtlChem/Lub/Fuel/Gas</v>
          </cell>
          <cell r="I5959" t="str">
            <v>L003 Ankleshwar</v>
          </cell>
          <cell r="J5959" t="str">
            <v>99 Input/Byprodt/Scrap</v>
          </cell>
          <cell r="K5959" t="str">
            <v>10.2012</v>
          </cell>
          <cell r="L5959">
            <v>15</v>
          </cell>
          <cell r="M5959" t="str">
            <v>L</v>
          </cell>
          <cell r="N5959">
            <v>1284.75</v>
          </cell>
          <cell r="O5959" t="str">
            <v>INR</v>
          </cell>
        </row>
        <row r="5960">
          <cell r="A5960" t="str">
            <v>L003 Ankleshwar</v>
          </cell>
          <cell r="B5960">
            <v>703519</v>
          </cell>
          <cell r="C5960" t="str">
            <v>PLASTIC SHEET 21X36X400G SINGLE FOLD F</v>
          </cell>
          <cell r="D5960" t="str">
            <v>L0030151                       EnggStore</v>
          </cell>
          <cell r="E5960" t="str">
            <v>E01 E01</v>
          </cell>
          <cell r="F5960" t="str">
            <v>ND No planning</v>
          </cell>
          <cell r="G5960" t="str">
            <v>HIBE Operating supplies</v>
          </cell>
          <cell r="H5960" t="str">
            <v>EN027     Prod&amp;OtherConsumable</v>
          </cell>
          <cell r="I5960" t="str">
            <v>L003 Ankleshwar</v>
          </cell>
          <cell r="J5960" t="str">
            <v>99 Input/Byprodt/Scrap</v>
          </cell>
          <cell r="K5960" t="str">
            <v>10.2012</v>
          </cell>
          <cell r="L5960">
            <v>159</v>
          </cell>
          <cell r="M5960" t="str">
            <v>KG</v>
          </cell>
          <cell r="N5960">
            <v>15598.77</v>
          </cell>
          <cell r="O5960" t="str">
            <v>INR</v>
          </cell>
        </row>
        <row r="5961">
          <cell r="A5961" t="str">
            <v>L003 Ankleshwar</v>
          </cell>
          <cell r="B5961">
            <v>703519</v>
          </cell>
          <cell r="C5961" t="str">
            <v>PLASTIC SHEET 21X36X400G SINGLE FOLD F</v>
          </cell>
          <cell r="D5961" t="str">
            <v>L0030201                       Cons StoreKP</v>
          </cell>
          <cell r="E5961" t="str">
            <v>E01 E01</v>
          </cell>
          <cell r="F5961" t="str">
            <v>ND No planning</v>
          </cell>
          <cell r="G5961" t="str">
            <v>HIBE Operating supplies</v>
          </cell>
          <cell r="H5961" t="str">
            <v>EN027     Prod&amp;OtherConsumable</v>
          </cell>
          <cell r="I5961" t="str">
            <v>L003 Ankleshwar</v>
          </cell>
          <cell r="J5961" t="str">
            <v>99 Input/Byprodt/Scrap</v>
          </cell>
          <cell r="K5961" t="str">
            <v>10.2012</v>
          </cell>
          <cell r="L5961">
            <v>10</v>
          </cell>
          <cell r="M5961" t="str">
            <v>KG</v>
          </cell>
          <cell r="N5961">
            <v>981.05999999999904</v>
          </cell>
          <cell r="O5961" t="str">
            <v>INR</v>
          </cell>
        </row>
        <row r="5962">
          <cell r="A5962" t="str">
            <v>L003 Ankleshwar</v>
          </cell>
          <cell r="B5962">
            <v>703555</v>
          </cell>
          <cell r="C5962" t="str">
            <v>CARBOY,PVC,WHITE,CAP. 5LTR</v>
          </cell>
          <cell r="D5962" t="str">
            <v>L0030151                       EnggStore</v>
          </cell>
          <cell r="E5962" t="str">
            <v>E42 E42</v>
          </cell>
          <cell r="F5962" t="str">
            <v>VB Manual reorder point planning</v>
          </cell>
          <cell r="G5962" t="str">
            <v>HIBE Operating supplies</v>
          </cell>
          <cell r="H5962" t="str">
            <v>EN027     Prod&amp;OtherConsumable</v>
          </cell>
          <cell r="I5962" t="str">
            <v>L003 Ankleshwar</v>
          </cell>
          <cell r="J5962" t="str">
            <v>99 Input/Byprodt/Scrap</v>
          </cell>
          <cell r="K5962" t="str">
            <v>10.2012</v>
          </cell>
          <cell r="L5962">
            <v>8</v>
          </cell>
          <cell r="M5962" t="str">
            <v>EA</v>
          </cell>
          <cell r="N5962">
            <v>440</v>
          </cell>
          <cell r="O5962" t="str">
            <v>INR</v>
          </cell>
        </row>
        <row r="5963">
          <cell r="A5963" t="str">
            <v>L003 Ankleshwar</v>
          </cell>
          <cell r="B5963">
            <v>703555</v>
          </cell>
          <cell r="C5963" t="str">
            <v>CARBOY,PVC,WHITE,CAP. 5LTR</v>
          </cell>
          <cell r="D5963" t="str">
            <v>L0030201                       Cons StoreKP</v>
          </cell>
          <cell r="E5963" t="str">
            <v>E42 E42</v>
          </cell>
          <cell r="F5963" t="str">
            <v>VB Manual reorder point planning</v>
          </cell>
          <cell r="G5963" t="str">
            <v>HIBE Operating supplies</v>
          </cell>
          <cell r="H5963" t="str">
            <v>EN027     Prod&amp;OtherConsumable</v>
          </cell>
          <cell r="I5963" t="str">
            <v>L003 Ankleshwar</v>
          </cell>
          <cell r="J5963" t="str">
            <v>99 Input/Byprodt/Scrap</v>
          </cell>
          <cell r="K5963" t="str">
            <v>10.2012</v>
          </cell>
          <cell r="L5963">
            <v>27</v>
          </cell>
          <cell r="M5963" t="str">
            <v>EA</v>
          </cell>
          <cell r="N5963">
            <v>1485</v>
          </cell>
          <cell r="O5963" t="str">
            <v>INR</v>
          </cell>
        </row>
        <row r="5964">
          <cell r="A5964" t="str">
            <v>L003 Ankleshwar</v>
          </cell>
          <cell r="B5964">
            <v>703568</v>
          </cell>
          <cell r="C5964" t="str">
            <v>OFFICE FILE SPRING</v>
          </cell>
          <cell r="D5964" t="str">
            <v>L0030151                       EnggStore</v>
          </cell>
          <cell r="E5964" t="str">
            <v>E42 E42</v>
          </cell>
          <cell r="F5964" t="str">
            <v>VB Manual reorder point planning</v>
          </cell>
          <cell r="G5964" t="str">
            <v>HIBE Operating supplies</v>
          </cell>
          <cell r="H5964" t="str">
            <v>EN040     Prinitng &amp;Stationery</v>
          </cell>
          <cell r="I5964" t="str">
            <v>L003 Ankleshwar</v>
          </cell>
          <cell r="J5964" t="str">
            <v>99 Input/Byprodt/Scrap</v>
          </cell>
          <cell r="K5964" t="str">
            <v>10.2012</v>
          </cell>
          <cell r="L5964">
            <v>95</v>
          </cell>
          <cell r="M5964" t="str">
            <v>EA</v>
          </cell>
          <cell r="N5964">
            <v>748.12</v>
          </cell>
          <cell r="O5964" t="str">
            <v>INR</v>
          </cell>
        </row>
        <row r="5965">
          <cell r="A5965" t="str">
            <v>L003 Ankleshwar</v>
          </cell>
          <cell r="B5965">
            <v>703568</v>
          </cell>
          <cell r="C5965" t="str">
            <v>OFFICE FILE SPRING</v>
          </cell>
          <cell r="D5965" t="str">
            <v>L0030201                       Cons StoreKP</v>
          </cell>
          <cell r="E5965" t="str">
            <v>E42 E42</v>
          </cell>
          <cell r="F5965" t="str">
            <v>VB Manual reorder point planning</v>
          </cell>
          <cell r="G5965" t="str">
            <v>HIBE Operating supplies</v>
          </cell>
          <cell r="H5965" t="str">
            <v>EN040     Prinitng &amp;Stationery</v>
          </cell>
          <cell r="I5965" t="str">
            <v>L003 Ankleshwar</v>
          </cell>
          <cell r="J5965" t="str">
            <v>99 Input/Byprodt/Scrap</v>
          </cell>
          <cell r="K5965" t="str">
            <v>10.2012</v>
          </cell>
          <cell r="L5965">
            <v>70</v>
          </cell>
          <cell r="M5965" t="str">
            <v>EA</v>
          </cell>
          <cell r="N5965">
            <v>551.25</v>
          </cell>
          <cell r="O5965" t="str">
            <v>INR</v>
          </cell>
        </row>
        <row r="5966">
          <cell r="A5966" t="str">
            <v>L003 Ankleshwar</v>
          </cell>
          <cell r="B5966">
            <v>710083</v>
          </cell>
          <cell r="C5966" t="str">
            <v>FURNACE OIL</v>
          </cell>
          <cell r="D5966" t="str">
            <v>L0030151                       EnggStore</v>
          </cell>
          <cell r="E5966" t="str">
            <v>E02 E02</v>
          </cell>
          <cell r="F5966" t="str">
            <v>ND No planning</v>
          </cell>
          <cell r="G5966" t="str">
            <v>HIBE Operating supplies</v>
          </cell>
          <cell r="H5966" t="str">
            <v>EN011     UtlChem/Lub/Fuel/Gas</v>
          </cell>
          <cell r="I5966" t="str">
            <v>L003 Ankleshwar</v>
          </cell>
          <cell r="J5966" t="str">
            <v>99 Input/Byprodt/Scrap</v>
          </cell>
          <cell r="K5966" t="str">
            <v>10.2012</v>
          </cell>
          <cell r="L5966">
            <v>26.279</v>
          </cell>
          <cell r="M5966" t="str">
            <v>TO</v>
          </cell>
          <cell r="N5966">
            <v>993594.47999999905</v>
          </cell>
          <cell r="O5966" t="str">
            <v>INR</v>
          </cell>
        </row>
        <row r="5967">
          <cell r="A5967" t="str">
            <v>L003 Ankleshwar</v>
          </cell>
          <cell r="B5967">
            <v>710436</v>
          </cell>
          <cell r="C5967" t="str">
            <v>IMPORTED SAMPLES WITH UOM PAC</v>
          </cell>
          <cell r="D5967" t="str">
            <v>L003</v>
          </cell>
          <cell r="E5967">
            <v>0</v>
          </cell>
          <cell r="F5967" t="str">
            <v>ND No planning</v>
          </cell>
          <cell r="G5967" t="str">
            <v>HIBE Operating supplies</v>
          </cell>
          <cell r="H5967" t="str">
            <v>EN034     LabConsumables</v>
          </cell>
          <cell r="I5967" t="str">
            <v>L003 Ankleshwar</v>
          </cell>
          <cell r="J5967" t="str">
            <v>99 Input/Byprodt/Scrap</v>
          </cell>
          <cell r="K5967" t="str">
            <v>10.2012</v>
          </cell>
          <cell r="L5967">
            <v>4</v>
          </cell>
          <cell r="M5967" t="str">
            <v>PAC</v>
          </cell>
          <cell r="N5967">
            <v>24714.889999999901</v>
          </cell>
          <cell r="O5967" t="str">
            <v>INR</v>
          </cell>
        </row>
        <row r="5968">
          <cell r="A5968" t="str">
            <v>L003 Ankleshwar</v>
          </cell>
          <cell r="B5968">
            <v>710461</v>
          </cell>
          <cell r="C5968" t="str">
            <v>OIL MOLYCOTE SUPERGLISE</v>
          </cell>
          <cell r="D5968" t="str">
            <v>L0030151                       EnggStore</v>
          </cell>
          <cell r="E5968">
            <v>0</v>
          </cell>
          <cell r="F5968" t="str">
            <v>ND No planning</v>
          </cell>
          <cell r="G5968" t="str">
            <v>HIBE Operating supplies</v>
          </cell>
          <cell r="H5968" t="str">
            <v>EN011     UtlChem/Lub/Fuel/Gas</v>
          </cell>
          <cell r="I5968" t="str">
            <v>L003 Ankleshwar</v>
          </cell>
          <cell r="J5968" t="str">
            <v>99 Input/Byprodt/Scrap</v>
          </cell>
          <cell r="K5968" t="str">
            <v>10.2012</v>
          </cell>
          <cell r="L5968">
            <v>5</v>
          </cell>
          <cell r="M5968" t="str">
            <v>L</v>
          </cell>
          <cell r="N5968">
            <v>1323.97</v>
          </cell>
          <cell r="O5968" t="str">
            <v>INR</v>
          </cell>
        </row>
        <row r="5969">
          <cell r="A5969" t="str">
            <v>L003 Ankleshwar</v>
          </cell>
          <cell r="B5969">
            <v>710536</v>
          </cell>
          <cell r="C5969" t="str">
            <v>NITROGEN CYLINDER</v>
          </cell>
          <cell r="D5969" t="str">
            <v>L0030151                       EnggStore</v>
          </cell>
          <cell r="E5969" t="str">
            <v>E42 E42</v>
          </cell>
          <cell r="F5969" t="str">
            <v>VB Manual reorder point planning</v>
          </cell>
          <cell r="G5969" t="str">
            <v>HIBE Operating supplies</v>
          </cell>
          <cell r="H5969" t="str">
            <v>EN011     UtlChem/Lub/Fuel/Gas</v>
          </cell>
          <cell r="I5969" t="str">
            <v>L003 Ankleshwar</v>
          </cell>
          <cell r="J5969" t="str">
            <v>99 Input/Byprodt/Scrap</v>
          </cell>
          <cell r="K5969" t="str">
            <v>10.2012</v>
          </cell>
          <cell r="L5969">
            <v>49</v>
          </cell>
          <cell r="M5969" t="str">
            <v>M3</v>
          </cell>
          <cell r="N5969">
            <v>980</v>
          </cell>
          <cell r="O5969" t="str">
            <v>INR</v>
          </cell>
        </row>
        <row r="5970">
          <cell r="A5970" t="str">
            <v>L003 Ankleshwar</v>
          </cell>
          <cell r="B5970">
            <v>710540</v>
          </cell>
          <cell r="C5970" t="str">
            <v>IMPORTED SAMPLES WITH UOM KG</v>
          </cell>
          <cell r="D5970" t="str">
            <v>L0030151                       EnggStore</v>
          </cell>
          <cell r="E5970">
            <v>0</v>
          </cell>
          <cell r="F5970" t="str">
            <v>ND No planning</v>
          </cell>
          <cell r="G5970" t="str">
            <v>HIBE Operating supplies</v>
          </cell>
          <cell r="H5970" t="str">
            <v>EN034     LabConsumables</v>
          </cell>
          <cell r="I5970" t="str">
            <v>L003 Ankleshwar</v>
          </cell>
          <cell r="J5970" t="str">
            <v>99 Input/Byprodt/Scrap</v>
          </cell>
          <cell r="K5970" t="str">
            <v>10.2012</v>
          </cell>
          <cell r="L5970">
            <v>1</v>
          </cell>
          <cell r="M5970" t="str">
            <v>KG</v>
          </cell>
          <cell r="N5970">
            <v>0</v>
          </cell>
          <cell r="O5970" t="str">
            <v>INR</v>
          </cell>
        </row>
        <row r="5971">
          <cell r="A5971" t="str">
            <v>L003 Ankleshwar</v>
          </cell>
          <cell r="B5971">
            <v>710581</v>
          </cell>
          <cell r="C5971" t="str">
            <v>DURA CLEAR OIL</v>
          </cell>
          <cell r="D5971" t="str">
            <v>L0030151                       EnggStore</v>
          </cell>
          <cell r="E5971" t="str">
            <v>E01 E01</v>
          </cell>
          <cell r="F5971" t="str">
            <v>ND No planning</v>
          </cell>
          <cell r="G5971" t="str">
            <v>HIBE Operating supplies</v>
          </cell>
          <cell r="H5971" t="str">
            <v>EN011     UtlChem/Lub/Fuel/Gas</v>
          </cell>
          <cell r="I5971" t="str">
            <v>L003 Ankleshwar</v>
          </cell>
          <cell r="J5971" t="str">
            <v>99 Input/Byprodt/Scrap</v>
          </cell>
          <cell r="K5971" t="str">
            <v>10.2012</v>
          </cell>
          <cell r="L5971">
            <v>5</v>
          </cell>
          <cell r="M5971" t="str">
            <v>GAL</v>
          </cell>
          <cell r="N5971">
            <v>40075</v>
          </cell>
          <cell r="O5971" t="str">
            <v>INR</v>
          </cell>
        </row>
        <row r="5972">
          <cell r="A5972" t="str">
            <v>L003 Ankleshwar</v>
          </cell>
          <cell r="B5972">
            <v>710694</v>
          </cell>
          <cell r="C5972" t="str">
            <v>ANTISTATIC BAG 30"X50"X250 GAUGE"HMHDPE"</v>
          </cell>
          <cell r="D5972" t="str">
            <v>L0030151                       EnggStore</v>
          </cell>
          <cell r="E5972" t="str">
            <v>E42 E42</v>
          </cell>
          <cell r="F5972" t="str">
            <v>VB Manual reorder point planning</v>
          </cell>
          <cell r="G5972" t="str">
            <v>HIBE Operating supplies</v>
          </cell>
          <cell r="H5972" t="str">
            <v>EN027     Prod&amp;OtherConsumable</v>
          </cell>
          <cell r="I5972" t="str">
            <v>L003 Ankleshwar</v>
          </cell>
          <cell r="J5972" t="str">
            <v>99 Input/Byprodt/Scrap</v>
          </cell>
          <cell r="K5972" t="str">
            <v>10.2012</v>
          </cell>
          <cell r="L5972">
            <v>129</v>
          </cell>
          <cell r="M5972" t="str">
            <v>KG</v>
          </cell>
          <cell r="N5972">
            <v>14279.61</v>
          </cell>
          <cell r="O5972" t="str">
            <v>INR</v>
          </cell>
        </row>
        <row r="5973">
          <cell r="A5973" t="str">
            <v>L003 Ankleshwar</v>
          </cell>
          <cell r="B5973">
            <v>710694</v>
          </cell>
          <cell r="C5973" t="str">
            <v>ANTISTATIC BAG 30"X50"X250 GAUGE"HMHDPE"</v>
          </cell>
          <cell r="D5973" t="str">
            <v>L0030201                       Cons StoreKP</v>
          </cell>
          <cell r="E5973" t="str">
            <v>E42 E42</v>
          </cell>
          <cell r="F5973" t="str">
            <v>VB Manual reorder point planning</v>
          </cell>
          <cell r="G5973" t="str">
            <v>HIBE Operating supplies</v>
          </cell>
          <cell r="H5973" t="str">
            <v>EN027     Prod&amp;OtherConsumable</v>
          </cell>
          <cell r="I5973" t="str">
            <v>L003 Ankleshwar</v>
          </cell>
          <cell r="J5973" t="str">
            <v>99 Input/Byprodt/Scrap</v>
          </cell>
          <cell r="K5973" t="str">
            <v>10.2012</v>
          </cell>
          <cell r="L5973">
            <v>141.55000000000001</v>
          </cell>
          <cell r="M5973" t="str">
            <v>KG</v>
          </cell>
          <cell r="N5973">
            <v>15668.82</v>
          </cell>
          <cell r="O5973" t="str">
            <v>INR</v>
          </cell>
        </row>
        <row r="5974">
          <cell r="A5974" t="str">
            <v>L003 Ankleshwar</v>
          </cell>
          <cell r="B5974">
            <v>710776</v>
          </cell>
          <cell r="C5974" t="str">
            <v>AMBERLITE XAD-1180</v>
          </cell>
          <cell r="D5974" t="str">
            <v>L0030201                       Cons StoreKP</v>
          </cell>
          <cell r="E5974">
            <v>0</v>
          </cell>
          <cell r="F5974" t="str">
            <v>ND No planning</v>
          </cell>
          <cell r="G5974" t="str">
            <v>HIBE Operating supplies</v>
          </cell>
          <cell r="H5974" t="str">
            <v>EN027     Prod&amp;OtherConsumable</v>
          </cell>
          <cell r="I5974" t="str">
            <v>L003 Ankleshwar</v>
          </cell>
          <cell r="J5974" t="str">
            <v>99 Input/Byprodt/Scrap</v>
          </cell>
          <cell r="K5974" t="str">
            <v>10.2012</v>
          </cell>
          <cell r="L5974">
            <v>498</v>
          </cell>
          <cell r="M5974" t="str">
            <v>L</v>
          </cell>
          <cell r="N5974">
            <v>181406.859999999</v>
          </cell>
          <cell r="O5974" t="str">
            <v>INR</v>
          </cell>
        </row>
        <row r="5975">
          <cell r="A5975" t="str">
            <v>L003 Ankleshwar</v>
          </cell>
          <cell r="B5975">
            <v>710902</v>
          </cell>
          <cell r="C5975" t="str">
            <v>DUST BIN (MEDIUM SIZE) SUPERIOR</v>
          </cell>
          <cell r="D5975" t="str">
            <v>L0030151                       EnggStore</v>
          </cell>
          <cell r="E5975">
            <v>0</v>
          </cell>
          <cell r="F5975" t="str">
            <v>ND No planning</v>
          </cell>
          <cell r="G5975" t="str">
            <v>HIBE Operating supplies</v>
          </cell>
          <cell r="H5975" t="str">
            <v>EN039     PlantEquipmentSpares</v>
          </cell>
          <cell r="I5975" t="str">
            <v>L003 Ankleshwar</v>
          </cell>
          <cell r="J5975" t="str">
            <v>99 Input/Byprodt/Scrap</v>
          </cell>
          <cell r="K5975" t="str">
            <v>10.2012</v>
          </cell>
          <cell r="L5975">
            <v>2</v>
          </cell>
          <cell r="M5975" t="str">
            <v>EA</v>
          </cell>
          <cell r="N5975">
            <v>279.86</v>
          </cell>
          <cell r="O5975" t="str">
            <v>INR</v>
          </cell>
        </row>
        <row r="5976">
          <cell r="A5976" t="str">
            <v>L003 Ankleshwar</v>
          </cell>
          <cell r="B5976">
            <v>711105</v>
          </cell>
          <cell r="C5976" t="str">
            <v>BUFFER SOLUTION PH-1.68</v>
          </cell>
          <cell r="D5976" t="str">
            <v>L0030151                       EnggStore</v>
          </cell>
          <cell r="E5976">
            <v>0</v>
          </cell>
          <cell r="F5976" t="str">
            <v>ND No planning</v>
          </cell>
          <cell r="G5976" t="str">
            <v>HIBE Operating supplies</v>
          </cell>
          <cell r="H5976" t="str">
            <v>EN034     LabConsumables</v>
          </cell>
          <cell r="I5976" t="str">
            <v>L003 Ankleshwar</v>
          </cell>
          <cell r="J5976" t="str">
            <v>99 Input/Byprodt/Scrap</v>
          </cell>
          <cell r="K5976" t="str">
            <v>10.2012</v>
          </cell>
          <cell r="L5976">
            <v>1</v>
          </cell>
          <cell r="M5976" t="str">
            <v>EA</v>
          </cell>
          <cell r="N5976">
            <v>1083.75</v>
          </cell>
          <cell r="O5976" t="str">
            <v>INR</v>
          </cell>
        </row>
        <row r="5977">
          <cell r="A5977" t="str">
            <v>L003 Ankleshwar</v>
          </cell>
          <cell r="B5977">
            <v>711108</v>
          </cell>
          <cell r="C5977" t="str">
            <v>BUFFER SOLUTION PH-10</v>
          </cell>
          <cell r="D5977" t="str">
            <v>L0030151                       EnggStore</v>
          </cell>
          <cell r="E5977" t="str">
            <v>E42 E42</v>
          </cell>
          <cell r="F5977" t="str">
            <v>VB Manual reorder point planning</v>
          </cell>
          <cell r="G5977" t="str">
            <v>HIBE Operating supplies</v>
          </cell>
          <cell r="H5977" t="str">
            <v>EN034     LabConsumables</v>
          </cell>
          <cell r="I5977" t="str">
            <v>L003 Ankleshwar</v>
          </cell>
          <cell r="J5977" t="str">
            <v>99 Input/Byprodt/Scrap</v>
          </cell>
          <cell r="K5977" t="str">
            <v>10.2012</v>
          </cell>
          <cell r="L5977">
            <v>2.6699999999999902</v>
          </cell>
          <cell r="M5977" t="str">
            <v>EA</v>
          </cell>
          <cell r="N5977">
            <v>11241.799999999899</v>
          </cell>
          <cell r="O5977" t="str">
            <v>INR</v>
          </cell>
        </row>
        <row r="5978">
          <cell r="A5978" t="str">
            <v>L003 Ankleshwar</v>
          </cell>
          <cell r="B5978">
            <v>711108</v>
          </cell>
          <cell r="C5978" t="str">
            <v>BUFFER SOLUTION PH-10</v>
          </cell>
          <cell r="D5978" t="str">
            <v>L0030201                       Cons StoreKP</v>
          </cell>
          <cell r="E5978" t="str">
            <v>E42 E42</v>
          </cell>
          <cell r="F5978" t="str">
            <v>VB Manual reorder point planning</v>
          </cell>
          <cell r="G5978" t="str">
            <v>HIBE Operating supplies</v>
          </cell>
          <cell r="H5978" t="str">
            <v>EN034     LabConsumables</v>
          </cell>
          <cell r="I5978" t="str">
            <v>L003 Ankleshwar</v>
          </cell>
          <cell r="J5978" t="str">
            <v>99 Input/Byprodt/Scrap</v>
          </cell>
          <cell r="K5978" t="str">
            <v>10.2012</v>
          </cell>
          <cell r="L5978">
            <v>1</v>
          </cell>
          <cell r="M5978" t="str">
            <v>EA</v>
          </cell>
          <cell r="N5978">
            <v>4210.4099999999899</v>
          </cell>
          <cell r="O5978" t="str">
            <v>INR</v>
          </cell>
        </row>
        <row r="5979">
          <cell r="A5979" t="str">
            <v>L003 Ankleshwar</v>
          </cell>
          <cell r="B5979">
            <v>711136</v>
          </cell>
          <cell r="C5979" t="str">
            <v>N-HEXANE HPLC: 1 LIT</v>
          </cell>
          <cell r="D5979" t="str">
            <v>L0030201                       Cons StoreKP</v>
          </cell>
          <cell r="E5979">
            <v>0</v>
          </cell>
          <cell r="F5979" t="str">
            <v>ND No planning</v>
          </cell>
          <cell r="G5979" t="str">
            <v>HIBE Operating supplies</v>
          </cell>
          <cell r="H5979" t="str">
            <v>EN034     LabConsumables</v>
          </cell>
          <cell r="I5979" t="str">
            <v>L003 Ankleshwar</v>
          </cell>
          <cell r="J5979" t="str">
            <v>99 Input/Byprodt/Scrap</v>
          </cell>
          <cell r="K5979" t="str">
            <v>10.2012</v>
          </cell>
          <cell r="L5979">
            <v>122</v>
          </cell>
          <cell r="M5979" t="str">
            <v>BT</v>
          </cell>
          <cell r="N5979">
            <v>47900.37</v>
          </cell>
          <cell r="O5979" t="str">
            <v>INR</v>
          </cell>
        </row>
        <row r="5980">
          <cell r="A5980" t="str">
            <v>L003 Ankleshwar</v>
          </cell>
          <cell r="B5980">
            <v>711156</v>
          </cell>
          <cell r="C5980" t="str">
            <v>TLC PLATES:  20X20:  5554</v>
          </cell>
          <cell r="D5980" t="str">
            <v>L0030151                       EnggStore</v>
          </cell>
          <cell r="E5980" t="str">
            <v>E42 E42</v>
          </cell>
          <cell r="F5980" t="str">
            <v>VB Manual reorder point planning</v>
          </cell>
          <cell r="G5980" t="str">
            <v>HIBE Operating supplies</v>
          </cell>
          <cell r="H5980" t="str">
            <v>EN034     LabConsumables</v>
          </cell>
          <cell r="I5980" t="str">
            <v>L003 Ankleshwar</v>
          </cell>
          <cell r="J5980" t="str">
            <v>99 Input/Byprodt/Scrap</v>
          </cell>
          <cell r="K5980" t="str">
            <v>10.2012</v>
          </cell>
          <cell r="L5980">
            <v>2</v>
          </cell>
          <cell r="M5980" t="str">
            <v>EA</v>
          </cell>
          <cell r="N5980">
            <v>7980</v>
          </cell>
          <cell r="O5980" t="str">
            <v>INR</v>
          </cell>
        </row>
        <row r="5981">
          <cell r="A5981" t="str">
            <v>L003 Ankleshwar</v>
          </cell>
          <cell r="B5981">
            <v>711157</v>
          </cell>
          <cell r="C5981" t="str">
            <v>TLC CAPILARY TWO SIDE OPENED</v>
          </cell>
          <cell r="D5981" t="str">
            <v>L0030151                       EnggStore</v>
          </cell>
          <cell r="E5981" t="str">
            <v>E42 E42</v>
          </cell>
          <cell r="F5981" t="str">
            <v>VB Manual reorder point planning</v>
          </cell>
          <cell r="G5981" t="str">
            <v>HIBE Operating supplies</v>
          </cell>
          <cell r="H5981" t="str">
            <v>EN034     LabConsumables</v>
          </cell>
          <cell r="I5981" t="str">
            <v>L003 Ankleshwar</v>
          </cell>
          <cell r="J5981" t="str">
            <v>99 Input/Byprodt/Scrap</v>
          </cell>
          <cell r="K5981" t="str">
            <v>10.2012</v>
          </cell>
          <cell r="L5981">
            <v>10</v>
          </cell>
          <cell r="M5981" t="str">
            <v>PAC</v>
          </cell>
          <cell r="N5981">
            <v>3703.8699999999899</v>
          </cell>
          <cell r="O5981" t="str">
            <v>INR</v>
          </cell>
        </row>
        <row r="5982">
          <cell r="A5982" t="str">
            <v>L003 Ankleshwar</v>
          </cell>
          <cell r="B5982">
            <v>711157</v>
          </cell>
          <cell r="C5982" t="str">
            <v>TLC CAPILARY TWO SIDE OPENED</v>
          </cell>
          <cell r="D5982" t="str">
            <v>L0030201                       Cons StoreKP</v>
          </cell>
          <cell r="E5982" t="str">
            <v>E42 E42</v>
          </cell>
          <cell r="F5982" t="str">
            <v>VB Manual reorder point planning</v>
          </cell>
          <cell r="G5982" t="str">
            <v>HIBE Operating supplies</v>
          </cell>
          <cell r="H5982" t="str">
            <v>EN034     LabConsumables</v>
          </cell>
          <cell r="I5982" t="str">
            <v>L003 Ankleshwar</v>
          </cell>
          <cell r="J5982" t="str">
            <v>99 Input/Byprodt/Scrap</v>
          </cell>
          <cell r="K5982" t="str">
            <v>10.2012</v>
          </cell>
          <cell r="L5982">
            <v>3</v>
          </cell>
          <cell r="M5982" t="str">
            <v>PAC</v>
          </cell>
          <cell r="N5982">
            <v>1111.1600000000001</v>
          </cell>
          <cell r="O5982" t="str">
            <v>INR</v>
          </cell>
        </row>
        <row r="5983">
          <cell r="A5983" t="str">
            <v>L003 Ankleshwar</v>
          </cell>
          <cell r="B5983">
            <v>711258</v>
          </cell>
          <cell r="C5983" t="str">
            <v>PIPPETTE 10ML RIVERIA CODE: 10001 60</v>
          </cell>
          <cell r="D5983" t="str">
            <v>L0030151                       EnggStore</v>
          </cell>
          <cell r="E5983">
            <v>0</v>
          </cell>
          <cell r="F5983" t="str">
            <v>ND No planning</v>
          </cell>
          <cell r="G5983" t="str">
            <v>HIBE Operating supplies</v>
          </cell>
          <cell r="H5983" t="str">
            <v>EN034     LabConsumables</v>
          </cell>
          <cell r="I5983" t="str">
            <v>L003 Ankleshwar</v>
          </cell>
          <cell r="J5983" t="str">
            <v>99 Input/Byprodt/Scrap</v>
          </cell>
          <cell r="K5983" t="str">
            <v>10.2012</v>
          </cell>
          <cell r="L5983">
            <v>1</v>
          </cell>
          <cell r="M5983" t="str">
            <v>EA</v>
          </cell>
          <cell r="N5983">
            <v>100.8</v>
          </cell>
          <cell r="O5983" t="str">
            <v>INR</v>
          </cell>
        </row>
        <row r="5984">
          <cell r="A5984" t="str">
            <v>L003 Ankleshwar</v>
          </cell>
          <cell r="B5984">
            <v>711419</v>
          </cell>
          <cell r="C5984" t="str">
            <v>RVDF FILTER BAG 154"x10M WITH CHAIN</v>
          </cell>
          <cell r="D5984" t="str">
            <v>L0030151                       EnggStore</v>
          </cell>
          <cell r="E5984" t="str">
            <v>E42 E42</v>
          </cell>
          <cell r="F5984" t="str">
            <v>VB Manual reorder point planning</v>
          </cell>
          <cell r="G5984" t="str">
            <v>HIBE Operating supplies</v>
          </cell>
          <cell r="H5984" t="str">
            <v>EN001     Filters Spares</v>
          </cell>
          <cell r="I5984" t="str">
            <v>L003 Ankleshwar</v>
          </cell>
          <cell r="J5984" t="str">
            <v>99 Input/Byprodt/Scrap</v>
          </cell>
          <cell r="K5984" t="str">
            <v>10.2012</v>
          </cell>
          <cell r="L5984">
            <v>2</v>
          </cell>
          <cell r="M5984" t="str">
            <v>EA</v>
          </cell>
          <cell r="N5984">
            <v>13000</v>
          </cell>
          <cell r="O5984" t="str">
            <v>INR</v>
          </cell>
        </row>
        <row r="5985">
          <cell r="A5985" t="str">
            <v>L003 Ankleshwar</v>
          </cell>
          <cell r="B5985">
            <v>711667</v>
          </cell>
          <cell r="C5985" t="str">
            <v>CABLE TIE: 200 MM</v>
          </cell>
          <cell r="D5985" t="str">
            <v>L0030151                       EnggStore</v>
          </cell>
          <cell r="E5985" t="str">
            <v>E42 E42</v>
          </cell>
          <cell r="F5985" t="str">
            <v>VB Manual reorder point planning</v>
          </cell>
          <cell r="G5985" t="str">
            <v>HIBE Operating supplies</v>
          </cell>
          <cell r="H5985" t="str">
            <v>EN027     Prod&amp;OtherConsumable</v>
          </cell>
          <cell r="I5985" t="str">
            <v>L003 Ankleshwar</v>
          </cell>
          <cell r="J5985" t="str">
            <v>99 Input/Byprodt/Scrap</v>
          </cell>
          <cell r="K5985" t="str">
            <v>10.2012</v>
          </cell>
          <cell r="L5985">
            <v>3797</v>
          </cell>
          <cell r="M5985" t="str">
            <v>EA</v>
          </cell>
          <cell r="N5985">
            <v>2733.84</v>
          </cell>
          <cell r="O5985" t="str">
            <v>INR</v>
          </cell>
        </row>
        <row r="5986">
          <cell r="A5986" t="str">
            <v>L003 Ankleshwar</v>
          </cell>
          <cell r="B5986">
            <v>711704</v>
          </cell>
          <cell r="C5986" t="str">
            <v>SAFETY HELMET BLUE COL-RATCHET</v>
          </cell>
          <cell r="D5986" t="str">
            <v>L0030151                       EnggStore</v>
          </cell>
          <cell r="E5986">
            <v>0</v>
          </cell>
          <cell r="F5986" t="str">
            <v>ND No planning</v>
          </cell>
          <cell r="G5986" t="str">
            <v>HIBE Operating supplies</v>
          </cell>
          <cell r="H5986" t="str">
            <v>EN010     Fire&amp;safety</v>
          </cell>
          <cell r="I5986" t="str">
            <v>L003 Ankleshwar</v>
          </cell>
          <cell r="J5986" t="str">
            <v>99 Input/Byprodt/Scrap</v>
          </cell>
          <cell r="K5986" t="str">
            <v>10.2012</v>
          </cell>
          <cell r="L5986">
            <v>10</v>
          </cell>
          <cell r="M5986" t="str">
            <v>EA</v>
          </cell>
          <cell r="N5986">
            <v>550</v>
          </cell>
          <cell r="O5986" t="str">
            <v>INR</v>
          </cell>
        </row>
        <row r="5987">
          <cell r="A5987" t="str">
            <v>L003 Ankleshwar</v>
          </cell>
          <cell r="B5987">
            <v>711704</v>
          </cell>
          <cell r="C5987" t="str">
            <v>SAFETY HELMET BLUE COL-RATCHET</v>
          </cell>
          <cell r="D5987" t="str">
            <v>L0030201                       Cons StoreKP</v>
          </cell>
          <cell r="E5987">
            <v>0</v>
          </cell>
          <cell r="F5987" t="str">
            <v>ND No planning</v>
          </cell>
          <cell r="G5987" t="str">
            <v>HIBE Operating supplies</v>
          </cell>
          <cell r="H5987" t="str">
            <v>EN010     Fire&amp;safety</v>
          </cell>
          <cell r="I5987" t="str">
            <v>L003 Ankleshwar</v>
          </cell>
          <cell r="J5987" t="str">
            <v>99 Input/Byprodt/Scrap</v>
          </cell>
          <cell r="K5987" t="str">
            <v>10.2012</v>
          </cell>
          <cell r="L5987">
            <v>6</v>
          </cell>
          <cell r="M5987" t="str">
            <v>EA</v>
          </cell>
          <cell r="N5987">
            <v>330</v>
          </cell>
          <cell r="O5987" t="str">
            <v>INR</v>
          </cell>
        </row>
        <row r="5988">
          <cell r="A5988" t="str">
            <v>L003 Ankleshwar</v>
          </cell>
          <cell r="B5988">
            <v>711705</v>
          </cell>
          <cell r="C5988" t="str">
            <v>PP-PLEATED FILTER: 5 MICRONX20" L</v>
          </cell>
          <cell r="D5988" t="str">
            <v>L0030151                       EnggStore</v>
          </cell>
          <cell r="E5988" t="str">
            <v>E01 E01</v>
          </cell>
          <cell r="F5988" t="str">
            <v>VB Manual reorder point planning</v>
          </cell>
          <cell r="G5988" t="str">
            <v>HIBE Operating supplies</v>
          </cell>
          <cell r="H5988" t="str">
            <v>EN001     Filters Spares</v>
          </cell>
          <cell r="I5988" t="str">
            <v>L003 Ankleshwar</v>
          </cell>
          <cell r="J5988" t="str">
            <v>99 Input/Byprodt/Scrap</v>
          </cell>
          <cell r="K5988" t="str">
            <v>10.2012</v>
          </cell>
          <cell r="L5988">
            <v>9</v>
          </cell>
          <cell r="M5988" t="str">
            <v>EA</v>
          </cell>
          <cell r="N5988">
            <v>20160</v>
          </cell>
          <cell r="O5988" t="str">
            <v>INR</v>
          </cell>
        </row>
        <row r="5989">
          <cell r="A5989" t="str">
            <v>L003 Ankleshwar</v>
          </cell>
          <cell r="B5989">
            <v>711706</v>
          </cell>
          <cell r="C5989" t="str">
            <v>PP-PLEATED FILTER: 10 MICRONX20" L</v>
          </cell>
          <cell r="D5989" t="str">
            <v>L0030151                       EnggStore</v>
          </cell>
          <cell r="E5989" t="str">
            <v>E01 E01</v>
          </cell>
          <cell r="F5989" t="str">
            <v>VB Manual reorder point planning</v>
          </cell>
          <cell r="G5989" t="str">
            <v>HIBE Operating supplies</v>
          </cell>
          <cell r="H5989" t="str">
            <v>EN001     Filters Spares</v>
          </cell>
          <cell r="I5989" t="str">
            <v>L003 Ankleshwar</v>
          </cell>
          <cell r="J5989" t="str">
            <v>99 Input/Byprodt/Scrap</v>
          </cell>
          <cell r="K5989" t="str">
            <v>10.2012</v>
          </cell>
          <cell r="L5989">
            <v>1</v>
          </cell>
          <cell r="M5989" t="str">
            <v>EA</v>
          </cell>
          <cell r="N5989">
            <v>2050</v>
          </cell>
          <cell r="O5989" t="str">
            <v>INR</v>
          </cell>
        </row>
        <row r="5990">
          <cell r="A5990" t="str">
            <v>L003 Ankleshwar</v>
          </cell>
          <cell r="B5990">
            <v>711706</v>
          </cell>
          <cell r="C5990" t="str">
            <v>PP-PLEATED FILTER: 10 MICRONX20" L</v>
          </cell>
          <cell r="D5990" t="str">
            <v>L0030201                       Cons StoreKP</v>
          </cell>
          <cell r="E5990" t="str">
            <v>E01 E01</v>
          </cell>
          <cell r="F5990" t="str">
            <v>VB Manual reorder point planning</v>
          </cell>
          <cell r="G5990" t="str">
            <v>HIBE Operating supplies</v>
          </cell>
          <cell r="H5990" t="str">
            <v>EN001     Filters Spares</v>
          </cell>
          <cell r="I5990" t="str">
            <v>L003 Ankleshwar</v>
          </cell>
          <cell r="J5990" t="str">
            <v>99 Input/Byprodt/Scrap</v>
          </cell>
          <cell r="K5990" t="str">
            <v>10.2012</v>
          </cell>
          <cell r="L5990">
            <v>1</v>
          </cell>
          <cell r="M5990" t="str">
            <v>EA</v>
          </cell>
          <cell r="N5990">
            <v>2050</v>
          </cell>
          <cell r="O5990" t="str">
            <v>INR</v>
          </cell>
        </row>
        <row r="5991">
          <cell r="A5991" t="str">
            <v>L003 Ankleshwar</v>
          </cell>
          <cell r="B5991">
            <v>711762</v>
          </cell>
          <cell r="C5991" t="str">
            <v>PP-WOUND FILTER CARTRIDGE: 5MICRON 30" L</v>
          </cell>
          <cell r="D5991" t="str">
            <v>L0030151                       EnggStore</v>
          </cell>
          <cell r="E5991" t="str">
            <v>E01 E01</v>
          </cell>
          <cell r="F5991" t="str">
            <v>VB Manual reorder point planning</v>
          </cell>
          <cell r="G5991" t="str">
            <v>HIBE Operating supplies</v>
          </cell>
          <cell r="H5991" t="str">
            <v>EN001     Filters Spares</v>
          </cell>
          <cell r="I5991" t="str">
            <v>L003 Ankleshwar</v>
          </cell>
          <cell r="J5991" t="str">
            <v>99 Input/Byprodt/Scrap</v>
          </cell>
          <cell r="K5991" t="str">
            <v>10.2012</v>
          </cell>
          <cell r="L5991">
            <v>46</v>
          </cell>
          <cell r="M5991" t="str">
            <v>EA</v>
          </cell>
          <cell r="N5991">
            <v>11260.799999999899</v>
          </cell>
          <cell r="O5991" t="str">
            <v>INR</v>
          </cell>
        </row>
        <row r="5992">
          <cell r="A5992" t="str">
            <v>L003 Ankleshwar</v>
          </cell>
          <cell r="B5992">
            <v>711784</v>
          </cell>
          <cell r="C5992" t="str">
            <v>CARBOY PVC WHITE: 2 L</v>
          </cell>
          <cell r="D5992" t="str">
            <v>L0030151                       EnggStore</v>
          </cell>
          <cell r="E5992" t="str">
            <v>E42 E42</v>
          </cell>
          <cell r="F5992" t="str">
            <v>VB Manual reorder point planning</v>
          </cell>
          <cell r="G5992" t="str">
            <v>HIBE Operating supplies</v>
          </cell>
          <cell r="H5992" t="str">
            <v>EN027     Prod&amp;OtherConsumable</v>
          </cell>
          <cell r="I5992" t="str">
            <v>L003 Ankleshwar</v>
          </cell>
          <cell r="J5992" t="str">
            <v>99 Input/Byprodt/Scrap</v>
          </cell>
          <cell r="K5992" t="str">
            <v>10.2012</v>
          </cell>
          <cell r="L5992">
            <v>26</v>
          </cell>
          <cell r="M5992" t="str">
            <v>EA</v>
          </cell>
          <cell r="N5992">
            <v>258.11</v>
          </cell>
          <cell r="O5992" t="str">
            <v>INR</v>
          </cell>
        </row>
        <row r="5993">
          <cell r="A5993" t="str">
            <v>L003 Ankleshwar</v>
          </cell>
          <cell r="B5993">
            <v>711785</v>
          </cell>
          <cell r="C5993" t="str">
            <v>CARBOY PVC WHITE: 10 L</v>
          </cell>
          <cell r="D5993" t="str">
            <v>L0030151                       EnggStore</v>
          </cell>
          <cell r="E5993" t="str">
            <v>E42 E42</v>
          </cell>
          <cell r="F5993" t="str">
            <v>VB Manual reorder point planning</v>
          </cell>
          <cell r="G5993" t="str">
            <v>HIBE Operating supplies</v>
          </cell>
          <cell r="H5993" t="str">
            <v>EN027     Prod&amp;OtherConsumable</v>
          </cell>
          <cell r="I5993" t="str">
            <v>L003 Ankleshwar</v>
          </cell>
          <cell r="J5993" t="str">
            <v>99 Input/Byprodt/Scrap</v>
          </cell>
          <cell r="K5993" t="str">
            <v>10.2012</v>
          </cell>
          <cell r="L5993">
            <v>17</v>
          </cell>
          <cell r="M5993" t="str">
            <v>EA</v>
          </cell>
          <cell r="N5993">
            <v>691.69</v>
          </cell>
          <cell r="O5993" t="str">
            <v>INR</v>
          </cell>
        </row>
        <row r="5994">
          <cell r="A5994" t="str">
            <v>L003 Ankleshwar</v>
          </cell>
          <cell r="B5994">
            <v>711785</v>
          </cell>
          <cell r="C5994" t="str">
            <v>CARBOY PVC WHITE: 10 L</v>
          </cell>
          <cell r="D5994" t="str">
            <v>L0030201                       Cons StoreKP</v>
          </cell>
          <cell r="E5994" t="str">
            <v>E42 E42</v>
          </cell>
          <cell r="F5994" t="str">
            <v>VB Manual reorder point planning</v>
          </cell>
          <cell r="G5994" t="str">
            <v>HIBE Operating supplies</v>
          </cell>
          <cell r="H5994" t="str">
            <v>EN027     Prod&amp;OtherConsumable</v>
          </cell>
          <cell r="I5994" t="str">
            <v>L003 Ankleshwar</v>
          </cell>
          <cell r="J5994" t="str">
            <v>99 Input/Byprodt/Scrap</v>
          </cell>
          <cell r="K5994" t="str">
            <v>10.2012</v>
          </cell>
          <cell r="L5994">
            <v>1</v>
          </cell>
          <cell r="M5994" t="str">
            <v>EA</v>
          </cell>
          <cell r="N5994">
            <v>40.689999999999898</v>
          </cell>
          <cell r="O5994" t="str">
            <v>INR</v>
          </cell>
        </row>
        <row r="5995">
          <cell r="A5995" t="str">
            <v>L003 Ankleshwar</v>
          </cell>
          <cell r="B5995">
            <v>711786</v>
          </cell>
          <cell r="C5995" t="str">
            <v>CARBOY PVC WHITE: 20 L</v>
          </cell>
          <cell r="D5995" t="str">
            <v>L0030151                       EnggStore</v>
          </cell>
          <cell r="E5995" t="str">
            <v>E42 E42</v>
          </cell>
          <cell r="F5995" t="str">
            <v>VB Manual reorder point planning</v>
          </cell>
          <cell r="G5995" t="str">
            <v>HIBE Operating supplies</v>
          </cell>
          <cell r="H5995" t="str">
            <v>EN027     Prod&amp;OtherConsumable</v>
          </cell>
          <cell r="I5995" t="str">
            <v>L003 Ankleshwar</v>
          </cell>
          <cell r="J5995" t="str">
            <v>99 Input/Byprodt/Scrap</v>
          </cell>
          <cell r="K5995" t="str">
            <v>10.2012</v>
          </cell>
          <cell r="L5995">
            <v>4</v>
          </cell>
          <cell r="M5995" t="str">
            <v>EA</v>
          </cell>
          <cell r="N5995">
            <v>296.00999999999902</v>
          </cell>
          <cell r="O5995" t="str">
            <v>INR</v>
          </cell>
        </row>
        <row r="5996">
          <cell r="A5996" t="str">
            <v>L003 Ankleshwar</v>
          </cell>
          <cell r="B5996">
            <v>711786</v>
          </cell>
          <cell r="C5996" t="str">
            <v>CARBOY PVC WHITE: 20 L</v>
          </cell>
          <cell r="D5996" t="str">
            <v>L0030201                       Cons StoreKP</v>
          </cell>
          <cell r="E5996" t="str">
            <v>E42 E42</v>
          </cell>
          <cell r="F5996" t="str">
            <v>VB Manual reorder point planning</v>
          </cell>
          <cell r="G5996" t="str">
            <v>HIBE Operating supplies</v>
          </cell>
          <cell r="H5996" t="str">
            <v>EN027     Prod&amp;OtherConsumable</v>
          </cell>
          <cell r="I5996" t="str">
            <v>L003 Ankleshwar</v>
          </cell>
          <cell r="J5996" t="str">
            <v>99 Input/Byprodt/Scrap</v>
          </cell>
          <cell r="K5996" t="str">
            <v>10.2012</v>
          </cell>
          <cell r="L5996">
            <v>11</v>
          </cell>
          <cell r="M5996" t="str">
            <v>EA</v>
          </cell>
          <cell r="N5996">
            <v>814.00999999999897</v>
          </cell>
          <cell r="O5996" t="str">
            <v>INR</v>
          </cell>
        </row>
        <row r="5997">
          <cell r="A5997" t="str">
            <v>L003 Ankleshwar</v>
          </cell>
          <cell r="B5997">
            <v>711787</v>
          </cell>
          <cell r="C5997" t="str">
            <v>CARBOY PVC WHITE: 35 L</v>
          </cell>
          <cell r="D5997" t="str">
            <v>L0030151                       EnggStore</v>
          </cell>
          <cell r="E5997" t="str">
            <v>E42 E42</v>
          </cell>
          <cell r="F5997" t="str">
            <v>VB Manual reorder point planning</v>
          </cell>
          <cell r="G5997" t="str">
            <v>HIBE Operating supplies</v>
          </cell>
          <cell r="H5997" t="str">
            <v>EN027     Prod&amp;OtherConsumable</v>
          </cell>
          <cell r="I5997" t="str">
            <v>L003 Ankleshwar</v>
          </cell>
          <cell r="J5997" t="str">
            <v>99 Input/Byprodt/Scrap</v>
          </cell>
          <cell r="K5997" t="str">
            <v>10.2012</v>
          </cell>
          <cell r="L5997">
            <v>16</v>
          </cell>
          <cell r="M5997" t="str">
            <v>EA</v>
          </cell>
          <cell r="N5997">
            <v>4320</v>
          </cell>
          <cell r="O5997" t="str">
            <v>INR</v>
          </cell>
        </row>
        <row r="5998">
          <cell r="A5998" t="str">
            <v>L003 Ankleshwar</v>
          </cell>
          <cell r="B5998">
            <v>711788</v>
          </cell>
          <cell r="C5998" t="str">
            <v>CARBOY PVC WHITE: 1 L</v>
          </cell>
          <cell r="D5998" t="str">
            <v>L0030151                       EnggStore</v>
          </cell>
          <cell r="E5998" t="str">
            <v>E42 E42</v>
          </cell>
          <cell r="F5998" t="str">
            <v>VB Manual reorder point planning</v>
          </cell>
          <cell r="G5998" t="str">
            <v>HIBE Operating supplies</v>
          </cell>
          <cell r="H5998" t="str">
            <v>EN027     Prod&amp;OtherConsumable</v>
          </cell>
          <cell r="I5998" t="str">
            <v>L003 Ankleshwar</v>
          </cell>
          <cell r="J5998" t="str">
            <v>99 Input/Byprodt/Scrap</v>
          </cell>
          <cell r="K5998" t="str">
            <v>10.2012</v>
          </cell>
          <cell r="L5998">
            <v>79</v>
          </cell>
          <cell r="M5998" t="str">
            <v>EA</v>
          </cell>
          <cell r="N5998">
            <v>710.89999999999895</v>
          </cell>
          <cell r="O5998" t="str">
            <v>INR</v>
          </cell>
        </row>
        <row r="5999">
          <cell r="A5999" t="str">
            <v>L003 Ankleshwar</v>
          </cell>
          <cell r="B5999">
            <v>711788</v>
          </cell>
          <cell r="C5999" t="str">
            <v>CARBOY PVC WHITE: 1 L</v>
          </cell>
          <cell r="D5999" t="str">
            <v>L0030201                       Cons StoreKP</v>
          </cell>
          <cell r="E5999" t="str">
            <v>E42 E42</v>
          </cell>
          <cell r="F5999" t="str">
            <v>VB Manual reorder point planning</v>
          </cell>
          <cell r="G5999" t="str">
            <v>HIBE Operating supplies</v>
          </cell>
          <cell r="H5999" t="str">
            <v>EN027     Prod&amp;OtherConsumable</v>
          </cell>
          <cell r="I5999" t="str">
            <v>L003 Ankleshwar</v>
          </cell>
          <cell r="J5999" t="str">
            <v>99 Input/Byprodt/Scrap</v>
          </cell>
          <cell r="K5999" t="str">
            <v>10.2012</v>
          </cell>
          <cell r="L5999">
            <v>36</v>
          </cell>
          <cell r="M5999" t="str">
            <v>EA</v>
          </cell>
          <cell r="N5999">
            <v>323.94999999999902</v>
          </cell>
          <cell r="O5999" t="str">
            <v>INR</v>
          </cell>
        </row>
        <row r="6000">
          <cell r="A6000" t="str">
            <v>L003 Ankleshwar</v>
          </cell>
          <cell r="B6000">
            <v>711799</v>
          </cell>
          <cell r="C6000" t="str">
            <v>JUTE SUTALI</v>
          </cell>
          <cell r="D6000" t="str">
            <v>L0030151                       EnggStore</v>
          </cell>
          <cell r="E6000" t="str">
            <v>E42 E42</v>
          </cell>
          <cell r="F6000" t="str">
            <v>VB Manual reorder point planning</v>
          </cell>
          <cell r="G6000" t="str">
            <v>HIBE Operating supplies</v>
          </cell>
          <cell r="H6000" t="str">
            <v>EN027     Prod&amp;OtherConsumable</v>
          </cell>
          <cell r="I6000" t="str">
            <v>L003 Ankleshwar</v>
          </cell>
          <cell r="J6000" t="str">
            <v>99 Input/Byprodt/Scrap</v>
          </cell>
          <cell r="K6000" t="str">
            <v>10.2012</v>
          </cell>
          <cell r="L6000">
            <v>0.5</v>
          </cell>
          <cell r="M6000" t="str">
            <v>KG</v>
          </cell>
          <cell r="N6000">
            <v>30.4499999999999</v>
          </cell>
          <cell r="O6000" t="str">
            <v>INR</v>
          </cell>
        </row>
        <row r="6001">
          <cell r="A6001" t="str">
            <v>L003 Ankleshwar</v>
          </cell>
          <cell r="B6001">
            <v>711799</v>
          </cell>
          <cell r="C6001" t="str">
            <v>JUTE SUTALI</v>
          </cell>
          <cell r="D6001" t="str">
            <v>L0030201                       Cons StoreKP</v>
          </cell>
          <cell r="E6001" t="str">
            <v>E42 E42</v>
          </cell>
          <cell r="F6001" t="str">
            <v>VB Manual reorder point planning</v>
          </cell>
          <cell r="G6001" t="str">
            <v>HIBE Operating supplies</v>
          </cell>
          <cell r="H6001" t="str">
            <v>EN027     Prod&amp;OtherConsumable</v>
          </cell>
          <cell r="I6001" t="str">
            <v>L003 Ankleshwar</v>
          </cell>
          <cell r="J6001" t="str">
            <v>99 Input/Byprodt/Scrap</v>
          </cell>
          <cell r="K6001" t="str">
            <v>10.2012</v>
          </cell>
          <cell r="L6001">
            <v>138</v>
          </cell>
          <cell r="M6001" t="str">
            <v>KG</v>
          </cell>
          <cell r="N6001">
            <v>8404.1299999999901</v>
          </cell>
          <cell r="O6001" t="str">
            <v>INR</v>
          </cell>
        </row>
        <row r="6002">
          <cell r="A6002" t="str">
            <v>L003 Ankleshwar</v>
          </cell>
          <cell r="B6002">
            <v>711800</v>
          </cell>
          <cell r="C6002" t="str">
            <v>MS-DRUM SEAL: 2" WITH LOGO</v>
          </cell>
          <cell r="D6002" t="str">
            <v>L0030151                       EnggStore</v>
          </cell>
          <cell r="E6002" t="str">
            <v>E42 E42</v>
          </cell>
          <cell r="F6002" t="str">
            <v>VB Manual reorder point planning</v>
          </cell>
          <cell r="G6002" t="str">
            <v>HIBE Operating supplies</v>
          </cell>
          <cell r="H6002" t="str">
            <v>EN027     Prod&amp;OtherConsumable</v>
          </cell>
          <cell r="I6002" t="str">
            <v>L003 Ankleshwar</v>
          </cell>
          <cell r="J6002" t="str">
            <v>99 Input/Byprodt/Scrap</v>
          </cell>
          <cell r="K6002" t="str">
            <v>10.2012</v>
          </cell>
          <cell r="L6002">
            <v>1400</v>
          </cell>
          <cell r="M6002" t="str">
            <v>EA</v>
          </cell>
          <cell r="N6002">
            <v>2030.03</v>
          </cell>
          <cell r="O6002" t="str">
            <v>INR</v>
          </cell>
        </row>
        <row r="6003">
          <cell r="A6003" t="str">
            <v>L003 Ankleshwar</v>
          </cell>
          <cell r="B6003">
            <v>711801</v>
          </cell>
          <cell r="C6003" t="str">
            <v>COTTON THREAD</v>
          </cell>
          <cell r="D6003" t="str">
            <v>L0030151                       EnggStore</v>
          </cell>
          <cell r="E6003" t="str">
            <v>E42 E42</v>
          </cell>
          <cell r="F6003" t="str">
            <v>VB Manual reorder point planning</v>
          </cell>
          <cell r="G6003" t="str">
            <v>HIBE Operating supplies</v>
          </cell>
          <cell r="H6003" t="str">
            <v>EN027     Prod&amp;OtherConsumable</v>
          </cell>
          <cell r="I6003" t="str">
            <v>L003 Ankleshwar</v>
          </cell>
          <cell r="J6003" t="str">
            <v>99 Input/Byprodt/Scrap</v>
          </cell>
          <cell r="K6003" t="str">
            <v>10.2012</v>
          </cell>
          <cell r="L6003">
            <v>36</v>
          </cell>
          <cell r="M6003" t="str">
            <v>KG</v>
          </cell>
          <cell r="N6003">
            <v>6408</v>
          </cell>
          <cell r="O6003" t="str">
            <v>INR</v>
          </cell>
        </row>
        <row r="6004">
          <cell r="A6004" t="str">
            <v>L003 Ankleshwar</v>
          </cell>
          <cell r="B6004">
            <v>711801</v>
          </cell>
          <cell r="C6004" t="str">
            <v>COTTON THREAD</v>
          </cell>
          <cell r="D6004" t="str">
            <v>L0030201                       Cons StoreKP</v>
          </cell>
          <cell r="E6004" t="str">
            <v>E42 E42</v>
          </cell>
          <cell r="F6004" t="str">
            <v>VB Manual reorder point planning</v>
          </cell>
          <cell r="G6004" t="str">
            <v>HIBE Operating supplies</v>
          </cell>
          <cell r="H6004" t="str">
            <v>EN027     Prod&amp;OtherConsumable</v>
          </cell>
          <cell r="I6004" t="str">
            <v>L003 Ankleshwar</v>
          </cell>
          <cell r="J6004" t="str">
            <v>99 Input/Byprodt/Scrap</v>
          </cell>
          <cell r="K6004" t="str">
            <v>10.2012</v>
          </cell>
          <cell r="L6004">
            <v>6</v>
          </cell>
          <cell r="M6004" t="str">
            <v>KG</v>
          </cell>
          <cell r="N6004">
            <v>1068</v>
          </cell>
          <cell r="O6004" t="str">
            <v>INR</v>
          </cell>
        </row>
        <row r="6005">
          <cell r="A6005" t="str">
            <v>L003 Ankleshwar</v>
          </cell>
          <cell r="B6005">
            <v>711815</v>
          </cell>
          <cell r="C6005" t="str">
            <v>TISSUE PAPER ROLL</v>
          </cell>
          <cell r="D6005" t="str">
            <v>L0030151                       EnggStore</v>
          </cell>
          <cell r="E6005" t="str">
            <v>E42 E42</v>
          </cell>
          <cell r="F6005" t="str">
            <v>VB Manual reorder point planning</v>
          </cell>
          <cell r="G6005" t="str">
            <v>HIBE Operating supplies</v>
          </cell>
          <cell r="H6005" t="str">
            <v>EN034     LabConsumables</v>
          </cell>
          <cell r="I6005" t="str">
            <v>L003 Ankleshwar</v>
          </cell>
          <cell r="J6005" t="str">
            <v>99 Input/Byprodt/Scrap</v>
          </cell>
          <cell r="K6005" t="str">
            <v>10.2012</v>
          </cell>
          <cell r="L6005">
            <v>739</v>
          </cell>
          <cell r="M6005" t="str">
            <v>EA</v>
          </cell>
          <cell r="N6005">
            <v>5670.46</v>
          </cell>
          <cell r="O6005" t="str">
            <v>INR</v>
          </cell>
        </row>
        <row r="6006">
          <cell r="A6006" t="str">
            <v>L003 Ankleshwar</v>
          </cell>
          <cell r="B6006">
            <v>711815</v>
          </cell>
          <cell r="C6006" t="str">
            <v>TISSUE PAPER ROLL</v>
          </cell>
          <cell r="D6006" t="str">
            <v>L0030201                       Cons StoreKP</v>
          </cell>
          <cell r="E6006" t="str">
            <v>E42 E42</v>
          </cell>
          <cell r="F6006" t="str">
            <v>VB Manual reorder point planning</v>
          </cell>
          <cell r="G6006" t="str">
            <v>HIBE Operating supplies</v>
          </cell>
          <cell r="H6006" t="str">
            <v>EN034     LabConsumables</v>
          </cell>
          <cell r="I6006" t="str">
            <v>L003 Ankleshwar</v>
          </cell>
          <cell r="J6006" t="str">
            <v>99 Input/Byprodt/Scrap</v>
          </cell>
          <cell r="K6006" t="str">
            <v>10.2012</v>
          </cell>
          <cell r="L6006">
            <v>112</v>
          </cell>
          <cell r="M6006" t="str">
            <v>EA</v>
          </cell>
          <cell r="N6006">
            <v>859.38999999999896</v>
          </cell>
          <cell r="O6006" t="str">
            <v>INR</v>
          </cell>
        </row>
        <row r="6007">
          <cell r="A6007" t="str">
            <v>L003 Ankleshwar</v>
          </cell>
          <cell r="B6007">
            <v>711817</v>
          </cell>
          <cell r="C6007" t="str">
            <v>TORCH</v>
          </cell>
          <cell r="D6007" t="str">
            <v>L0030151                       EnggStore</v>
          </cell>
          <cell r="E6007" t="str">
            <v>E42 E42</v>
          </cell>
          <cell r="F6007" t="str">
            <v>VB Manual reorder point planning</v>
          </cell>
          <cell r="G6007" t="str">
            <v>HIBE Operating supplies</v>
          </cell>
          <cell r="H6007" t="str">
            <v>EN005     Elec Lighting</v>
          </cell>
          <cell r="I6007" t="str">
            <v>L003 Ankleshwar</v>
          </cell>
          <cell r="J6007" t="str">
            <v>99 Input/Byprodt/Scrap</v>
          </cell>
          <cell r="K6007" t="str">
            <v>10.2012</v>
          </cell>
          <cell r="L6007">
            <v>2</v>
          </cell>
          <cell r="M6007" t="str">
            <v>EA</v>
          </cell>
          <cell r="N6007">
            <v>322</v>
          </cell>
          <cell r="O6007" t="str">
            <v>INR</v>
          </cell>
        </row>
        <row r="6008">
          <cell r="A6008" t="str">
            <v>L003 Ankleshwar</v>
          </cell>
          <cell r="B6008">
            <v>711822</v>
          </cell>
          <cell r="C6008" t="str">
            <v>COTTON WASTE</v>
          </cell>
          <cell r="D6008" t="str">
            <v>L0030151                       EnggStore</v>
          </cell>
          <cell r="E6008" t="str">
            <v>E42 E42</v>
          </cell>
          <cell r="F6008" t="str">
            <v>VB Manual reorder point planning</v>
          </cell>
          <cell r="G6008" t="str">
            <v>HIBE Operating supplies</v>
          </cell>
          <cell r="H6008" t="str">
            <v>EN014     Housekeeping</v>
          </cell>
          <cell r="I6008" t="str">
            <v>L003 Ankleshwar</v>
          </cell>
          <cell r="J6008" t="str">
            <v>99 Input/Byprodt/Scrap</v>
          </cell>
          <cell r="K6008" t="str">
            <v>10.2012</v>
          </cell>
          <cell r="L6008">
            <v>216</v>
          </cell>
          <cell r="M6008" t="str">
            <v>KG</v>
          </cell>
          <cell r="N6008">
            <v>4775.0299999999897</v>
          </cell>
          <cell r="O6008" t="str">
            <v>INR</v>
          </cell>
        </row>
        <row r="6009">
          <cell r="A6009" t="str">
            <v>L003 Ankleshwar</v>
          </cell>
          <cell r="B6009">
            <v>711822</v>
          </cell>
          <cell r="C6009" t="str">
            <v>COTTON WASTE</v>
          </cell>
          <cell r="D6009" t="str">
            <v>L0030201                       Cons StoreKP</v>
          </cell>
          <cell r="E6009" t="str">
            <v>E42 E42</v>
          </cell>
          <cell r="F6009" t="str">
            <v>VB Manual reorder point planning</v>
          </cell>
          <cell r="G6009" t="str">
            <v>HIBE Operating supplies</v>
          </cell>
          <cell r="H6009" t="str">
            <v>EN014     Housekeeping</v>
          </cell>
          <cell r="I6009" t="str">
            <v>L003 Ankleshwar</v>
          </cell>
          <cell r="J6009" t="str">
            <v>99 Input/Byprodt/Scrap</v>
          </cell>
          <cell r="K6009" t="str">
            <v>10.2012</v>
          </cell>
          <cell r="L6009">
            <v>49</v>
          </cell>
          <cell r="M6009" t="str">
            <v>KG</v>
          </cell>
          <cell r="N6009">
            <v>1083.22</v>
          </cell>
          <cell r="O6009" t="str">
            <v>INR</v>
          </cell>
        </row>
        <row r="6010">
          <cell r="A6010" t="str">
            <v>L003 Ankleshwar</v>
          </cell>
          <cell r="B6010">
            <v>711973</v>
          </cell>
          <cell r="C6010" t="str">
            <v>CONGO RED-HIMEDIA: RM927</v>
          </cell>
          <cell r="D6010" t="str">
            <v>L0030151                       EnggStore</v>
          </cell>
          <cell r="E6010" t="str">
            <v>E42 E42</v>
          </cell>
          <cell r="F6010" t="str">
            <v>VB Manual reorder point planning</v>
          </cell>
          <cell r="G6010" t="str">
            <v>HIBE Operating supplies</v>
          </cell>
          <cell r="H6010" t="str">
            <v>EN034     LabConsumables</v>
          </cell>
          <cell r="I6010" t="str">
            <v>L003 Ankleshwar</v>
          </cell>
          <cell r="J6010" t="str">
            <v>99 Input/Byprodt/Scrap</v>
          </cell>
          <cell r="K6010" t="str">
            <v>10.2012</v>
          </cell>
          <cell r="L6010">
            <v>1000</v>
          </cell>
          <cell r="M6010" t="str">
            <v>G</v>
          </cell>
          <cell r="N6010">
            <v>1848</v>
          </cell>
          <cell r="O6010" t="str">
            <v>INR</v>
          </cell>
        </row>
        <row r="6011">
          <cell r="A6011" t="str">
            <v>L003 Ankleshwar</v>
          </cell>
          <cell r="B6011">
            <v>711994</v>
          </cell>
          <cell r="C6011" t="str">
            <v>MOOPING DUSTER WITH HANDLE</v>
          </cell>
          <cell r="D6011" t="str">
            <v>L0030151                       EnggStore</v>
          </cell>
          <cell r="E6011" t="str">
            <v>E42 E42</v>
          </cell>
          <cell r="F6011" t="str">
            <v>VB Manual reorder point planning</v>
          </cell>
          <cell r="G6011" t="str">
            <v>HIBE Operating supplies</v>
          </cell>
          <cell r="H6011" t="str">
            <v>EN014     Housekeeping</v>
          </cell>
          <cell r="I6011" t="str">
            <v>L003 Ankleshwar</v>
          </cell>
          <cell r="J6011" t="str">
            <v>99 Input/Byprodt/Scrap</v>
          </cell>
          <cell r="K6011" t="str">
            <v>10.2012</v>
          </cell>
          <cell r="L6011">
            <v>86</v>
          </cell>
          <cell r="M6011" t="str">
            <v>EA</v>
          </cell>
          <cell r="N6011">
            <v>2889.46</v>
          </cell>
          <cell r="O6011" t="str">
            <v>INR</v>
          </cell>
        </row>
        <row r="6012">
          <cell r="A6012" t="str">
            <v>L003 Ankleshwar</v>
          </cell>
          <cell r="B6012">
            <v>711994</v>
          </cell>
          <cell r="C6012" t="str">
            <v>MOOPING DUSTER WITH HANDLE</v>
          </cell>
          <cell r="D6012" t="str">
            <v>L0030201                       Cons StoreKP</v>
          </cell>
          <cell r="E6012" t="str">
            <v>E42 E42</v>
          </cell>
          <cell r="F6012" t="str">
            <v>VB Manual reorder point planning</v>
          </cell>
          <cell r="G6012" t="str">
            <v>HIBE Operating supplies</v>
          </cell>
          <cell r="H6012" t="str">
            <v>EN014     Housekeeping</v>
          </cell>
          <cell r="I6012" t="str">
            <v>L003 Ankleshwar</v>
          </cell>
          <cell r="J6012" t="str">
            <v>99 Input/Byprodt/Scrap</v>
          </cell>
          <cell r="K6012" t="str">
            <v>10.2012</v>
          </cell>
          <cell r="L6012">
            <v>54</v>
          </cell>
          <cell r="M6012" t="str">
            <v>EA</v>
          </cell>
          <cell r="N6012">
            <v>1814.3199999999899</v>
          </cell>
          <cell r="O6012" t="str">
            <v>INR</v>
          </cell>
        </row>
        <row r="6013">
          <cell r="A6013" t="str">
            <v>L003 Ankleshwar</v>
          </cell>
          <cell r="B6013">
            <v>712071</v>
          </cell>
          <cell r="C6013" t="str">
            <v>LOCK: 5 LEVER</v>
          </cell>
          <cell r="D6013" t="str">
            <v>L0030151                       EnggStore</v>
          </cell>
          <cell r="E6013" t="str">
            <v>E42 E42</v>
          </cell>
          <cell r="F6013" t="str">
            <v>VB Manual reorder point planning</v>
          </cell>
          <cell r="G6013" t="str">
            <v>HIBE Operating supplies</v>
          </cell>
          <cell r="H6013" t="str">
            <v>EN027     Prod&amp;OtherConsumable</v>
          </cell>
          <cell r="I6013" t="str">
            <v>L003 Ankleshwar</v>
          </cell>
          <cell r="J6013" t="str">
            <v>99 Input/Byprodt/Scrap</v>
          </cell>
          <cell r="K6013" t="str">
            <v>10.2012</v>
          </cell>
          <cell r="L6013">
            <v>10</v>
          </cell>
          <cell r="M6013" t="str">
            <v>EA</v>
          </cell>
          <cell r="N6013">
            <v>1449</v>
          </cell>
          <cell r="O6013" t="str">
            <v>INR</v>
          </cell>
        </row>
        <row r="6014">
          <cell r="A6014" t="str">
            <v>L003 Ankleshwar</v>
          </cell>
          <cell r="B6014">
            <v>712071</v>
          </cell>
          <cell r="C6014" t="str">
            <v>LOCK: 5 LEVER</v>
          </cell>
          <cell r="D6014" t="str">
            <v>L0030201                       Cons StoreKP</v>
          </cell>
          <cell r="E6014" t="str">
            <v>E42 E42</v>
          </cell>
          <cell r="F6014" t="str">
            <v>VB Manual reorder point planning</v>
          </cell>
          <cell r="G6014" t="str">
            <v>HIBE Operating supplies</v>
          </cell>
          <cell r="H6014" t="str">
            <v>EN027     Prod&amp;OtherConsumable</v>
          </cell>
          <cell r="I6014" t="str">
            <v>L003 Ankleshwar</v>
          </cell>
          <cell r="J6014" t="str">
            <v>99 Input/Byprodt/Scrap</v>
          </cell>
          <cell r="K6014" t="str">
            <v>10.2012</v>
          </cell>
          <cell r="L6014">
            <v>4</v>
          </cell>
          <cell r="M6014" t="str">
            <v>EA</v>
          </cell>
          <cell r="N6014">
            <v>579.6</v>
          </cell>
          <cell r="O6014" t="str">
            <v>INR</v>
          </cell>
        </row>
        <row r="6015">
          <cell r="A6015" t="str">
            <v>L003 Ankleshwar</v>
          </cell>
          <cell r="B6015">
            <v>712078</v>
          </cell>
          <cell r="C6015" t="str">
            <v>LIQUID SOAP</v>
          </cell>
          <cell r="D6015" t="str">
            <v>L0030151                       EnggStore</v>
          </cell>
          <cell r="E6015" t="str">
            <v>E42 E42</v>
          </cell>
          <cell r="F6015" t="str">
            <v>VB Manual reorder point planning</v>
          </cell>
          <cell r="G6015" t="str">
            <v>HIBE Operating supplies</v>
          </cell>
          <cell r="H6015" t="str">
            <v>EN014     Housekeeping</v>
          </cell>
          <cell r="I6015" t="str">
            <v>L003 Ankleshwar</v>
          </cell>
          <cell r="J6015" t="str">
            <v>99 Input/Byprodt/Scrap</v>
          </cell>
          <cell r="K6015" t="str">
            <v>10.2012</v>
          </cell>
          <cell r="L6015">
            <v>50</v>
          </cell>
          <cell r="M6015" t="str">
            <v>KG</v>
          </cell>
          <cell r="N6015">
            <v>5749.18</v>
          </cell>
          <cell r="O6015" t="str">
            <v>INR</v>
          </cell>
        </row>
        <row r="6016">
          <cell r="A6016" t="str">
            <v>L003 Ankleshwar</v>
          </cell>
          <cell r="B6016">
            <v>712078</v>
          </cell>
          <cell r="C6016" t="str">
            <v>LIQUID SOAP</v>
          </cell>
          <cell r="D6016" t="str">
            <v>L0030201                       Cons StoreKP</v>
          </cell>
          <cell r="E6016" t="str">
            <v>E42 E42</v>
          </cell>
          <cell r="F6016" t="str">
            <v>VB Manual reorder point planning</v>
          </cell>
          <cell r="G6016" t="str">
            <v>HIBE Operating supplies</v>
          </cell>
          <cell r="H6016" t="str">
            <v>EN014     Housekeeping</v>
          </cell>
          <cell r="I6016" t="str">
            <v>L003 Ankleshwar</v>
          </cell>
          <cell r="J6016" t="str">
            <v>99 Input/Byprodt/Scrap</v>
          </cell>
          <cell r="K6016" t="str">
            <v>10.2012</v>
          </cell>
          <cell r="L6016">
            <v>5</v>
          </cell>
          <cell r="M6016" t="str">
            <v>KG</v>
          </cell>
          <cell r="N6016">
            <v>574.91999999999905</v>
          </cell>
          <cell r="O6016" t="str">
            <v>INR</v>
          </cell>
        </row>
        <row r="6017">
          <cell r="A6017" t="str">
            <v>L003 Ankleshwar</v>
          </cell>
          <cell r="B6017">
            <v>712079</v>
          </cell>
          <cell r="C6017" t="str">
            <v>LIQUID PHENYLE</v>
          </cell>
          <cell r="D6017" t="str">
            <v>L0030151                       EnggStore</v>
          </cell>
          <cell r="E6017" t="str">
            <v>E42 E42</v>
          </cell>
          <cell r="F6017" t="str">
            <v>VB Manual reorder point planning</v>
          </cell>
          <cell r="G6017" t="str">
            <v>HIBE Operating supplies</v>
          </cell>
          <cell r="H6017" t="str">
            <v>EN014     Housekeeping</v>
          </cell>
          <cell r="I6017" t="str">
            <v>L003 Ankleshwar</v>
          </cell>
          <cell r="J6017" t="str">
            <v>99 Input/Byprodt/Scrap</v>
          </cell>
          <cell r="K6017" t="str">
            <v>10.2012</v>
          </cell>
          <cell r="L6017">
            <v>2</v>
          </cell>
          <cell r="M6017" t="str">
            <v>L</v>
          </cell>
          <cell r="N6017">
            <v>661.05999999999904</v>
          </cell>
          <cell r="O6017" t="str">
            <v>INR</v>
          </cell>
        </row>
        <row r="6018">
          <cell r="A6018" t="str">
            <v>L003 Ankleshwar</v>
          </cell>
          <cell r="B6018">
            <v>712079</v>
          </cell>
          <cell r="C6018" t="str">
            <v>LIQUID PHENYLE</v>
          </cell>
          <cell r="D6018" t="str">
            <v>L0030201                       Cons StoreKP</v>
          </cell>
          <cell r="E6018" t="str">
            <v>E42 E42</v>
          </cell>
          <cell r="F6018" t="str">
            <v>VB Manual reorder point planning</v>
          </cell>
          <cell r="G6018" t="str">
            <v>HIBE Operating supplies</v>
          </cell>
          <cell r="H6018" t="str">
            <v>EN014     Housekeeping</v>
          </cell>
          <cell r="I6018" t="str">
            <v>L003 Ankleshwar</v>
          </cell>
          <cell r="J6018" t="str">
            <v>99 Input/Byprodt/Scrap</v>
          </cell>
          <cell r="K6018" t="str">
            <v>10.2012</v>
          </cell>
          <cell r="L6018">
            <v>8</v>
          </cell>
          <cell r="M6018" t="str">
            <v>L</v>
          </cell>
          <cell r="N6018">
            <v>2644.23</v>
          </cell>
          <cell r="O6018" t="str">
            <v>INR</v>
          </cell>
        </row>
        <row r="6019">
          <cell r="A6019" t="str">
            <v>L003 Ankleshwar</v>
          </cell>
          <cell r="B6019">
            <v>712080</v>
          </cell>
          <cell r="C6019" t="str">
            <v>WASHING POWDER</v>
          </cell>
          <cell r="D6019" t="str">
            <v>L0030151                       EnggStore</v>
          </cell>
          <cell r="E6019" t="str">
            <v>E42 E42</v>
          </cell>
          <cell r="F6019" t="str">
            <v>VB Manual reorder point planning</v>
          </cell>
          <cell r="G6019" t="str">
            <v>HIBE Operating supplies</v>
          </cell>
          <cell r="H6019" t="str">
            <v>EN014     Housekeeping</v>
          </cell>
          <cell r="I6019" t="str">
            <v>L003 Ankleshwar</v>
          </cell>
          <cell r="J6019" t="str">
            <v>99 Input/Byprodt/Scrap</v>
          </cell>
          <cell r="K6019" t="str">
            <v>10.2012</v>
          </cell>
          <cell r="L6019">
            <v>37.049999999999898</v>
          </cell>
          <cell r="M6019" t="str">
            <v>KG</v>
          </cell>
          <cell r="N6019">
            <v>1358.54</v>
          </cell>
          <cell r="O6019" t="str">
            <v>INR</v>
          </cell>
        </row>
        <row r="6020">
          <cell r="A6020" t="str">
            <v>L003 Ankleshwar</v>
          </cell>
          <cell r="B6020">
            <v>712080</v>
          </cell>
          <cell r="C6020" t="str">
            <v>WASHING POWDER</v>
          </cell>
          <cell r="D6020" t="str">
            <v>L0030201                       Cons StoreKP</v>
          </cell>
          <cell r="E6020" t="str">
            <v>E42 E42</v>
          </cell>
          <cell r="F6020" t="str">
            <v>VB Manual reorder point planning</v>
          </cell>
          <cell r="G6020" t="str">
            <v>HIBE Operating supplies</v>
          </cell>
          <cell r="H6020" t="str">
            <v>EN014     Housekeeping</v>
          </cell>
          <cell r="I6020" t="str">
            <v>L003 Ankleshwar</v>
          </cell>
          <cell r="J6020" t="str">
            <v>99 Input/Byprodt/Scrap</v>
          </cell>
          <cell r="K6020" t="str">
            <v>10.2012</v>
          </cell>
          <cell r="L6020">
            <v>60.399999999999899</v>
          </cell>
          <cell r="M6020" t="str">
            <v>KG</v>
          </cell>
          <cell r="N6020">
            <v>2214.7399999999898</v>
          </cell>
          <cell r="O6020" t="str">
            <v>INR</v>
          </cell>
        </row>
        <row r="6021">
          <cell r="A6021" t="str">
            <v>L003 Ankleshwar</v>
          </cell>
          <cell r="B6021">
            <v>712091</v>
          </cell>
          <cell r="C6021" t="str">
            <v>HARD BROOM</v>
          </cell>
          <cell r="D6021" t="str">
            <v>L0030151                       EnggStore</v>
          </cell>
          <cell r="E6021" t="str">
            <v>E42 E42</v>
          </cell>
          <cell r="F6021" t="str">
            <v>VB Manual reorder point planning</v>
          </cell>
          <cell r="G6021" t="str">
            <v>HIBE Operating supplies</v>
          </cell>
          <cell r="H6021" t="str">
            <v>EN014     Housekeeping</v>
          </cell>
          <cell r="I6021" t="str">
            <v>L003 Ankleshwar</v>
          </cell>
          <cell r="J6021" t="str">
            <v>99 Input/Byprodt/Scrap</v>
          </cell>
          <cell r="K6021" t="str">
            <v>10.2012</v>
          </cell>
          <cell r="L6021">
            <v>162</v>
          </cell>
          <cell r="M6021" t="str">
            <v>EA</v>
          </cell>
          <cell r="N6021">
            <v>960.65999999999894</v>
          </cell>
          <cell r="O6021" t="str">
            <v>INR</v>
          </cell>
        </row>
        <row r="6022">
          <cell r="A6022" t="str">
            <v>L003 Ankleshwar</v>
          </cell>
          <cell r="B6022">
            <v>712091</v>
          </cell>
          <cell r="C6022" t="str">
            <v>HARD BROOM</v>
          </cell>
          <cell r="D6022" t="str">
            <v>L0030201                       Cons StoreKP</v>
          </cell>
          <cell r="E6022" t="str">
            <v>E42 E42</v>
          </cell>
          <cell r="F6022" t="str">
            <v>VB Manual reorder point planning</v>
          </cell>
          <cell r="G6022" t="str">
            <v>HIBE Operating supplies</v>
          </cell>
          <cell r="H6022" t="str">
            <v>EN014     Housekeeping</v>
          </cell>
          <cell r="I6022" t="str">
            <v>L003 Ankleshwar</v>
          </cell>
          <cell r="J6022" t="str">
            <v>99 Input/Byprodt/Scrap</v>
          </cell>
          <cell r="K6022" t="str">
            <v>10.2012</v>
          </cell>
          <cell r="L6022">
            <v>177</v>
          </cell>
          <cell r="M6022" t="str">
            <v>EA</v>
          </cell>
          <cell r="N6022">
            <v>1049.6199999999899</v>
          </cell>
          <cell r="O6022" t="str">
            <v>INR</v>
          </cell>
        </row>
        <row r="6023">
          <cell r="A6023" t="str">
            <v>L003 Ankleshwar</v>
          </cell>
          <cell r="B6023">
            <v>712092</v>
          </cell>
          <cell r="C6023" t="str">
            <v>SOFT BROOM</v>
          </cell>
          <cell r="D6023" t="str">
            <v>L0030151                       EnggStore</v>
          </cell>
          <cell r="E6023" t="str">
            <v>E42 E42</v>
          </cell>
          <cell r="F6023" t="str">
            <v>VB Manual reorder point planning</v>
          </cell>
          <cell r="G6023" t="str">
            <v>HIBE Operating supplies</v>
          </cell>
          <cell r="H6023" t="str">
            <v>EN014     Housekeeping</v>
          </cell>
          <cell r="I6023" t="str">
            <v>L003 Ankleshwar</v>
          </cell>
          <cell r="J6023" t="str">
            <v>99 Input/Byprodt/Scrap</v>
          </cell>
          <cell r="K6023" t="str">
            <v>10.2012</v>
          </cell>
          <cell r="L6023">
            <v>213</v>
          </cell>
          <cell r="M6023" t="str">
            <v>EA</v>
          </cell>
          <cell r="N6023">
            <v>3773.76</v>
          </cell>
          <cell r="O6023" t="str">
            <v>INR</v>
          </cell>
        </row>
        <row r="6024">
          <cell r="A6024" t="str">
            <v>L003 Ankleshwar</v>
          </cell>
          <cell r="B6024">
            <v>712092</v>
          </cell>
          <cell r="C6024" t="str">
            <v>SOFT BROOM</v>
          </cell>
          <cell r="D6024" t="str">
            <v>L0030201                       Cons StoreKP</v>
          </cell>
          <cell r="E6024" t="str">
            <v>E42 E42</v>
          </cell>
          <cell r="F6024" t="str">
            <v>VB Manual reorder point planning</v>
          </cell>
          <cell r="G6024" t="str">
            <v>HIBE Operating supplies</v>
          </cell>
          <cell r="H6024" t="str">
            <v>EN014     Housekeeping</v>
          </cell>
          <cell r="I6024" t="str">
            <v>L003 Ankleshwar</v>
          </cell>
          <cell r="J6024" t="str">
            <v>99 Input/Byprodt/Scrap</v>
          </cell>
          <cell r="K6024" t="str">
            <v>10.2012</v>
          </cell>
          <cell r="L6024">
            <v>52</v>
          </cell>
          <cell r="M6024" t="str">
            <v>EA</v>
          </cell>
          <cell r="N6024">
            <v>921.28999999999905</v>
          </cell>
          <cell r="O6024" t="str">
            <v>INR</v>
          </cell>
        </row>
        <row r="6025">
          <cell r="A6025" t="str">
            <v>L003 Ankleshwar</v>
          </cell>
          <cell r="B6025">
            <v>712093</v>
          </cell>
          <cell r="C6025" t="str">
            <v>NAPTHA BALL</v>
          </cell>
          <cell r="D6025" t="str">
            <v>L0030151                       EnggStore</v>
          </cell>
          <cell r="E6025" t="str">
            <v>E42 E42</v>
          </cell>
          <cell r="F6025" t="str">
            <v>VB Manual reorder point planning</v>
          </cell>
          <cell r="G6025" t="str">
            <v>HIBE Operating supplies</v>
          </cell>
          <cell r="H6025" t="str">
            <v>EN014     Housekeeping</v>
          </cell>
          <cell r="I6025" t="str">
            <v>L003 Ankleshwar</v>
          </cell>
          <cell r="J6025" t="str">
            <v>99 Input/Byprodt/Scrap</v>
          </cell>
          <cell r="K6025" t="str">
            <v>10.2012</v>
          </cell>
          <cell r="L6025">
            <v>4</v>
          </cell>
          <cell r="M6025" t="str">
            <v>KG</v>
          </cell>
          <cell r="N6025">
            <v>466.57999999999902</v>
          </cell>
          <cell r="O6025" t="str">
            <v>INR</v>
          </cell>
        </row>
        <row r="6026">
          <cell r="A6026" t="str">
            <v>L003 Ankleshwar</v>
          </cell>
          <cell r="B6026">
            <v>712094</v>
          </cell>
          <cell r="C6026" t="str">
            <v>URINAL CUB [1PKT = 8NOS]</v>
          </cell>
          <cell r="D6026" t="str">
            <v>L0030151                       EnggStore</v>
          </cell>
          <cell r="E6026" t="str">
            <v>E42 E42</v>
          </cell>
          <cell r="F6026" t="str">
            <v>VB Manual reorder point planning</v>
          </cell>
          <cell r="G6026" t="str">
            <v>HIBE Operating supplies</v>
          </cell>
          <cell r="H6026" t="str">
            <v>EN014     Housekeeping</v>
          </cell>
          <cell r="I6026" t="str">
            <v>L003 Ankleshwar</v>
          </cell>
          <cell r="J6026" t="str">
            <v>99 Input/Byprodt/Scrap</v>
          </cell>
          <cell r="K6026" t="str">
            <v>10.2012</v>
          </cell>
          <cell r="L6026">
            <v>8</v>
          </cell>
          <cell r="M6026" t="str">
            <v>PAA</v>
          </cell>
          <cell r="N6026">
            <v>400</v>
          </cell>
          <cell r="O6026" t="str">
            <v>INR</v>
          </cell>
        </row>
        <row r="6027">
          <cell r="A6027" t="str">
            <v>L003 Ankleshwar</v>
          </cell>
          <cell r="B6027">
            <v>712094</v>
          </cell>
          <cell r="C6027" t="str">
            <v>URINAL CUB [1PKT = 8NOS]</v>
          </cell>
          <cell r="D6027" t="str">
            <v>L0030201                       Cons StoreKP</v>
          </cell>
          <cell r="E6027" t="str">
            <v>E42 E42</v>
          </cell>
          <cell r="F6027" t="str">
            <v>VB Manual reorder point planning</v>
          </cell>
          <cell r="G6027" t="str">
            <v>HIBE Operating supplies</v>
          </cell>
          <cell r="H6027" t="str">
            <v>EN014     Housekeeping</v>
          </cell>
          <cell r="I6027" t="str">
            <v>L003 Ankleshwar</v>
          </cell>
          <cell r="J6027" t="str">
            <v>99 Input/Byprodt/Scrap</v>
          </cell>
          <cell r="K6027" t="str">
            <v>10.2012</v>
          </cell>
          <cell r="L6027">
            <v>7</v>
          </cell>
          <cell r="M6027" t="str">
            <v>PAA</v>
          </cell>
          <cell r="N6027">
            <v>350</v>
          </cell>
          <cell r="O6027" t="str">
            <v>INR</v>
          </cell>
        </row>
        <row r="6028">
          <cell r="A6028" t="str">
            <v>L003 Ankleshwar</v>
          </cell>
          <cell r="B6028">
            <v>712095</v>
          </cell>
          <cell r="C6028" t="str">
            <v>ODONIL AIR FRESHNER</v>
          </cell>
          <cell r="D6028" t="str">
            <v>L0030151                       EnggStore</v>
          </cell>
          <cell r="E6028" t="str">
            <v>E42 E42</v>
          </cell>
          <cell r="F6028" t="str">
            <v>VB Manual reorder point planning</v>
          </cell>
          <cell r="G6028" t="str">
            <v>HIBE Operating supplies</v>
          </cell>
          <cell r="H6028" t="str">
            <v>EN014     Housekeeping</v>
          </cell>
          <cell r="I6028" t="str">
            <v>L003 Ankleshwar</v>
          </cell>
          <cell r="J6028" t="str">
            <v>99 Input/Byprodt/Scrap</v>
          </cell>
          <cell r="K6028" t="str">
            <v>10.2012</v>
          </cell>
          <cell r="L6028">
            <v>35</v>
          </cell>
          <cell r="M6028" t="str">
            <v>EA</v>
          </cell>
          <cell r="N6028">
            <v>804.99</v>
          </cell>
          <cell r="O6028" t="str">
            <v>INR</v>
          </cell>
        </row>
        <row r="6029">
          <cell r="A6029" t="str">
            <v>L003 Ankleshwar</v>
          </cell>
          <cell r="B6029">
            <v>712095</v>
          </cell>
          <cell r="C6029" t="str">
            <v>ODONIL AIR FRESHNER</v>
          </cell>
          <cell r="D6029" t="str">
            <v>L0030201                       Cons StoreKP</v>
          </cell>
          <cell r="E6029" t="str">
            <v>E42 E42</v>
          </cell>
          <cell r="F6029" t="str">
            <v>VB Manual reorder point planning</v>
          </cell>
          <cell r="G6029" t="str">
            <v>HIBE Operating supplies</v>
          </cell>
          <cell r="H6029" t="str">
            <v>EN014     Housekeeping</v>
          </cell>
          <cell r="I6029" t="str">
            <v>L003 Ankleshwar</v>
          </cell>
          <cell r="J6029" t="str">
            <v>99 Input/Byprodt/Scrap</v>
          </cell>
          <cell r="K6029" t="str">
            <v>10.2012</v>
          </cell>
          <cell r="L6029">
            <v>30</v>
          </cell>
          <cell r="M6029" t="str">
            <v>EA</v>
          </cell>
          <cell r="N6029">
            <v>689.99</v>
          </cell>
          <cell r="O6029" t="str">
            <v>INR</v>
          </cell>
        </row>
        <row r="6030">
          <cell r="A6030" t="str">
            <v>L003 Ankleshwar</v>
          </cell>
          <cell r="B6030">
            <v>712096</v>
          </cell>
          <cell r="C6030" t="str">
            <v>COLIN BOTTLE: 500 ML</v>
          </cell>
          <cell r="D6030" t="str">
            <v>L0030151                       EnggStore</v>
          </cell>
          <cell r="E6030" t="str">
            <v>E42 E42</v>
          </cell>
          <cell r="F6030" t="str">
            <v>VB Manual reorder point planning</v>
          </cell>
          <cell r="G6030" t="str">
            <v>HIBE Operating supplies</v>
          </cell>
          <cell r="H6030" t="str">
            <v>EN014     Housekeeping</v>
          </cell>
          <cell r="I6030" t="str">
            <v>L003 Ankleshwar</v>
          </cell>
          <cell r="J6030" t="str">
            <v>99 Input/Byprodt/Scrap</v>
          </cell>
          <cell r="K6030" t="str">
            <v>10.2012</v>
          </cell>
          <cell r="L6030">
            <v>22</v>
          </cell>
          <cell r="M6030" t="str">
            <v>EA</v>
          </cell>
          <cell r="N6030">
            <v>1297.8399999999899</v>
          </cell>
          <cell r="O6030" t="str">
            <v>INR</v>
          </cell>
        </row>
        <row r="6031">
          <cell r="A6031" t="str">
            <v>L003 Ankleshwar</v>
          </cell>
          <cell r="B6031">
            <v>712096</v>
          </cell>
          <cell r="C6031" t="str">
            <v>COLIN BOTTLE: 500 ML</v>
          </cell>
          <cell r="D6031" t="str">
            <v>L0030201                       Cons StoreKP</v>
          </cell>
          <cell r="E6031" t="str">
            <v>E42 E42</v>
          </cell>
          <cell r="F6031" t="str">
            <v>VB Manual reorder point planning</v>
          </cell>
          <cell r="G6031" t="str">
            <v>HIBE Operating supplies</v>
          </cell>
          <cell r="H6031" t="str">
            <v>EN014     Housekeeping</v>
          </cell>
          <cell r="I6031" t="str">
            <v>L003 Ankleshwar</v>
          </cell>
          <cell r="J6031" t="str">
            <v>99 Input/Byprodt/Scrap</v>
          </cell>
          <cell r="K6031" t="str">
            <v>10.2012</v>
          </cell>
          <cell r="L6031">
            <v>6</v>
          </cell>
          <cell r="M6031" t="str">
            <v>EA</v>
          </cell>
          <cell r="N6031">
            <v>353.94999999999902</v>
          </cell>
          <cell r="O6031" t="str">
            <v>INR</v>
          </cell>
        </row>
        <row r="6032">
          <cell r="A6032" t="str">
            <v>L003 Ankleshwar</v>
          </cell>
          <cell r="B6032">
            <v>712129</v>
          </cell>
          <cell r="C6032" t="str">
            <v>WARNING PVC RIBON RED &amp; WHITE COLOUR: 4"</v>
          </cell>
          <cell r="D6032" t="str">
            <v>L0030151                       EnggStore</v>
          </cell>
          <cell r="E6032" t="str">
            <v>E42 E42</v>
          </cell>
          <cell r="F6032" t="str">
            <v>VB Manual reorder point planning</v>
          </cell>
          <cell r="G6032" t="str">
            <v>HIBE Operating supplies</v>
          </cell>
          <cell r="H6032" t="str">
            <v>EN014     Housekeeping</v>
          </cell>
          <cell r="I6032" t="str">
            <v>L003 Ankleshwar</v>
          </cell>
          <cell r="J6032" t="str">
            <v>99 Input/Byprodt/Scrap</v>
          </cell>
          <cell r="K6032" t="str">
            <v>10.2012</v>
          </cell>
          <cell r="L6032">
            <v>1620</v>
          </cell>
          <cell r="M6032" t="str">
            <v>M</v>
          </cell>
          <cell r="N6032">
            <v>1620</v>
          </cell>
          <cell r="O6032" t="str">
            <v>INR</v>
          </cell>
        </row>
        <row r="6033">
          <cell r="A6033" t="str">
            <v>L003 Ankleshwar</v>
          </cell>
          <cell r="B6033">
            <v>712131</v>
          </cell>
          <cell r="C6033" t="str">
            <v>NYLON BOTH SIDE PVC COATED TARPOLINE</v>
          </cell>
          <cell r="D6033" t="str">
            <v>L0030151                       EnggStore</v>
          </cell>
          <cell r="E6033">
            <v>0</v>
          </cell>
          <cell r="F6033" t="str">
            <v>ND No planning</v>
          </cell>
          <cell r="G6033" t="str">
            <v>HIBE Operating supplies</v>
          </cell>
          <cell r="H6033" t="str">
            <v>EN010     Fire&amp;safety</v>
          </cell>
          <cell r="I6033" t="str">
            <v>L003 Ankleshwar</v>
          </cell>
          <cell r="J6033" t="str">
            <v>99 Input/Byprodt/Scrap</v>
          </cell>
          <cell r="K6033" t="str">
            <v>10.2012</v>
          </cell>
          <cell r="L6033">
            <v>1</v>
          </cell>
          <cell r="M6033" t="str">
            <v>EA</v>
          </cell>
          <cell r="N6033">
            <v>9690</v>
          </cell>
          <cell r="O6033" t="str">
            <v>INR</v>
          </cell>
        </row>
        <row r="6034">
          <cell r="A6034" t="str">
            <v>L003 Ankleshwar</v>
          </cell>
          <cell r="B6034">
            <v>712135</v>
          </cell>
          <cell r="C6034" t="str">
            <v>GUM BOOT INDUSTRIAL HALF</v>
          </cell>
          <cell r="D6034" t="str">
            <v>L0030151                       EnggStore</v>
          </cell>
          <cell r="E6034">
            <v>0</v>
          </cell>
          <cell r="F6034" t="str">
            <v>ND No planning</v>
          </cell>
          <cell r="G6034" t="str">
            <v>HIBE Operating supplies</v>
          </cell>
          <cell r="H6034" t="str">
            <v>EN014     Housekeeping</v>
          </cell>
          <cell r="I6034" t="str">
            <v>L003 Ankleshwar</v>
          </cell>
          <cell r="J6034" t="str">
            <v>99 Input/Byprodt/Scrap</v>
          </cell>
          <cell r="K6034" t="str">
            <v>10.2012</v>
          </cell>
          <cell r="L6034">
            <v>15</v>
          </cell>
          <cell r="M6034" t="str">
            <v>PAA</v>
          </cell>
          <cell r="N6034">
            <v>6336</v>
          </cell>
          <cell r="O6034" t="str">
            <v>INR</v>
          </cell>
        </row>
        <row r="6035">
          <cell r="A6035" t="str">
            <v>L003 Ankleshwar</v>
          </cell>
          <cell r="B6035">
            <v>712171</v>
          </cell>
          <cell r="C6035" t="str">
            <v>GAS DETECTOR TUBE</v>
          </cell>
          <cell r="D6035" t="str">
            <v>L0030151                       EnggStore</v>
          </cell>
          <cell r="E6035">
            <v>0</v>
          </cell>
          <cell r="F6035" t="str">
            <v>ND No planning</v>
          </cell>
          <cell r="G6035" t="str">
            <v>HIBE Operating supplies</v>
          </cell>
          <cell r="H6035" t="str">
            <v>EN010     Fire&amp;safety</v>
          </cell>
          <cell r="I6035" t="str">
            <v>L003 Ankleshwar</v>
          </cell>
          <cell r="J6035" t="str">
            <v>99 Input/Byprodt/Scrap</v>
          </cell>
          <cell r="K6035" t="str">
            <v>10.2012</v>
          </cell>
          <cell r="L6035">
            <v>3</v>
          </cell>
          <cell r="M6035" t="str">
            <v>BOX</v>
          </cell>
          <cell r="N6035">
            <v>4242</v>
          </cell>
          <cell r="O6035" t="str">
            <v>INR</v>
          </cell>
        </row>
        <row r="6036">
          <cell r="A6036" t="str">
            <v>L003 Ankleshwar</v>
          </cell>
          <cell r="B6036">
            <v>712188</v>
          </cell>
          <cell r="C6036" t="str">
            <v>MINNCARE</v>
          </cell>
          <cell r="D6036" t="str">
            <v>L0030201                       Cons StoreKP</v>
          </cell>
          <cell r="E6036">
            <v>0</v>
          </cell>
          <cell r="F6036" t="str">
            <v>ND No planning</v>
          </cell>
          <cell r="G6036" t="str">
            <v>HIBE Operating supplies</v>
          </cell>
          <cell r="H6036" t="str">
            <v>EN027     Prod&amp;OtherConsumable</v>
          </cell>
          <cell r="I6036" t="str">
            <v>L003 Ankleshwar</v>
          </cell>
          <cell r="J6036" t="str">
            <v>99 Input/Byprodt/Scrap</v>
          </cell>
          <cell r="K6036" t="str">
            <v>10.2012</v>
          </cell>
          <cell r="L6036">
            <v>10</v>
          </cell>
          <cell r="M6036" t="str">
            <v>L</v>
          </cell>
          <cell r="N6036">
            <v>12440</v>
          </cell>
          <cell r="O6036" t="str">
            <v>INR</v>
          </cell>
        </row>
        <row r="6037">
          <cell r="A6037" t="str">
            <v>L003 Ankleshwar</v>
          </cell>
          <cell r="B6037">
            <v>712206</v>
          </cell>
          <cell r="C6037" t="str">
            <v>MINNCARE RESIDUAL TEST STRIPS: 100 PACK</v>
          </cell>
          <cell r="D6037" t="str">
            <v>L0030201                       Cons StoreKP</v>
          </cell>
          <cell r="E6037">
            <v>0</v>
          </cell>
          <cell r="F6037" t="str">
            <v>ND No planning</v>
          </cell>
          <cell r="G6037" t="str">
            <v>HIBE Operating supplies</v>
          </cell>
          <cell r="H6037" t="str">
            <v>EN027     Prod&amp;OtherConsumable</v>
          </cell>
          <cell r="I6037" t="str">
            <v>L003 Ankleshwar</v>
          </cell>
          <cell r="J6037" t="str">
            <v>99 Input/Byprodt/Scrap</v>
          </cell>
          <cell r="K6037" t="str">
            <v>10.2012</v>
          </cell>
          <cell r="L6037">
            <v>2</v>
          </cell>
          <cell r="M6037" t="str">
            <v>PAC</v>
          </cell>
          <cell r="N6037">
            <v>5998</v>
          </cell>
          <cell r="O6037" t="str">
            <v>INR</v>
          </cell>
        </row>
        <row r="6038">
          <cell r="A6038" t="str">
            <v>L003 Ankleshwar</v>
          </cell>
          <cell r="B6038">
            <v>712302</v>
          </cell>
          <cell r="C6038" t="str">
            <v>ANTISTATIC BAG 24"x42"x250 GAUGE</v>
          </cell>
          <cell r="D6038" t="str">
            <v>L0030151                       EnggStore</v>
          </cell>
          <cell r="E6038" t="str">
            <v>E42 E42</v>
          </cell>
          <cell r="F6038" t="str">
            <v>VB Manual reorder point planning</v>
          </cell>
          <cell r="G6038" t="str">
            <v>HIBE Operating supplies</v>
          </cell>
          <cell r="H6038" t="str">
            <v>EN027     Prod&amp;OtherConsumable</v>
          </cell>
          <cell r="I6038" t="str">
            <v>L003 Ankleshwar</v>
          </cell>
          <cell r="J6038" t="str">
            <v>99 Input/Byprodt/Scrap</v>
          </cell>
          <cell r="K6038" t="str">
            <v>10.2012</v>
          </cell>
          <cell r="L6038">
            <v>274.39999999999901</v>
          </cell>
          <cell r="M6038" t="str">
            <v>KG</v>
          </cell>
          <cell r="N6038">
            <v>28993.32</v>
          </cell>
          <cell r="O6038" t="str">
            <v>INR</v>
          </cell>
        </row>
        <row r="6039">
          <cell r="A6039" t="str">
            <v>L003 Ankleshwar</v>
          </cell>
          <cell r="B6039">
            <v>712346</v>
          </cell>
          <cell r="C6039" t="str">
            <v>PP-WOUND FILTER CARTRIDGE: 5MICRON 20" L</v>
          </cell>
          <cell r="D6039" t="str">
            <v>L0030201                       Cons StoreKP</v>
          </cell>
          <cell r="E6039" t="str">
            <v>E42 E42</v>
          </cell>
          <cell r="F6039" t="str">
            <v>VB Manual reorder point planning</v>
          </cell>
          <cell r="G6039" t="str">
            <v>HIBE Operating supplies</v>
          </cell>
          <cell r="H6039" t="str">
            <v>EN001     Filters Spares</v>
          </cell>
          <cell r="I6039" t="str">
            <v>L003 Ankleshwar</v>
          </cell>
          <cell r="J6039" t="str">
            <v>99 Input/Byprodt/Scrap</v>
          </cell>
          <cell r="K6039" t="str">
            <v>10.2012</v>
          </cell>
          <cell r="L6039">
            <v>21</v>
          </cell>
          <cell r="M6039" t="str">
            <v>EA</v>
          </cell>
          <cell r="N6039">
            <v>3570</v>
          </cell>
          <cell r="O6039" t="str">
            <v>INR</v>
          </cell>
        </row>
        <row r="6040">
          <cell r="A6040" t="str">
            <v>L003 Ankleshwar</v>
          </cell>
          <cell r="B6040">
            <v>712370</v>
          </cell>
          <cell r="C6040" t="str">
            <v>R5602A-SS SCREEN-OD: 970X200X40X40MM</v>
          </cell>
          <cell r="D6040" t="str">
            <v>L0030151                       EnggStore</v>
          </cell>
          <cell r="E6040" t="str">
            <v>E42 E42</v>
          </cell>
          <cell r="F6040" t="str">
            <v>VB Manual reorder point planning</v>
          </cell>
          <cell r="G6040" t="str">
            <v>HIBE Operating supplies</v>
          </cell>
          <cell r="H6040" t="str">
            <v>EN001     Filters Spares</v>
          </cell>
          <cell r="I6040" t="str">
            <v>L003 Ankleshwar</v>
          </cell>
          <cell r="J6040" t="str">
            <v>99 Input/Byprodt/Scrap</v>
          </cell>
          <cell r="K6040" t="str">
            <v>10.2012</v>
          </cell>
          <cell r="L6040">
            <v>3</v>
          </cell>
          <cell r="M6040" t="str">
            <v>EA</v>
          </cell>
          <cell r="N6040">
            <v>17491.869999999901</v>
          </cell>
          <cell r="O6040" t="str">
            <v>INR</v>
          </cell>
        </row>
        <row r="6041">
          <cell r="A6041" t="str">
            <v>L003 Ankleshwar</v>
          </cell>
          <cell r="B6041">
            <v>712371</v>
          </cell>
          <cell r="C6041" t="str">
            <v>R5602B-SS SCREEN OD: 715X200X40X40MM</v>
          </cell>
          <cell r="D6041" t="str">
            <v>L0030151                       EnggStore</v>
          </cell>
          <cell r="E6041" t="str">
            <v>E42 E42</v>
          </cell>
          <cell r="F6041" t="str">
            <v>VB Manual reorder point planning</v>
          </cell>
          <cell r="G6041" t="str">
            <v>HIBE Operating supplies</v>
          </cell>
          <cell r="H6041" t="str">
            <v>EN001     Filters Spares</v>
          </cell>
          <cell r="I6041" t="str">
            <v>L003 Ankleshwar</v>
          </cell>
          <cell r="J6041" t="str">
            <v>99 Input/Byprodt/Scrap</v>
          </cell>
          <cell r="K6041" t="str">
            <v>10.2012</v>
          </cell>
          <cell r="L6041">
            <v>2</v>
          </cell>
          <cell r="M6041" t="str">
            <v>EA</v>
          </cell>
          <cell r="N6041">
            <v>11305</v>
          </cell>
          <cell r="O6041" t="str">
            <v>INR</v>
          </cell>
        </row>
        <row r="6042">
          <cell r="A6042" t="str">
            <v>L003 Ankleshwar</v>
          </cell>
          <cell r="B6042">
            <v>712372</v>
          </cell>
          <cell r="C6042" t="str">
            <v>R5602C/F-SS SCREEN OD: 1165X200X40X40MM</v>
          </cell>
          <cell r="D6042" t="str">
            <v>L0030151                       EnggStore</v>
          </cell>
          <cell r="E6042" t="str">
            <v>E42 E42</v>
          </cell>
          <cell r="F6042" t="str">
            <v>VB Manual reorder point planning</v>
          </cell>
          <cell r="G6042" t="str">
            <v>HIBE Operating supplies</v>
          </cell>
          <cell r="H6042" t="str">
            <v>EN001     Filters Spares</v>
          </cell>
          <cell r="I6042" t="str">
            <v>L003 Ankleshwar</v>
          </cell>
          <cell r="J6042" t="str">
            <v>99 Input/Byprodt/Scrap</v>
          </cell>
          <cell r="K6042" t="str">
            <v>10.2012</v>
          </cell>
          <cell r="L6042">
            <v>1</v>
          </cell>
          <cell r="M6042" t="str">
            <v>EA</v>
          </cell>
          <cell r="N6042">
            <v>7600</v>
          </cell>
          <cell r="O6042" t="str">
            <v>INR</v>
          </cell>
        </row>
        <row r="6043">
          <cell r="A6043" t="str">
            <v>L003 Ankleshwar</v>
          </cell>
          <cell r="B6043">
            <v>712373</v>
          </cell>
          <cell r="C6043" t="str">
            <v>R5602D/E-SS SCREEN OD: 735X200X40X40MM</v>
          </cell>
          <cell r="D6043" t="str">
            <v>L0030151                       EnggStore</v>
          </cell>
          <cell r="E6043" t="str">
            <v>E42 E42</v>
          </cell>
          <cell r="F6043" t="str">
            <v>VB Manual reorder point planning</v>
          </cell>
          <cell r="G6043" t="str">
            <v>HIBE Operating supplies</v>
          </cell>
          <cell r="H6043" t="str">
            <v>EN001     Filters Spares</v>
          </cell>
          <cell r="I6043" t="str">
            <v>L003 Ankleshwar</v>
          </cell>
          <cell r="J6043" t="str">
            <v>99 Input/Byprodt/Scrap</v>
          </cell>
          <cell r="K6043" t="str">
            <v>10.2012</v>
          </cell>
          <cell r="L6043">
            <v>3</v>
          </cell>
          <cell r="M6043" t="str">
            <v>EA</v>
          </cell>
          <cell r="N6043">
            <v>14250</v>
          </cell>
          <cell r="O6043" t="str">
            <v>INR</v>
          </cell>
        </row>
        <row r="6044">
          <cell r="A6044" t="str">
            <v>L003 Ankleshwar</v>
          </cell>
          <cell r="B6044">
            <v>712421</v>
          </cell>
          <cell r="C6044" t="str">
            <v>TOUGH BASE SUPER POMMER BLUE COLOUR</v>
          </cell>
          <cell r="D6044" t="str">
            <v>L0030151                       EnggStore</v>
          </cell>
          <cell r="E6044" t="str">
            <v>E42 E42</v>
          </cell>
          <cell r="F6044" t="str">
            <v>VB Manual reorder point planning</v>
          </cell>
          <cell r="G6044" t="str">
            <v>HIBE Operating supplies</v>
          </cell>
          <cell r="H6044" t="str">
            <v>EN010     Fire&amp;safety</v>
          </cell>
          <cell r="I6044" t="str">
            <v>L003 Ankleshwar</v>
          </cell>
          <cell r="J6044" t="str">
            <v>99 Input/Byprodt/Scrap</v>
          </cell>
          <cell r="K6044" t="str">
            <v>10.2012</v>
          </cell>
          <cell r="L6044">
            <v>34</v>
          </cell>
          <cell r="M6044" t="str">
            <v>EA</v>
          </cell>
          <cell r="N6044">
            <v>10166</v>
          </cell>
          <cell r="O6044" t="str">
            <v>INR</v>
          </cell>
        </row>
        <row r="6045">
          <cell r="A6045" t="str">
            <v>L003 Ankleshwar</v>
          </cell>
          <cell r="B6045">
            <v>712423</v>
          </cell>
          <cell r="C6045" t="str">
            <v>MEMBRANE PP FILTER: 8"X40"L"</v>
          </cell>
          <cell r="D6045" t="str">
            <v>L0030201                       Cons StoreKP</v>
          </cell>
          <cell r="E6045" t="str">
            <v>E01 E01</v>
          </cell>
          <cell r="F6045" t="str">
            <v>VB Manual reorder point planning</v>
          </cell>
          <cell r="G6045" t="str">
            <v>HIBE Operating supplies</v>
          </cell>
          <cell r="H6045" t="str">
            <v>EN001     Filters Spares</v>
          </cell>
          <cell r="I6045" t="str">
            <v>L003 Ankleshwar</v>
          </cell>
          <cell r="J6045" t="str">
            <v>99 Input/Byprodt/Scrap</v>
          </cell>
          <cell r="K6045" t="str">
            <v>10.2012</v>
          </cell>
          <cell r="L6045">
            <v>1</v>
          </cell>
          <cell r="M6045" t="str">
            <v>EA</v>
          </cell>
          <cell r="N6045">
            <v>38485.660000000003</v>
          </cell>
          <cell r="O6045" t="str">
            <v>INR</v>
          </cell>
        </row>
        <row r="6046">
          <cell r="A6046" t="str">
            <v>L003 Ankleshwar</v>
          </cell>
          <cell r="B6046">
            <v>712424</v>
          </cell>
          <cell r="C6046" t="str">
            <v>MEMBRANE NENO FILTER: 8"X40"L</v>
          </cell>
          <cell r="D6046" t="str">
            <v>L0030201                       Cons StoreKP</v>
          </cell>
          <cell r="E6046" t="str">
            <v>E01 E01</v>
          </cell>
          <cell r="F6046" t="str">
            <v>VB Manual reorder point planning</v>
          </cell>
          <cell r="G6046" t="str">
            <v>HIBE Operating supplies</v>
          </cell>
          <cell r="H6046" t="str">
            <v>EN001     Filters Spares</v>
          </cell>
          <cell r="I6046" t="str">
            <v>L003 Ankleshwar</v>
          </cell>
          <cell r="J6046" t="str">
            <v>99 Input/Byprodt/Scrap</v>
          </cell>
          <cell r="K6046" t="str">
            <v>10.2012</v>
          </cell>
          <cell r="L6046">
            <v>5</v>
          </cell>
          <cell r="M6046" t="str">
            <v>EA</v>
          </cell>
          <cell r="N6046">
            <v>408750</v>
          </cell>
          <cell r="O6046" t="str">
            <v>INR</v>
          </cell>
        </row>
        <row r="6047">
          <cell r="A6047" t="str">
            <v>L003 Ankleshwar</v>
          </cell>
          <cell r="B6047">
            <v>712434</v>
          </cell>
          <cell r="C6047" t="str">
            <v>PLASTIC SHEET 46X26X400G SINGLE FOLD</v>
          </cell>
          <cell r="D6047" t="str">
            <v>L0030151                       EnggStore</v>
          </cell>
          <cell r="E6047" t="str">
            <v>E01 E01</v>
          </cell>
          <cell r="F6047" t="str">
            <v>ND No planning</v>
          </cell>
          <cell r="G6047" t="str">
            <v>HIBE Operating supplies</v>
          </cell>
          <cell r="H6047" t="str">
            <v>EN027     Prod&amp;OtherConsumable</v>
          </cell>
          <cell r="I6047" t="str">
            <v>L003 Ankleshwar</v>
          </cell>
          <cell r="J6047" t="str">
            <v>99 Input/Byprodt/Scrap</v>
          </cell>
          <cell r="K6047" t="str">
            <v>10.2012</v>
          </cell>
          <cell r="L6047">
            <v>120</v>
          </cell>
          <cell r="M6047" t="str">
            <v>KG</v>
          </cell>
          <cell r="N6047">
            <v>11400</v>
          </cell>
          <cell r="O6047" t="str">
            <v>INR</v>
          </cell>
        </row>
        <row r="6048">
          <cell r="A6048" t="str">
            <v>L003 Ankleshwar</v>
          </cell>
          <cell r="B6048">
            <v>712591</v>
          </cell>
          <cell r="C6048" t="str">
            <v>RUBBER HOSE PIPE-SS WIRE BRAIDED: 1"</v>
          </cell>
          <cell r="D6048" t="str">
            <v>L0030151                       EnggStore</v>
          </cell>
          <cell r="E6048">
            <v>0</v>
          </cell>
          <cell r="F6048" t="str">
            <v>ND No planning</v>
          </cell>
          <cell r="G6048" t="str">
            <v>HIBE Operating supplies</v>
          </cell>
          <cell r="H6048" t="str">
            <v>EN028     Pipes&amp;pipefittings</v>
          </cell>
          <cell r="I6048" t="str">
            <v>L003 Ankleshwar</v>
          </cell>
          <cell r="J6048" t="str">
            <v>99 Input/Byprodt/Scrap</v>
          </cell>
          <cell r="K6048" t="str">
            <v>10.2012</v>
          </cell>
          <cell r="L6048">
            <v>3</v>
          </cell>
          <cell r="M6048" t="str">
            <v>M</v>
          </cell>
          <cell r="N6048">
            <v>4492.8</v>
          </cell>
          <cell r="O6048" t="str">
            <v>INR</v>
          </cell>
        </row>
        <row r="6049">
          <cell r="A6049" t="str">
            <v>L003 Ankleshwar</v>
          </cell>
          <cell r="B6049">
            <v>712868</v>
          </cell>
          <cell r="C6049" t="str">
            <v>GOWN-POLYESTER FOR PROCESSING AREA</v>
          </cell>
          <cell r="D6049" t="str">
            <v>L0030151                       EnggStore</v>
          </cell>
          <cell r="E6049">
            <v>0</v>
          </cell>
          <cell r="F6049" t="str">
            <v>ND No planning</v>
          </cell>
          <cell r="G6049" t="str">
            <v>HIBE Operating supplies</v>
          </cell>
          <cell r="H6049" t="str">
            <v>EN027     Prod&amp;OtherConsumable</v>
          </cell>
          <cell r="I6049" t="str">
            <v>L003 Ankleshwar</v>
          </cell>
          <cell r="J6049" t="str">
            <v>99 Input/Byprodt/Scrap</v>
          </cell>
          <cell r="K6049" t="str">
            <v>10.2012</v>
          </cell>
          <cell r="L6049">
            <v>8</v>
          </cell>
          <cell r="M6049" t="str">
            <v>SET</v>
          </cell>
          <cell r="N6049">
            <v>2960</v>
          </cell>
          <cell r="O6049" t="str">
            <v>INR</v>
          </cell>
        </row>
        <row r="6050">
          <cell r="A6050" t="str">
            <v>L003 Ankleshwar</v>
          </cell>
          <cell r="B6050">
            <v>712872</v>
          </cell>
          <cell r="C6050" t="str">
            <v>SS-SIFTER SIEVE 100 MESH: 48"</v>
          </cell>
          <cell r="D6050" t="str">
            <v>L0030151                       EnggStore</v>
          </cell>
          <cell r="E6050" t="str">
            <v>E42 E42</v>
          </cell>
          <cell r="F6050" t="str">
            <v>VB Manual reorder point planning</v>
          </cell>
          <cell r="G6050" t="str">
            <v>HIBE Operating supplies</v>
          </cell>
          <cell r="H6050" t="str">
            <v>EN039     PlantEquipmentSpares</v>
          </cell>
          <cell r="I6050" t="str">
            <v>L003 Ankleshwar</v>
          </cell>
          <cell r="J6050" t="str">
            <v>99 Input/Byprodt/Scrap</v>
          </cell>
          <cell r="K6050" t="str">
            <v>10.2012</v>
          </cell>
          <cell r="L6050">
            <v>4</v>
          </cell>
          <cell r="M6050" t="str">
            <v>EA</v>
          </cell>
          <cell r="N6050">
            <v>45172.800000000003</v>
          </cell>
          <cell r="O6050" t="str">
            <v>INR</v>
          </cell>
        </row>
        <row r="6051">
          <cell r="A6051" t="str">
            <v>L003 Ankleshwar</v>
          </cell>
          <cell r="B6051">
            <v>712970</v>
          </cell>
          <cell r="C6051" t="str">
            <v>BUFFER SOLUTION-PH7: 500ML PACK</v>
          </cell>
          <cell r="D6051" t="str">
            <v>L0030151                       EnggStore</v>
          </cell>
          <cell r="E6051" t="str">
            <v>E42 E42</v>
          </cell>
          <cell r="F6051" t="str">
            <v>VB Manual reorder point planning</v>
          </cell>
          <cell r="G6051" t="str">
            <v>HIBE Operating supplies</v>
          </cell>
          <cell r="H6051" t="str">
            <v>EN034     LabConsumables</v>
          </cell>
          <cell r="I6051" t="str">
            <v>L003 Ankleshwar</v>
          </cell>
          <cell r="J6051" t="str">
            <v>99 Input/Byprodt/Scrap</v>
          </cell>
          <cell r="K6051" t="str">
            <v>10.2012</v>
          </cell>
          <cell r="L6051">
            <v>1</v>
          </cell>
          <cell r="M6051" t="str">
            <v>PAC</v>
          </cell>
          <cell r="N6051">
            <v>4713.68</v>
          </cell>
          <cell r="O6051" t="str">
            <v>INR</v>
          </cell>
        </row>
        <row r="6052">
          <cell r="A6052" t="str">
            <v>L003 Ankleshwar</v>
          </cell>
          <cell r="B6052">
            <v>712981</v>
          </cell>
          <cell r="C6052" t="str">
            <v>BUFFER SOLUTION-PH9: 500ML PACK</v>
          </cell>
          <cell r="D6052" t="str">
            <v>L0030151                       EnggStore</v>
          </cell>
          <cell r="E6052" t="str">
            <v>E42 E42</v>
          </cell>
          <cell r="F6052" t="str">
            <v>VB Manual reorder point planning</v>
          </cell>
          <cell r="G6052" t="str">
            <v>HIBE Operating supplies</v>
          </cell>
          <cell r="H6052" t="str">
            <v>EN034     LabConsumables</v>
          </cell>
          <cell r="I6052" t="str">
            <v>L003 Ankleshwar</v>
          </cell>
          <cell r="J6052" t="str">
            <v>99 Input/Byprodt/Scrap</v>
          </cell>
          <cell r="K6052" t="str">
            <v>10.2012</v>
          </cell>
          <cell r="L6052">
            <v>1.8680000000000001</v>
          </cell>
          <cell r="M6052" t="str">
            <v>PAC</v>
          </cell>
          <cell r="N6052">
            <v>7344.3299999999899</v>
          </cell>
          <cell r="O6052" t="str">
            <v>INR</v>
          </cell>
        </row>
        <row r="6053">
          <cell r="A6053" t="str">
            <v>L003 Ankleshwar</v>
          </cell>
          <cell r="B6053">
            <v>712992</v>
          </cell>
          <cell r="C6053" t="str">
            <v>LESLICO HELMET - MODEL: 2001 HDP- YELLOW</v>
          </cell>
          <cell r="D6053" t="str">
            <v>L0030151                       EnggStore</v>
          </cell>
          <cell r="E6053" t="str">
            <v>E01 E01</v>
          </cell>
          <cell r="F6053" t="str">
            <v>VB Manual reorder point planning</v>
          </cell>
          <cell r="G6053" t="str">
            <v>HIBE Operating supplies</v>
          </cell>
          <cell r="H6053" t="str">
            <v>EN010     Fire&amp;safety</v>
          </cell>
          <cell r="I6053" t="str">
            <v>L003 Ankleshwar</v>
          </cell>
          <cell r="J6053" t="str">
            <v>99 Input/Byprodt/Scrap</v>
          </cell>
          <cell r="K6053" t="str">
            <v>10.2012</v>
          </cell>
          <cell r="L6053">
            <v>50</v>
          </cell>
          <cell r="M6053" t="str">
            <v>EA</v>
          </cell>
          <cell r="N6053">
            <v>8750</v>
          </cell>
          <cell r="O6053" t="str">
            <v>INR</v>
          </cell>
        </row>
        <row r="6054">
          <cell r="A6054" t="str">
            <v>L003 Ankleshwar</v>
          </cell>
          <cell r="B6054">
            <v>712992</v>
          </cell>
          <cell r="C6054" t="str">
            <v>LESLICO HELMET - MODEL: 2001 HDP- YELLOW</v>
          </cell>
          <cell r="D6054" t="str">
            <v>L0030201                       Cons StoreKP</v>
          </cell>
          <cell r="E6054" t="str">
            <v>E01 E01</v>
          </cell>
          <cell r="F6054" t="str">
            <v>VB Manual reorder point planning</v>
          </cell>
          <cell r="G6054" t="str">
            <v>HIBE Operating supplies</v>
          </cell>
          <cell r="H6054" t="str">
            <v>EN010     Fire&amp;safety</v>
          </cell>
          <cell r="I6054" t="str">
            <v>L003 Ankleshwar</v>
          </cell>
          <cell r="J6054" t="str">
            <v>99 Input/Byprodt/Scrap</v>
          </cell>
          <cell r="K6054" t="str">
            <v>10.2012</v>
          </cell>
          <cell r="L6054">
            <v>34</v>
          </cell>
          <cell r="M6054" t="str">
            <v>EA</v>
          </cell>
          <cell r="N6054">
            <v>5950</v>
          </cell>
          <cell r="O6054" t="str">
            <v>INR</v>
          </cell>
        </row>
        <row r="6055">
          <cell r="A6055" t="str">
            <v>L003 Ankleshwar</v>
          </cell>
          <cell r="B6055">
            <v>713010</v>
          </cell>
          <cell r="C6055" t="str">
            <v>PP-WOUND FILT CARTRI:5MIC 20"L WITH CAP</v>
          </cell>
          <cell r="D6055" t="str">
            <v>L0030151                       EnggStore</v>
          </cell>
          <cell r="E6055" t="str">
            <v>E01 E01</v>
          </cell>
          <cell r="F6055" t="str">
            <v>VB Manual reorder point planning</v>
          </cell>
          <cell r="G6055" t="str">
            <v>HIBE Operating supplies</v>
          </cell>
          <cell r="H6055" t="str">
            <v>EN001     Filters Spares</v>
          </cell>
          <cell r="I6055" t="str">
            <v>L003 Ankleshwar</v>
          </cell>
          <cell r="J6055" t="str">
            <v>99 Input/Byprodt/Scrap</v>
          </cell>
          <cell r="K6055" t="str">
            <v>10.2012</v>
          </cell>
          <cell r="L6055">
            <v>2</v>
          </cell>
          <cell r="M6055" t="str">
            <v>EA</v>
          </cell>
          <cell r="N6055">
            <v>447.54</v>
          </cell>
          <cell r="O6055" t="str">
            <v>INR</v>
          </cell>
        </row>
        <row r="6056">
          <cell r="A6056" t="str">
            <v>L003 Ankleshwar</v>
          </cell>
          <cell r="B6056">
            <v>713148</v>
          </cell>
          <cell r="C6056" t="str">
            <v>RUBBER WIRE BRAIDED HOSE PIPE: 1"</v>
          </cell>
          <cell r="D6056" t="str">
            <v>L0030151                       EnggStore</v>
          </cell>
          <cell r="E6056">
            <v>0</v>
          </cell>
          <cell r="F6056" t="str">
            <v>ND No planning</v>
          </cell>
          <cell r="G6056" t="str">
            <v>HIBE Operating supplies</v>
          </cell>
          <cell r="H6056" t="str">
            <v>EN027     Prod&amp;OtherConsumable</v>
          </cell>
          <cell r="I6056" t="str">
            <v>L003 Ankleshwar</v>
          </cell>
          <cell r="J6056" t="str">
            <v>99 Input/Byprodt/Scrap</v>
          </cell>
          <cell r="K6056" t="str">
            <v>10.2012</v>
          </cell>
          <cell r="L6056">
            <v>3</v>
          </cell>
          <cell r="M6056" t="str">
            <v>EA</v>
          </cell>
          <cell r="N6056">
            <v>6264</v>
          </cell>
          <cell r="O6056" t="str">
            <v>INR</v>
          </cell>
        </row>
        <row r="6057">
          <cell r="A6057" t="str">
            <v>L003 Ankleshwar</v>
          </cell>
          <cell r="B6057">
            <v>713246</v>
          </cell>
          <cell r="C6057" t="str">
            <v>PLASTIC FUNNEL: 8"</v>
          </cell>
          <cell r="D6057" t="str">
            <v>L0030151                       EnggStore</v>
          </cell>
          <cell r="E6057" t="str">
            <v>E42 E42</v>
          </cell>
          <cell r="F6057" t="str">
            <v>VB Manual reorder point planning</v>
          </cell>
          <cell r="G6057" t="str">
            <v>HIBE Operating supplies</v>
          </cell>
          <cell r="H6057" t="str">
            <v>EN014     Housekeeping</v>
          </cell>
          <cell r="I6057" t="str">
            <v>L003 Ankleshwar</v>
          </cell>
          <cell r="J6057" t="str">
            <v>99 Input/Byprodt/Scrap</v>
          </cell>
          <cell r="K6057" t="str">
            <v>10.2012</v>
          </cell>
          <cell r="L6057">
            <v>2</v>
          </cell>
          <cell r="M6057" t="str">
            <v>EA</v>
          </cell>
          <cell r="N6057">
            <v>37.799999999999898</v>
          </cell>
          <cell r="O6057" t="str">
            <v>INR</v>
          </cell>
        </row>
        <row r="6058">
          <cell r="A6058" t="str">
            <v>L003 Ankleshwar</v>
          </cell>
          <cell r="B6058">
            <v>713246</v>
          </cell>
          <cell r="C6058" t="str">
            <v>PLASTIC FUNNEL: 8"</v>
          </cell>
          <cell r="D6058" t="str">
            <v>L0030201                       Cons StoreKP</v>
          </cell>
          <cell r="E6058" t="str">
            <v>E42 E42</v>
          </cell>
          <cell r="F6058" t="str">
            <v>VB Manual reorder point planning</v>
          </cell>
          <cell r="G6058" t="str">
            <v>HIBE Operating supplies</v>
          </cell>
          <cell r="H6058" t="str">
            <v>EN014     Housekeeping</v>
          </cell>
          <cell r="I6058" t="str">
            <v>L003 Ankleshwar</v>
          </cell>
          <cell r="J6058" t="str">
            <v>99 Input/Byprodt/Scrap</v>
          </cell>
          <cell r="K6058" t="str">
            <v>10.2012</v>
          </cell>
          <cell r="L6058">
            <v>6</v>
          </cell>
          <cell r="M6058" t="str">
            <v>EA</v>
          </cell>
          <cell r="N6058">
            <v>113.4</v>
          </cell>
          <cell r="O6058" t="str">
            <v>INR</v>
          </cell>
        </row>
        <row r="6059">
          <cell r="A6059" t="str">
            <v>L003 Ankleshwar</v>
          </cell>
          <cell r="B6059">
            <v>713398</v>
          </cell>
          <cell r="C6059" t="str">
            <v>SPARK ARRESTER-MUFFLER: 4"</v>
          </cell>
          <cell r="D6059" t="str">
            <v>L0030151                       EnggStore</v>
          </cell>
          <cell r="E6059">
            <v>0</v>
          </cell>
          <cell r="F6059" t="str">
            <v>ND No planning</v>
          </cell>
          <cell r="G6059" t="str">
            <v>HIBE Operating supplies</v>
          </cell>
          <cell r="H6059" t="str">
            <v>EN010     Fire&amp;safety</v>
          </cell>
          <cell r="I6059" t="str">
            <v>L003 Ankleshwar</v>
          </cell>
          <cell r="J6059" t="str">
            <v>99 Input/Byprodt/Scrap</v>
          </cell>
          <cell r="K6059" t="str">
            <v>10.2012</v>
          </cell>
          <cell r="L6059">
            <v>8</v>
          </cell>
          <cell r="M6059" t="str">
            <v>EA</v>
          </cell>
          <cell r="N6059">
            <v>5000</v>
          </cell>
          <cell r="O6059" t="str">
            <v>INR</v>
          </cell>
        </row>
        <row r="6060">
          <cell r="A6060" t="str">
            <v>L003 Ankleshwar</v>
          </cell>
          <cell r="B6060">
            <v>713426</v>
          </cell>
          <cell r="C6060" t="str">
            <v>WIND INDICATOR CLOTH FLOROCENT: 6 FEET</v>
          </cell>
          <cell r="D6060" t="str">
            <v>L0030151                       EnggStore</v>
          </cell>
          <cell r="E6060" t="str">
            <v>E01 E01</v>
          </cell>
          <cell r="F6060" t="str">
            <v>VB Manual reorder point planning</v>
          </cell>
          <cell r="G6060" t="str">
            <v>HIBE Operating supplies</v>
          </cell>
          <cell r="H6060" t="str">
            <v>EN014     Housekeeping</v>
          </cell>
          <cell r="I6060" t="str">
            <v>L003 Ankleshwar</v>
          </cell>
          <cell r="J6060" t="str">
            <v>99 Input/Byprodt/Scrap</v>
          </cell>
          <cell r="K6060" t="str">
            <v>10.2012</v>
          </cell>
          <cell r="L6060">
            <v>9</v>
          </cell>
          <cell r="M6060" t="str">
            <v>EA</v>
          </cell>
          <cell r="N6060">
            <v>3890.25</v>
          </cell>
          <cell r="O6060" t="str">
            <v>INR</v>
          </cell>
        </row>
        <row r="6061">
          <cell r="A6061" t="str">
            <v>L003 Ankleshwar</v>
          </cell>
          <cell r="B6061">
            <v>713433</v>
          </cell>
          <cell r="C6061" t="str">
            <v>SK-819 BHS BAG FILTER: 7"X31"X2"</v>
          </cell>
          <cell r="D6061" t="str">
            <v>L0030201                       Cons StoreKP</v>
          </cell>
          <cell r="E6061" t="str">
            <v>E01 E01</v>
          </cell>
          <cell r="F6061" t="str">
            <v>VB Manual reorder point planning</v>
          </cell>
          <cell r="G6061" t="str">
            <v>HIBE Operating supplies</v>
          </cell>
          <cell r="H6061" t="str">
            <v>EN027     Prod&amp;OtherConsumable</v>
          </cell>
          <cell r="I6061" t="str">
            <v>L003 Ankleshwar</v>
          </cell>
          <cell r="J6061" t="str">
            <v>99 Input/Byprodt/Scrap</v>
          </cell>
          <cell r="K6061" t="str">
            <v>10.2012</v>
          </cell>
          <cell r="L6061">
            <v>1</v>
          </cell>
          <cell r="M6061" t="str">
            <v>EA</v>
          </cell>
          <cell r="N6061">
            <v>231</v>
          </cell>
          <cell r="O6061" t="str">
            <v>INR</v>
          </cell>
        </row>
        <row r="6062">
          <cell r="A6062" t="str">
            <v>L003 Ankleshwar</v>
          </cell>
          <cell r="B6062">
            <v>713434</v>
          </cell>
          <cell r="C6062" t="str">
            <v>SK-804 FILTER BAG WITH ELASTIC:7"X18"X2"</v>
          </cell>
          <cell r="D6062" t="str">
            <v>L0030201                       Cons StoreKP</v>
          </cell>
          <cell r="E6062" t="str">
            <v>E42 E42</v>
          </cell>
          <cell r="F6062" t="str">
            <v>VB Manual reorder point planning</v>
          </cell>
          <cell r="G6062" t="str">
            <v>HIBE Operating supplies</v>
          </cell>
          <cell r="H6062" t="str">
            <v>EN027     Prod&amp;OtherConsumable</v>
          </cell>
          <cell r="I6062" t="str">
            <v>L003 Ankleshwar</v>
          </cell>
          <cell r="J6062" t="str">
            <v>99 Input/Byprodt/Scrap</v>
          </cell>
          <cell r="K6062" t="str">
            <v>10.2012</v>
          </cell>
          <cell r="L6062">
            <v>2</v>
          </cell>
          <cell r="M6062" t="str">
            <v>EA</v>
          </cell>
          <cell r="N6062">
            <v>365.19999999999902</v>
          </cell>
          <cell r="O6062" t="str">
            <v>INR</v>
          </cell>
        </row>
        <row r="6063">
          <cell r="A6063" t="str">
            <v>L003 Ankleshwar</v>
          </cell>
          <cell r="B6063">
            <v>713436</v>
          </cell>
          <cell r="C6063" t="str">
            <v>HDPE FILT BAG 80 MESHSS RING:6.5"X31"X1"</v>
          </cell>
          <cell r="D6063" t="str">
            <v>L0030151                       EnggStore</v>
          </cell>
          <cell r="E6063" t="str">
            <v>E01 E01</v>
          </cell>
          <cell r="F6063" t="str">
            <v>VB Manual reorder point planning</v>
          </cell>
          <cell r="G6063" t="str">
            <v>HIBE Operating supplies</v>
          </cell>
          <cell r="H6063" t="str">
            <v>EN027     Prod&amp;OtherConsumable</v>
          </cell>
          <cell r="I6063" t="str">
            <v>L003 Ankleshwar</v>
          </cell>
          <cell r="J6063" t="str">
            <v>99 Input/Byprodt/Scrap</v>
          </cell>
          <cell r="K6063" t="str">
            <v>10.2012</v>
          </cell>
          <cell r="L6063">
            <v>4</v>
          </cell>
          <cell r="M6063" t="str">
            <v>EA</v>
          </cell>
          <cell r="N6063">
            <v>791.78999999999905</v>
          </cell>
          <cell r="O6063" t="str">
            <v>INR</v>
          </cell>
        </row>
        <row r="6064">
          <cell r="A6064" t="str">
            <v>L003 Ankleshwar</v>
          </cell>
          <cell r="B6064">
            <v>713536</v>
          </cell>
          <cell r="C6064" t="str">
            <v>D-1100 FILTER PAD: 21"X2-½" HOLE DIA</v>
          </cell>
          <cell r="D6064" t="str">
            <v>L0030201                       Cons StoreKP</v>
          </cell>
          <cell r="E6064" t="str">
            <v>E01 E01</v>
          </cell>
          <cell r="F6064" t="str">
            <v>VB Manual reorder point planning</v>
          </cell>
          <cell r="G6064" t="str">
            <v>HIBE Operating supplies</v>
          </cell>
          <cell r="H6064" t="str">
            <v>EN027     Prod&amp;OtherConsumable</v>
          </cell>
          <cell r="I6064" t="str">
            <v>L003 Ankleshwar</v>
          </cell>
          <cell r="J6064" t="str">
            <v>99 Input/Byprodt/Scrap</v>
          </cell>
          <cell r="K6064" t="str">
            <v>10.2012</v>
          </cell>
          <cell r="L6064">
            <v>25</v>
          </cell>
          <cell r="M6064" t="str">
            <v>EA</v>
          </cell>
          <cell r="N6064">
            <v>1375</v>
          </cell>
          <cell r="O6064" t="str">
            <v>INR</v>
          </cell>
        </row>
        <row r="6065">
          <cell r="A6065" t="str">
            <v>L003 Ankleshwar</v>
          </cell>
          <cell r="B6065">
            <v>713554</v>
          </cell>
          <cell r="C6065" t="str">
            <v>COTTON HEAD CAPS</v>
          </cell>
          <cell r="D6065" t="str">
            <v>L0030151                       EnggStore</v>
          </cell>
          <cell r="E6065">
            <v>0</v>
          </cell>
          <cell r="F6065" t="str">
            <v>ND No planning</v>
          </cell>
          <cell r="G6065" t="str">
            <v>HIBE Operating supplies</v>
          </cell>
          <cell r="H6065" t="str">
            <v>EN034     LabConsumables</v>
          </cell>
          <cell r="I6065" t="str">
            <v>L003 Ankleshwar</v>
          </cell>
          <cell r="J6065" t="str">
            <v>99 Input/Byprodt/Scrap</v>
          </cell>
          <cell r="K6065" t="str">
            <v>10.2012</v>
          </cell>
          <cell r="L6065">
            <v>70</v>
          </cell>
          <cell r="M6065" t="str">
            <v>EA</v>
          </cell>
          <cell r="N6065">
            <v>2800</v>
          </cell>
          <cell r="O6065" t="str">
            <v>INR</v>
          </cell>
        </row>
        <row r="6066">
          <cell r="A6066" t="str">
            <v>L003 Ankleshwar</v>
          </cell>
          <cell r="B6066">
            <v>713672</v>
          </cell>
          <cell r="C6066" t="str">
            <v>FILTER CARTRIDGE 5 MIC-SSI: 23"X5.5"P</v>
          </cell>
          <cell r="D6066" t="str">
            <v>L0030151                       EnggStore</v>
          </cell>
          <cell r="E6066" t="str">
            <v>E01 E01</v>
          </cell>
          <cell r="F6066" t="str">
            <v>VB Manual reorder point planning</v>
          </cell>
          <cell r="G6066" t="str">
            <v>HIBE Operating supplies</v>
          </cell>
          <cell r="H6066" t="str">
            <v>EN027     Prod&amp;OtherConsumable</v>
          </cell>
          <cell r="I6066" t="str">
            <v>L003 Ankleshwar</v>
          </cell>
          <cell r="J6066" t="str">
            <v>99 Input/Byprodt/Scrap</v>
          </cell>
          <cell r="K6066" t="str">
            <v>10.2012</v>
          </cell>
          <cell r="L6066">
            <v>1</v>
          </cell>
          <cell r="M6066" t="str">
            <v>EA</v>
          </cell>
          <cell r="N6066">
            <v>6604.5</v>
          </cell>
          <cell r="O6066" t="str">
            <v>INR</v>
          </cell>
        </row>
        <row r="6067">
          <cell r="A6067" t="str">
            <v>L003 Ankleshwar</v>
          </cell>
          <cell r="B6067">
            <v>713880</v>
          </cell>
          <cell r="C6067" t="str">
            <v>COTTON BAG-25KGS: 24" X 42"</v>
          </cell>
          <cell r="D6067" t="str">
            <v>L0030151                       EnggStore</v>
          </cell>
          <cell r="E6067" t="str">
            <v>E01 E01</v>
          </cell>
          <cell r="F6067" t="str">
            <v>VB Manual reorder point planning</v>
          </cell>
          <cell r="G6067" t="str">
            <v>HIBE Operating supplies</v>
          </cell>
          <cell r="H6067" t="str">
            <v>EN027     Prod&amp;OtherConsumable</v>
          </cell>
          <cell r="I6067" t="str">
            <v>L003 Ankleshwar</v>
          </cell>
          <cell r="J6067" t="str">
            <v>99 Input/Byprodt/Scrap</v>
          </cell>
          <cell r="K6067" t="str">
            <v>10.2012</v>
          </cell>
          <cell r="L6067">
            <v>100</v>
          </cell>
          <cell r="M6067" t="str">
            <v>EA</v>
          </cell>
          <cell r="N6067">
            <v>21800</v>
          </cell>
          <cell r="O6067" t="str">
            <v>INR</v>
          </cell>
        </row>
        <row r="6068">
          <cell r="A6068" t="str">
            <v>L003 Ankleshwar</v>
          </cell>
          <cell r="B6068">
            <v>713880</v>
          </cell>
          <cell r="C6068" t="str">
            <v>COTTON BAG-25KGS: 24" X 42"</v>
          </cell>
          <cell r="D6068" t="str">
            <v>L0030201                       Cons StoreKP</v>
          </cell>
          <cell r="E6068" t="str">
            <v>E01 E01</v>
          </cell>
          <cell r="F6068" t="str">
            <v>VB Manual reorder point planning</v>
          </cell>
          <cell r="G6068" t="str">
            <v>HIBE Operating supplies</v>
          </cell>
          <cell r="H6068" t="str">
            <v>EN027     Prod&amp;OtherConsumable</v>
          </cell>
          <cell r="I6068" t="str">
            <v>L003 Ankleshwar</v>
          </cell>
          <cell r="J6068" t="str">
            <v>99 Input/Byprodt/Scrap</v>
          </cell>
          <cell r="K6068" t="str">
            <v>10.2012</v>
          </cell>
          <cell r="L6068">
            <v>60</v>
          </cell>
          <cell r="M6068" t="str">
            <v>EA</v>
          </cell>
          <cell r="N6068">
            <v>13080</v>
          </cell>
          <cell r="O6068" t="str">
            <v>INR</v>
          </cell>
        </row>
        <row r="6069">
          <cell r="A6069" t="str">
            <v>L003 Ankleshwar</v>
          </cell>
          <cell r="B6069">
            <v>714101</v>
          </cell>
          <cell r="C6069" t="str">
            <v>FERROUS SULPHATE</v>
          </cell>
          <cell r="D6069" t="str">
            <v>L0030151                       EnggStore</v>
          </cell>
          <cell r="E6069" t="str">
            <v>E01 E01</v>
          </cell>
          <cell r="F6069" t="str">
            <v>VB Manual reorder point planning</v>
          </cell>
          <cell r="G6069" t="str">
            <v>HIBE Operating supplies</v>
          </cell>
          <cell r="H6069" t="str">
            <v>EN034     LabConsumables</v>
          </cell>
          <cell r="I6069" t="str">
            <v>L003 Ankleshwar</v>
          </cell>
          <cell r="J6069" t="str">
            <v>99 Input/Byprodt/Scrap</v>
          </cell>
          <cell r="K6069" t="str">
            <v>10.2012</v>
          </cell>
          <cell r="L6069">
            <v>100</v>
          </cell>
          <cell r="M6069" t="str">
            <v>KG</v>
          </cell>
          <cell r="N6069">
            <v>650</v>
          </cell>
          <cell r="O6069" t="str">
            <v>INR</v>
          </cell>
        </row>
        <row r="6070">
          <cell r="A6070" t="str">
            <v>L003 Ankleshwar</v>
          </cell>
          <cell r="B6070">
            <v>714101</v>
          </cell>
          <cell r="C6070" t="str">
            <v>FERROUS SULPHATE</v>
          </cell>
          <cell r="D6070" t="str">
            <v>L0030201                       Cons StoreKP</v>
          </cell>
          <cell r="E6070" t="str">
            <v>E01 E01</v>
          </cell>
          <cell r="F6070" t="str">
            <v>VB Manual reorder point planning</v>
          </cell>
          <cell r="G6070" t="str">
            <v>HIBE Operating supplies</v>
          </cell>
          <cell r="H6070" t="str">
            <v>EN034     LabConsumables</v>
          </cell>
          <cell r="I6070" t="str">
            <v>L003 Ankleshwar</v>
          </cell>
          <cell r="J6070" t="str">
            <v>99 Input/Byprodt/Scrap</v>
          </cell>
          <cell r="K6070" t="str">
            <v>10.2012</v>
          </cell>
          <cell r="L6070">
            <v>580</v>
          </cell>
          <cell r="M6070" t="str">
            <v>KG</v>
          </cell>
          <cell r="N6070">
            <v>3770</v>
          </cell>
          <cell r="O6070" t="str">
            <v>INR</v>
          </cell>
        </row>
        <row r="6071">
          <cell r="A6071" t="str">
            <v>L003 Ankleshwar</v>
          </cell>
          <cell r="B6071">
            <v>714150</v>
          </cell>
          <cell r="C6071" t="str">
            <v>HEPAFILTER ELEMENT: 20"X20"X6"-0.3µ</v>
          </cell>
          <cell r="D6071" t="str">
            <v>L0030151                       EnggStore</v>
          </cell>
          <cell r="E6071">
            <v>0</v>
          </cell>
          <cell r="F6071" t="str">
            <v>ND No planning</v>
          </cell>
          <cell r="G6071" t="str">
            <v>HIBE Operating supplies</v>
          </cell>
          <cell r="H6071" t="str">
            <v>EN001     Filters Spares</v>
          </cell>
          <cell r="I6071" t="str">
            <v>L003 Ankleshwar</v>
          </cell>
          <cell r="J6071" t="str">
            <v>99 Input/Byprodt/Scrap</v>
          </cell>
          <cell r="K6071" t="str">
            <v>10.2012</v>
          </cell>
          <cell r="L6071">
            <v>2</v>
          </cell>
          <cell r="M6071" t="str">
            <v>EA</v>
          </cell>
          <cell r="N6071">
            <v>5151.18</v>
          </cell>
          <cell r="O6071" t="str">
            <v>INR</v>
          </cell>
        </row>
        <row r="6072">
          <cell r="A6072" t="str">
            <v>L003 Ankleshwar</v>
          </cell>
          <cell r="B6072">
            <v>714218</v>
          </cell>
          <cell r="C6072" t="str">
            <v>MEMBRANE FOR DIFFUSEREDPM:65ODX1060MM L</v>
          </cell>
          <cell r="D6072" t="str">
            <v>L0030151                       EnggStore</v>
          </cell>
          <cell r="E6072" t="str">
            <v>E01 E01</v>
          </cell>
          <cell r="F6072" t="str">
            <v>VB Manual reorder point planning</v>
          </cell>
          <cell r="G6072" t="str">
            <v>HIBE Operating supplies</v>
          </cell>
          <cell r="H6072" t="str">
            <v>EN027     Prod&amp;OtherConsumable</v>
          </cell>
          <cell r="I6072" t="str">
            <v>L003 Ankleshwar</v>
          </cell>
          <cell r="J6072" t="str">
            <v>99 Input/Byprodt/Scrap</v>
          </cell>
          <cell r="K6072" t="str">
            <v>10.2012</v>
          </cell>
          <cell r="L6072">
            <v>300</v>
          </cell>
          <cell r="M6072" t="str">
            <v>EA</v>
          </cell>
          <cell r="N6072">
            <v>260100</v>
          </cell>
          <cell r="O6072" t="str">
            <v>INR</v>
          </cell>
        </row>
        <row r="6073">
          <cell r="A6073" t="str">
            <v>L003 Ankleshwar</v>
          </cell>
          <cell r="B6073">
            <v>714252</v>
          </cell>
          <cell r="C6073" t="str">
            <v>MUG PLASTIC: 1 LTR CAP.</v>
          </cell>
          <cell r="D6073" t="str">
            <v>L0030151                       EnggStore</v>
          </cell>
          <cell r="E6073" t="str">
            <v>E42 E42</v>
          </cell>
          <cell r="F6073" t="str">
            <v>VB Manual reorder point planning</v>
          </cell>
          <cell r="G6073" t="str">
            <v>HIBE Operating supplies</v>
          </cell>
          <cell r="H6073" t="str">
            <v>EN027     Prod&amp;OtherConsumable</v>
          </cell>
          <cell r="I6073" t="str">
            <v>L003 Ankleshwar</v>
          </cell>
          <cell r="J6073" t="str">
            <v>99 Input/Byprodt/Scrap</v>
          </cell>
          <cell r="K6073" t="str">
            <v>10.2012</v>
          </cell>
          <cell r="L6073">
            <v>25</v>
          </cell>
          <cell r="M6073" t="str">
            <v>EA</v>
          </cell>
          <cell r="N6073">
            <v>236.319999999999</v>
          </cell>
          <cell r="O6073" t="str">
            <v>INR</v>
          </cell>
        </row>
        <row r="6074">
          <cell r="A6074" t="str">
            <v>L003 Ankleshwar</v>
          </cell>
          <cell r="B6074">
            <v>714290</v>
          </cell>
          <cell r="C6074" t="str">
            <v>CPP HR REPORT FOR MEE PLANT 1X33 PAGE</v>
          </cell>
          <cell r="D6074" t="str">
            <v>L0030151                       EnggStore</v>
          </cell>
          <cell r="E6074">
            <v>0</v>
          </cell>
          <cell r="F6074" t="str">
            <v>ND No planning</v>
          </cell>
          <cell r="G6074" t="str">
            <v>HIBE Operating supplies</v>
          </cell>
          <cell r="H6074" t="str">
            <v>EN040     Prinitng &amp;Stationery</v>
          </cell>
          <cell r="I6074" t="str">
            <v>L003 Ankleshwar</v>
          </cell>
          <cell r="J6074" t="str">
            <v>99 Input/Byprodt/Scrap</v>
          </cell>
          <cell r="K6074" t="str">
            <v>10.2012</v>
          </cell>
          <cell r="L6074">
            <v>11</v>
          </cell>
          <cell r="M6074" t="str">
            <v>EA</v>
          </cell>
          <cell r="N6074">
            <v>880</v>
          </cell>
          <cell r="O6074" t="str">
            <v>INR</v>
          </cell>
        </row>
        <row r="6075">
          <cell r="A6075" t="str">
            <v>L003 Ankleshwar</v>
          </cell>
          <cell r="B6075">
            <v>714291</v>
          </cell>
          <cell r="C6075" t="str">
            <v>HEPAFILTER ELEMENT: 12"X12"X12"-0.3µ</v>
          </cell>
          <cell r="D6075" t="str">
            <v>L0030151                       EnggStore</v>
          </cell>
          <cell r="E6075">
            <v>0</v>
          </cell>
          <cell r="F6075" t="str">
            <v>ND No planning</v>
          </cell>
          <cell r="G6075" t="str">
            <v>HIBE Operating supplies</v>
          </cell>
          <cell r="H6075" t="str">
            <v>EN037     Refrigeration&amp;A/Cspa</v>
          </cell>
          <cell r="I6075" t="str">
            <v>L003 Ankleshwar</v>
          </cell>
          <cell r="J6075" t="str">
            <v>99 Input/Byprodt/Scrap</v>
          </cell>
          <cell r="K6075" t="str">
            <v>10.2012</v>
          </cell>
          <cell r="L6075">
            <v>3</v>
          </cell>
          <cell r="M6075" t="str">
            <v>EA</v>
          </cell>
          <cell r="N6075">
            <v>5819.97</v>
          </cell>
          <cell r="O6075" t="str">
            <v>INR</v>
          </cell>
        </row>
        <row r="6076">
          <cell r="A6076" t="str">
            <v>L003 Ankleshwar</v>
          </cell>
          <cell r="B6076">
            <v>714300</v>
          </cell>
          <cell r="C6076" t="str">
            <v>HDPE WOVEN LAMINATD BAG: 26"X42"-YELLOW</v>
          </cell>
          <cell r="D6076" t="str">
            <v>L0030151                       EnggStore</v>
          </cell>
          <cell r="E6076" t="str">
            <v>E42 E42</v>
          </cell>
          <cell r="F6076" t="str">
            <v>VB Manual reorder point planning</v>
          </cell>
          <cell r="G6076" t="str">
            <v>HIBE Operating supplies</v>
          </cell>
          <cell r="H6076" t="str">
            <v>EN027     Prod&amp;OtherConsumable</v>
          </cell>
          <cell r="I6076" t="str">
            <v>L003 Ankleshwar</v>
          </cell>
          <cell r="J6076" t="str">
            <v>99 Input/Byprodt/Scrap</v>
          </cell>
          <cell r="K6076" t="str">
            <v>10.2012</v>
          </cell>
          <cell r="L6076">
            <v>599</v>
          </cell>
          <cell r="M6076" t="str">
            <v>EA</v>
          </cell>
          <cell r="N6076">
            <v>10330.559999999899</v>
          </cell>
          <cell r="O6076" t="str">
            <v>INR</v>
          </cell>
        </row>
        <row r="6077">
          <cell r="A6077" t="str">
            <v>L003 Ankleshwar</v>
          </cell>
          <cell r="B6077">
            <v>714311</v>
          </cell>
          <cell r="C6077" t="str">
            <v>HDPE WOVEN LAMINATD BAG: 26"X42"-BLUE</v>
          </cell>
          <cell r="D6077" t="str">
            <v>L0030151                       EnggStore</v>
          </cell>
          <cell r="E6077" t="str">
            <v>E42 E42</v>
          </cell>
          <cell r="F6077" t="str">
            <v>VB Manual reorder point planning</v>
          </cell>
          <cell r="G6077" t="str">
            <v>HIBE Operating supplies</v>
          </cell>
          <cell r="H6077" t="str">
            <v>EN027     Prod&amp;OtherConsumable</v>
          </cell>
          <cell r="I6077" t="str">
            <v>L003 Ankleshwar</v>
          </cell>
          <cell r="J6077" t="str">
            <v>99 Input/Byprodt/Scrap</v>
          </cell>
          <cell r="K6077" t="str">
            <v>10.2012</v>
          </cell>
          <cell r="L6077">
            <v>500</v>
          </cell>
          <cell r="M6077" t="str">
            <v>EA</v>
          </cell>
          <cell r="N6077">
            <v>9093.86</v>
          </cell>
          <cell r="O6077" t="str">
            <v>INR</v>
          </cell>
        </row>
        <row r="6078">
          <cell r="A6078" t="str">
            <v>L003 Ankleshwar</v>
          </cell>
          <cell r="B6078">
            <v>714426</v>
          </cell>
          <cell r="C6078" t="str">
            <v>SPLITER GASKET</v>
          </cell>
          <cell r="D6078" t="str">
            <v>L0030151                       EnggStore</v>
          </cell>
          <cell r="E6078" t="str">
            <v>E42 E42</v>
          </cell>
          <cell r="F6078" t="str">
            <v>VB Manual reorder point planning</v>
          </cell>
          <cell r="G6078" t="str">
            <v>HIBE Operating supplies</v>
          </cell>
          <cell r="H6078" t="str">
            <v>EN027     Prod&amp;OtherConsumable</v>
          </cell>
          <cell r="I6078" t="str">
            <v>L003 Ankleshwar</v>
          </cell>
          <cell r="J6078" t="str">
            <v>99 Input/Byprodt/Scrap</v>
          </cell>
          <cell r="K6078" t="str">
            <v>10.2012</v>
          </cell>
          <cell r="L6078">
            <v>36.5</v>
          </cell>
          <cell r="M6078" t="str">
            <v>MTR</v>
          </cell>
          <cell r="N6078">
            <v>10950</v>
          </cell>
          <cell r="O6078" t="str">
            <v>INR</v>
          </cell>
        </row>
        <row r="6079">
          <cell r="A6079" t="str">
            <v>L003 Ankleshwar</v>
          </cell>
          <cell r="B6079">
            <v>714457</v>
          </cell>
          <cell r="C6079" t="str">
            <v>AHU FILTER: 515X515X150MM: 15 MICRON</v>
          </cell>
          <cell r="D6079" t="str">
            <v>L0030151                       EnggStore</v>
          </cell>
          <cell r="E6079">
            <v>0</v>
          </cell>
          <cell r="F6079" t="str">
            <v>ND No planning</v>
          </cell>
          <cell r="G6079" t="str">
            <v>HIBE Operating supplies</v>
          </cell>
          <cell r="H6079" t="str">
            <v>EN027     Prod&amp;OtherConsumable</v>
          </cell>
          <cell r="I6079" t="str">
            <v>L003 Ankleshwar</v>
          </cell>
          <cell r="J6079" t="str">
            <v>99 Input/Byprodt/Scrap</v>
          </cell>
          <cell r="K6079" t="str">
            <v>10.2012</v>
          </cell>
          <cell r="L6079">
            <v>2</v>
          </cell>
          <cell r="M6079" t="str">
            <v>EA</v>
          </cell>
          <cell r="N6079">
            <v>3500</v>
          </cell>
          <cell r="O6079" t="str">
            <v>INR</v>
          </cell>
        </row>
        <row r="6080">
          <cell r="A6080" t="str">
            <v>L003 Ankleshwar</v>
          </cell>
          <cell r="B6080">
            <v>714458</v>
          </cell>
          <cell r="C6080" t="str">
            <v>AHU FILTER: 540X440X50MM: 15 MICRON</v>
          </cell>
          <cell r="D6080" t="str">
            <v>L0030151                       EnggStore</v>
          </cell>
          <cell r="E6080">
            <v>0</v>
          </cell>
          <cell r="F6080" t="str">
            <v>ND No planning</v>
          </cell>
          <cell r="G6080" t="str">
            <v>HIBE Operating supplies</v>
          </cell>
          <cell r="H6080" t="str">
            <v>EN027     Prod&amp;OtherConsumable</v>
          </cell>
          <cell r="I6080" t="str">
            <v>L003 Ankleshwar</v>
          </cell>
          <cell r="J6080" t="str">
            <v>99 Input/Byprodt/Scrap</v>
          </cell>
          <cell r="K6080" t="str">
            <v>10.2012</v>
          </cell>
          <cell r="L6080">
            <v>3</v>
          </cell>
          <cell r="M6080" t="str">
            <v>EA</v>
          </cell>
          <cell r="N6080">
            <v>3320.71</v>
          </cell>
          <cell r="O6080" t="str">
            <v>INR</v>
          </cell>
        </row>
        <row r="6081">
          <cell r="A6081" t="str">
            <v>L003 Ankleshwar</v>
          </cell>
          <cell r="B6081">
            <v>714470</v>
          </cell>
          <cell r="C6081" t="str">
            <v>PLASTIC BROOM</v>
          </cell>
          <cell r="D6081" t="str">
            <v>L0030151                       EnggStore</v>
          </cell>
          <cell r="E6081" t="str">
            <v>E42 E42</v>
          </cell>
          <cell r="F6081" t="str">
            <v>VB Manual reorder point planning</v>
          </cell>
          <cell r="G6081" t="str">
            <v>HIBE Operating supplies</v>
          </cell>
          <cell r="H6081" t="str">
            <v>EN014     Housekeeping</v>
          </cell>
          <cell r="I6081" t="str">
            <v>L003 Ankleshwar</v>
          </cell>
          <cell r="J6081" t="str">
            <v>99 Input/Byprodt/Scrap</v>
          </cell>
          <cell r="K6081" t="str">
            <v>10.2012</v>
          </cell>
          <cell r="L6081">
            <v>24</v>
          </cell>
          <cell r="M6081" t="str">
            <v>EA</v>
          </cell>
          <cell r="N6081">
            <v>878.85</v>
          </cell>
          <cell r="O6081" t="str">
            <v>INR</v>
          </cell>
        </row>
        <row r="6082">
          <cell r="A6082" t="str">
            <v>L003 Ankleshwar</v>
          </cell>
          <cell r="B6082">
            <v>714470</v>
          </cell>
          <cell r="C6082" t="str">
            <v>PLASTIC BROOM</v>
          </cell>
          <cell r="D6082" t="str">
            <v>L0030201                       Cons StoreKP</v>
          </cell>
          <cell r="E6082" t="str">
            <v>E42 E42</v>
          </cell>
          <cell r="F6082" t="str">
            <v>VB Manual reorder point planning</v>
          </cell>
          <cell r="G6082" t="str">
            <v>HIBE Operating supplies</v>
          </cell>
          <cell r="H6082" t="str">
            <v>EN014     Housekeeping</v>
          </cell>
          <cell r="I6082" t="str">
            <v>L003 Ankleshwar</v>
          </cell>
          <cell r="J6082" t="str">
            <v>99 Input/Byprodt/Scrap</v>
          </cell>
          <cell r="K6082" t="str">
            <v>10.2012</v>
          </cell>
          <cell r="L6082">
            <v>11</v>
          </cell>
          <cell r="M6082" t="str">
            <v>EA</v>
          </cell>
          <cell r="N6082">
            <v>402.81</v>
          </cell>
          <cell r="O6082" t="str">
            <v>INR</v>
          </cell>
        </row>
        <row r="6083">
          <cell r="A6083" t="str">
            <v>L003 Ankleshwar</v>
          </cell>
          <cell r="B6083">
            <v>714482</v>
          </cell>
          <cell r="C6083" t="str">
            <v>SS316 SIFTER SIEVE: 16 MESH 20"</v>
          </cell>
          <cell r="D6083" t="str">
            <v>L0030151                       EnggStore</v>
          </cell>
          <cell r="E6083" t="str">
            <v>E01 E01</v>
          </cell>
          <cell r="F6083" t="str">
            <v>VB Manual reorder point planning</v>
          </cell>
          <cell r="G6083" t="str">
            <v>HIBE Operating supplies</v>
          </cell>
          <cell r="H6083" t="str">
            <v>EN027     Prod&amp;OtherConsumable</v>
          </cell>
          <cell r="I6083" t="str">
            <v>L003 Ankleshwar</v>
          </cell>
          <cell r="J6083" t="str">
            <v>99 Input/Byprodt/Scrap</v>
          </cell>
          <cell r="K6083" t="str">
            <v>10.2012</v>
          </cell>
          <cell r="L6083">
            <v>1</v>
          </cell>
          <cell r="M6083" t="str">
            <v>EA</v>
          </cell>
          <cell r="N6083">
            <v>2074.69</v>
          </cell>
          <cell r="O6083" t="str">
            <v>INR</v>
          </cell>
        </row>
        <row r="6084">
          <cell r="A6084" t="str">
            <v>L003 Ankleshwar</v>
          </cell>
          <cell r="B6084">
            <v>714545</v>
          </cell>
          <cell r="C6084" t="str">
            <v>BULB FOR TORCH 3.6V PIN TYPE</v>
          </cell>
          <cell r="D6084" t="str">
            <v>L0030151                       EnggStore</v>
          </cell>
          <cell r="E6084" t="str">
            <v>E42 E42</v>
          </cell>
          <cell r="F6084" t="str">
            <v>VB Manual reorder point planning</v>
          </cell>
          <cell r="G6084" t="str">
            <v>HIBE Operating supplies</v>
          </cell>
          <cell r="H6084" t="str">
            <v>EN027     Prod&amp;OtherConsumable</v>
          </cell>
          <cell r="I6084" t="str">
            <v>L003 Ankleshwar</v>
          </cell>
          <cell r="J6084" t="str">
            <v>99 Input/Byprodt/Scrap</v>
          </cell>
          <cell r="K6084" t="str">
            <v>10.2012</v>
          </cell>
          <cell r="L6084">
            <v>81</v>
          </cell>
          <cell r="M6084" t="str">
            <v>EA</v>
          </cell>
          <cell r="N6084">
            <v>345.44</v>
          </cell>
          <cell r="O6084" t="str">
            <v>INR</v>
          </cell>
        </row>
        <row r="6085">
          <cell r="A6085" t="str">
            <v>L003 Ankleshwar</v>
          </cell>
          <cell r="B6085">
            <v>714706</v>
          </cell>
          <cell r="C6085" t="str">
            <v>DOOR MAT</v>
          </cell>
          <cell r="D6085" t="str">
            <v>L0030151                       EnggStore</v>
          </cell>
          <cell r="E6085">
            <v>0</v>
          </cell>
          <cell r="F6085" t="str">
            <v>ND No planning</v>
          </cell>
          <cell r="G6085" t="str">
            <v>HIBE Operating supplies</v>
          </cell>
          <cell r="H6085" t="str">
            <v>EN014     Housekeeping</v>
          </cell>
          <cell r="I6085" t="str">
            <v>L003 Ankleshwar</v>
          </cell>
          <cell r="J6085" t="str">
            <v>99 Input/Byprodt/Scrap</v>
          </cell>
          <cell r="K6085" t="str">
            <v>10.2012</v>
          </cell>
          <cell r="L6085">
            <v>1</v>
          </cell>
          <cell r="M6085" t="str">
            <v>EA</v>
          </cell>
          <cell r="N6085">
            <v>964.46</v>
          </cell>
          <cell r="O6085" t="str">
            <v>INR</v>
          </cell>
        </row>
        <row r="6086">
          <cell r="A6086" t="str">
            <v>L003 Ankleshwar</v>
          </cell>
          <cell r="B6086">
            <v>714730</v>
          </cell>
          <cell r="C6086" t="str">
            <v>RO-3 PLANT BATCH SHEET FOR MEE 1X33PAGE</v>
          </cell>
          <cell r="D6086" t="str">
            <v>L0030151                       EnggStore</v>
          </cell>
          <cell r="E6086">
            <v>0</v>
          </cell>
          <cell r="F6086" t="str">
            <v>ND No planning</v>
          </cell>
          <cell r="G6086" t="str">
            <v>HIBE Operating supplies</v>
          </cell>
          <cell r="H6086" t="str">
            <v>EN040     Prinitng &amp;Stationery</v>
          </cell>
          <cell r="I6086" t="str">
            <v>L003 Ankleshwar</v>
          </cell>
          <cell r="J6086" t="str">
            <v>99 Input/Byprodt/Scrap</v>
          </cell>
          <cell r="K6086" t="str">
            <v>10.2012</v>
          </cell>
          <cell r="L6086">
            <v>10</v>
          </cell>
          <cell r="M6086" t="str">
            <v>EA</v>
          </cell>
          <cell r="N6086">
            <v>800</v>
          </cell>
          <cell r="O6086" t="str">
            <v>INR</v>
          </cell>
        </row>
        <row r="6087">
          <cell r="A6087" t="str">
            <v>L003 Ankleshwar</v>
          </cell>
          <cell r="B6087">
            <v>714731</v>
          </cell>
          <cell r="C6087" t="str">
            <v>SAS BOOK  FOR  DIL HCL SOLUTION 7ACCA</v>
          </cell>
          <cell r="D6087" t="str">
            <v>L0030201                       Cons StoreKP</v>
          </cell>
          <cell r="E6087" t="str">
            <v>E01 E01</v>
          </cell>
          <cell r="F6087" t="str">
            <v>VB Manual reorder point planning</v>
          </cell>
          <cell r="G6087" t="str">
            <v>HIBE Operating supplies</v>
          </cell>
          <cell r="H6087" t="str">
            <v>EN040     Prinitng &amp;Stationery</v>
          </cell>
          <cell r="I6087" t="str">
            <v>L003 Ankleshwar</v>
          </cell>
          <cell r="J6087" t="str">
            <v>99 Input/Byprodt/Scrap</v>
          </cell>
          <cell r="K6087" t="str">
            <v>10.2012</v>
          </cell>
          <cell r="L6087">
            <v>10</v>
          </cell>
          <cell r="M6087" t="str">
            <v>EA</v>
          </cell>
          <cell r="N6087">
            <v>997.5</v>
          </cell>
          <cell r="O6087" t="str">
            <v>INR</v>
          </cell>
        </row>
        <row r="6088">
          <cell r="A6088" t="str">
            <v>L003 Ankleshwar</v>
          </cell>
          <cell r="B6088">
            <v>714737</v>
          </cell>
          <cell r="C6088" t="str">
            <v>\BOTTLE SEAL</v>
          </cell>
          <cell r="D6088" t="str">
            <v>L0030151                       EnggStore</v>
          </cell>
          <cell r="E6088" t="str">
            <v>E42 E42</v>
          </cell>
          <cell r="F6088" t="str">
            <v>VB Manual reorder point planning</v>
          </cell>
          <cell r="G6088" t="str">
            <v>HIBE Operating supplies</v>
          </cell>
          <cell r="H6088" t="str">
            <v>EN027     Prod&amp;OtherConsumable</v>
          </cell>
          <cell r="I6088" t="str">
            <v>L003 Ankleshwar</v>
          </cell>
          <cell r="J6088" t="str">
            <v>99 Input/Byprodt/Scrap</v>
          </cell>
          <cell r="K6088" t="str">
            <v>10.2012</v>
          </cell>
          <cell r="L6088">
            <v>340</v>
          </cell>
          <cell r="M6088" t="str">
            <v>EA</v>
          </cell>
          <cell r="N6088">
            <v>8670</v>
          </cell>
          <cell r="O6088" t="str">
            <v>INR</v>
          </cell>
        </row>
        <row r="6089">
          <cell r="A6089" t="str">
            <v>L003 Ankleshwar</v>
          </cell>
          <cell r="B6089">
            <v>714746</v>
          </cell>
          <cell r="C6089" t="str">
            <v>D-21 ICE  FILTER CLOTH  14" DIA X 120"</v>
          </cell>
          <cell r="D6089" t="str">
            <v>L0030151                       EnggStore</v>
          </cell>
          <cell r="E6089" t="str">
            <v>E01 E01</v>
          </cell>
          <cell r="F6089" t="str">
            <v>VB Manual reorder point planning</v>
          </cell>
          <cell r="G6089" t="str">
            <v>HIBE Operating supplies</v>
          </cell>
          <cell r="H6089" t="str">
            <v>EN027     Prod&amp;OtherConsumable</v>
          </cell>
          <cell r="I6089" t="str">
            <v>L003 Ankleshwar</v>
          </cell>
          <cell r="J6089" t="str">
            <v>99 Input/Byprodt/Scrap</v>
          </cell>
          <cell r="K6089" t="str">
            <v>10.2012</v>
          </cell>
          <cell r="L6089">
            <v>2</v>
          </cell>
          <cell r="M6089" t="str">
            <v>EA</v>
          </cell>
          <cell r="N6089">
            <v>3074</v>
          </cell>
          <cell r="O6089" t="str">
            <v>INR</v>
          </cell>
        </row>
        <row r="6090">
          <cell r="A6090" t="str">
            <v>L003 Ankleshwar</v>
          </cell>
          <cell r="B6090">
            <v>714802</v>
          </cell>
          <cell r="C6090" t="str">
            <v>SAFETY HELMET WHITE COL-RATCHET</v>
          </cell>
          <cell r="D6090" t="str">
            <v>L0030151                       EnggStore</v>
          </cell>
          <cell r="E6090">
            <v>0</v>
          </cell>
          <cell r="F6090" t="str">
            <v>ND No planning</v>
          </cell>
          <cell r="G6090" t="str">
            <v>HIBE Operating supplies</v>
          </cell>
          <cell r="H6090" t="str">
            <v>EN010     Fire&amp;safety</v>
          </cell>
          <cell r="I6090" t="str">
            <v>L003 Ankleshwar</v>
          </cell>
          <cell r="J6090" t="str">
            <v>99 Input/Byprodt/Scrap</v>
          </cell>
          <cell r="K6090" t="str">
            <v>10.2012</v>
          </cell>
          <cell r="L6090">
            <v>25</v>
          </cell>
          <cell r="M6090" t="str">
            <v>EA</v>
          </cell>
          <cell r="N6090">
            <v>3583.3299999999899</v>
          </cell>
          <cell r="O6090" t="str">
            <v>INR</v>
          </cell>
        </row>
        <row r="6091">
          <cell r="A6091" t="str">
            <v>L003 Ankleshwar</v>
          </cell>
          <cell r="B6091">
            <v>714921</v>
          </cell>
          <cell r="C6091" t="str">
            <v>V-SEAL: FOR MOTOR FRAME-E90 -CG</v>
          </cell>
          <cell r="D6091" t="str">
            <v>L0030151                       EnggStore</v>
          </cell>
          <cell r="E6091" t="str">
            <v>E36 E36</v>
          </cell>
          <cell r="F6091" t="str">
            <v>VB Manual reorder point planning</v>
          </cell>
          <cell r="G6091" t="str">
            <v>HIBE Operating supplies</v>
          </cell>
          <cell r="H6091" t="str">
            <v>EN007     Elec Motors &amp; Spares</v>
          </cell>
          <cell r="I6091" t="str">
            <v>L003 Ankleshwar</v>
          </cell>
          <cell r="J6091" t="str">
            <v>99 Input/Byprodt/Scrap</v>
          </cell>
          <cell r="K6091" t="str">
            <v>10.2012</v>
          </cell>
          <cell r="L6091">
            <v>5</v>
          </cell>
          <cell r="M6091" t="str">
            <v>EA</v>
          </cell>
          <cell r="N6091">
            <v>375</v>
          </cell>
          <cell r="O6091" t="str">
            <v>INR</v>
          </cell>
        </row>
        <row r="6092">
          <cell r="A6092" t="str">
            <v>L003 Ankleshwar</v>
          </cell>
          <cell r="B6092">
            <v>714923</v>
          </cell>
          <cell r="C6092" t="str">
            <v>V-SEAL: FOR MOTOR FRAME-E112-CG</v>
          </cell>
          <cell r="D6092" t="str">
            <v>L0030151                       EnggStore</v>
          </cell>
          <cell r="E6092" t="str">
            <v>E36 E36</v>
          </cell>
          <cell r="F6092" t="str">
            <v>VB Manual reorder point planning</v>
          </cell>
          <cell r="G6092" t="str">
            <v>HIBE Operating supplies</v>
          </cell>
          <cell r="H6092" t="str">
            <v>EN007     Elec Motors &amp; Spares</v>
          </cell>
          <cell r="I6092" t="str">
            <v>L003 Ankleshwar</v>
          </cell>
          <cell r="J6092" t="str">
            <v>99 Input/Byprodt/Scrap</v>
          </cell>
          <cell r="K6092" t="str">
            <v>10.2012</v>
          </cell>
          <cell r="L6092">
            <v>10</v>
          </cell>
          <cell r="M6092" t="str">
            <v>EA</v>
          </cell>
          <cell r="N6092">
            <v>1150</v>
          </cell>
          <cell r="O6092" t="str">
            <v>INR</v>
          </cell>
        </row>
        <row r="6093">
          <cell r="A6093" t="str">
            <v>L003 Ankleshwar</v>
          </cell>
          <cell r="B6093">
            <v>715078</v>
          </cell>
          <cell r="C6093" t="str">
            <v>DIGITAL THERMO-HYGROMETER RANGE:0C-50C</v>
          </cell>
          <cell r="D6093" t="str">
            <v>L0030151                       EnggStore</v>
          </cell>
          <cell r="E6093" t="str">
            <v>E01 E01</v>
          </cell>
          <cell r="F6093" t="str">
            <v>ND No planning</v>
          </cell>
          <cell r="G6093" t="str">
            <v>HIBE Operating supplies</v>
          </cell>
          <cell r="H6093" t="str">
            <v>EN017     InstrumentSpares</v>
          </cell>
          <cell r="I6093" t="str">
            <v>L003 Ankleshwar</v>
          </cell>
          <cell r="J6093" t="str">
            <v>99 Input/Byprodt/Scrap</v>
          </cell>
          <cell r="K6093" t="str">
            <v>10.2012</v>
          </cell>
          <cell r="L6093">
            <v>1</v>
          </cell>
          <cell r="M6093" t="str">
            <v>EA</v>
          </cell>
          <cell r="N6093">
            <v>1150</v>
          </cell>
          <cell r="O6093" t="str">
            <v>INR</v>
          </cell>
        </row>
        <row r="6094">
          <cell r="A6094" t="str">
            <v>L003 Ankleshwar</v>
          </cell>
          <cell r="B6094">
            <v>715472</v>
          </cell>
          <cell r="C6094" t="str">
            <v>TENSIONER</v>
          </cell>
          <cell r="D6094" t="str">
            <v>L0030151                       EnggStore</v>
          </cell>
          <cell r="E6094">
            <v>0</v>
          </cell>
          <cell r="F6094" t="str">
            <v>ND No planning</v>
          </cell>
          <cell r="G6094" t="str">
            <v>HIBE Operating supplies</v>
          </cell>
          <cell r="H6094" t="str">
            <v>EN024     EnggConsumables</v>
          </cell>
          <cell r="I6094" t="str">
            <v>L003 Ankleshwar</v>
          </cell>
          <cell r="J6094" t="str">
            <v>99 Input/Byprodt/Scrap</v>
          </cell>
          <cell r="K6094" t="str">
            <v>10.2012</v>
          </cell>
          <cell r="L6094">
            <v>1</v>
          </cell>
          <cell r="M6094" t="str">
            <v>EA</v>
          </cell>
          <cell r="N6094">
            <v>345.67</v>
          </cell>
          <cell r="O6094" t="str">
            <v>INR</v>
          </cell>
        </row>
        <row r="6095">
          <cell r="A6095" t="str">
            <v>L003 Ankleshwar</v>
          </cell>
          <cell r="B6095">
            <v>715473</v>
          </cell>
          <cell r="C6095" t="str">
            <v>SEALER</v>
          </cell>
          <cell r="D6095" t="str">
            <v>L0030151                       EnggStore</v>
          </cell>
          <cell r="E6095" t="str">
            <v>E42 E42</v>
          </cell>
          <cell r="F6095" t="str">
            <v>VB Manual reorder point planning</v>
          </cell>
          <cell r="G6095" t="str">
            <v>HIBE Operating supplies</v>
          </cell>
          <cell r="H6095" t="str">
            <v>EN024     EnggConsumables</v>
          </cell>
          <cell r="I6095" t="str">
            <v>L003 Ankleshwar</v>
          </cell>
          <cell r="J6095" t="str">
            <v>99 Input/Byprodt/Scrap</v>
          </cell>
          <cell r="K6095" t="str">
            <v>10.2012</v>
          </cell>
          <cell r="L6095">
            <v>2</v>
          </cell>
          <cell r="M6095" t="str">
            <v>EA</v>
          </cell>
          <cell r="N6095">
            <v>430</v>
          </cell>
          <cell r="O6095" t="str">
            <v>INR</v>
          </cell>
        </row>
        <row r="6096">
          <cell r="A6096" t="str">
            <v>L003 Ankleshwar</v>
          </cell>
          <cell r="B6096">
            <v>715619</v>
          </cell>
          <cell r="C6096" t="str">
            <v>FILTERATION FLASK 1000 ML CAPACITY</v>
          </cell>
          <cell r="D6096" t="str">
            <v>L0030151                       EnggStore</v>
          </cell>
          <cell r="E6096">
            <v>0</v>
          </cell>
          <cell r="F6096" t="str">
            <v>ND No planning</v>
          </cell>
          <cell r="G6096" t="str">
            <v>HIBE Operating supplies</v>
          </cell>
          <cell r="H6096" t="str">
            <v>EN034     LabConsumables</v>
          </cell>
          <cell r="I6096" t="str">
            <v>L003 Ankleshwar</v>
          </cell>
          <cell r="J6096" t="str">
            <v>99 Input/Byprodt/Scrap</v>
          </cell>
          <cell r="K6096" t="str">
            <v>10.2012</v>
          </cell>
          <cell r="L6096">
            <v>10</v>
          </cell>
          <cell r="M6096" t="str">
            <v>EA</v>
          </cell>
          <cell r="N6096">
            <v>2965.94</v>
          </cell>
          <cell r="O6096" t="str">
            <v>INR</v>
          </cell>
        </row>
        <row r="6097">
          <cell r="A6097" t="str">
            <v>L003 Ankleshwar</v>
          </cell>
          <cell r="B6097">
            <v>715771</v>
          </cell>
          <cell r="C6097" t="str">
            <v>D-1100 FILTER PAD: 17"X2-½" HOLE DIA</v>
          </cell>
          <cell r="D6097" t="str">
            <v>L0030151                       EnggStore</v>
          </cell>
          <cell r="E6097" t="str">
            <v>E42 E42</v>
          </cell>
          <cell r="F6097" t="str">
            <v>VB Manual reorder point planning</v>
          </cell>
          <cell r="G6097" t="str">
            <v>HIBE Operating supplies</v>
          </cell>
          <cell r="H6097" t="str">
            <v>EN027     Prod&amp;OtherConsumable</v>
          </cell>
          <cell r="I6097" t="str">
            <v>L003 Ankleshwar</v>
          </cell>
          <cell r="J6097" t="str">
            <v>99 Input/Byprodt/Scrap</v>
          </cell>
          <cell r="K6097" t="str">
            <v>10.2012</v>
          </cell>
          <cell r="L6097">
            <v>15</v>
          </cell>
          <cell r="M6097" t="str">
            <v>EA</v>
          </cell>
          <cell r="N6097">
            <v>729.89999999999895</v>
          </cell>
          <cell r="O6097" t="str">
            <v>INR</v>
          </cell>
        </row>
        <row r="6098">
          <cell r="A6098" t="str">
            <v>L003 Ankleshwar</v>
          </cell>
          <cell r="B6098">
            <v>715771</v>
          </cell>
          <cell r="C6098" t="str">
            <v>D-1100 FILTER PAD: 17"X2-½" HOLE DIA</v>
          </cell>
          <cell r="D6098" t="str">
            <v>L0030201                       Cons StoreKP</v>
          </cell>
          <cell r="E6098" t="str">
            <v>E42 E42</v>
          </cell>
          <cell r="F6098" t="str">
            <v>VB Manual reorder point planning</v>
          </cell>
          <cell r="G6098" t="str">
            <v>HIBE Operating supplies</v>
          </cell>
          <cell r="H6098" t="str">
            <v>EN027     Prod&amp;OtherConsumable</v>
          </cell>
          <cell r="I6098" t="str">
            <v>L003 Ankleshwar</v>
          </cell>
          <cell r="J6098" t="str">
            <v>99 Input/Byprodt/Scrap</v>
          </cell>
          <cell r="K6098" t="str">
            <v>10.2012</v>
          </cell>
          <cell r="L6098">
            <v>185</v>
          </cell>
          <cell r="M6098" t="str">
            <v>EA</v>
          </cell>
          <cell r="N6098">
            <v>9002.1499999999905</v>
          </cell>
          <cell r="O6098" t="str">
            <v>INR</v>
          </cell>
        </row>
        <row r="6099">
          <cell r="A6099" t="str">
            <v>L003 Ankleshwar</v>
          </cell>
          <cell r="B6099">
            <v>715794</v>
          </cell>
          <cell r="C6099" t="str">
            <v>EQUIPMENT LOG BOOK 7STAR PLANT 1X35SET</v>
          </cell>
          <cell r="D6099" t="str">
            <v>L0030201                       Cons StoreKP</v>
          </cell>
          <cell r="E6099" t="str">
            <v>E01 E01</v>
          </cell>
          <cell r="F6099" t="str">
            <v>VB Manual reorder point planning</v>
          </cell>
          <cell r="G6099" t="str">
            <v>HIBE Operating supplies</v>
          </cell>
          <cell r="H6099" t="str">
            <v>EN040     Prinitng &amp;Stationery</v>
          </cell>
          <cell r="I6099" t="str">
            <v>L003 Ankleshwar</v>
          </cell>
          <cell r="J6099" t="str">
            <v>99 Input/Byprodt/Scrap</v>
          </cell>
          <cell r="K6099" t="str">
            <v>10.2012</v>
          </cell>
          <cell r="L6099">
            <v>5</v>
          </cell>
          <cell r="M6099" t="str">
            <v>EA</v>
          </cell>
          <cell r="N6099">
            <v>3000</v>
          </cell>
          <cell r="O6099" t="str">
            <v>INR</v>
          </cell>
        </row>
        <row r="6100">
          <cell r="A6100" t="str">
            <v>L003 Ankleshwar</v>
          </cell>
          <cell r="B6100">
            <v>715819</v>
          </cell>
          <cell r="C6100" t="str">
            <v>DOCUMENT DISPLAY FOLDER - WV 401</v>
          </cell>
          <cell r="D6100" t="str">
            <v>L0030151                       EnggStore</v>
          </cell>
          <cell r="E6100">
            <v>0</v>
          </cell>
          <cell r="F6100" t="str">
            <v>ND No planning</v>
          </cell>
          <cell r="G6100" t="str">
            <v>HIBE Operating supplies</v>
          </cell>
          <cell r="H6100" t="str">
            <v>EN014     Housekeeping</v>
          </cell>
          <cell r="I6100" t="str">
            <v>L003 Ankleshwar</v>
          </cell>
          <cell r="J6100" t="str">
            <v>99 Input/Byprodt/Scrap</v>
          </cell>
          <cell r="K6100" t="str">
            <v>10.2012</v>
          </cell>
          <cell r="L6100">
            <v>112</v>
          </cell>
          <cell r="M6100" t="str">
            <v>EA</v>
          </cell>
          <cell r="N6100">
            <v>9996</v>
          </cell>
          <cell r="O6100" t="str">
            <v>INR</v>
          </cell>
        </row>
        <row r="6101">
          <cell r="A6101" t="str">
            <v>L003 Ankleshwar</v>
          </cell>
          <cell r="B6101">
            <v>715819</v>
          </cell>
          <cell r="C6101" t="str">
            <v>DOCUMENT DISPLAY FOLDER - WV 401</v>
          </cell>
          <cell r="D6101" t="str">
            <v>L0030201                       Cons StoreKP</v>
          </cell>
          <cell r="E6101">
            <v>0</v>
          </cell>
          <cell r="F6101" t="str">
            <v>ND No planning</v>
          </cell>
          <cell r="G6101" t="str">
            <v>HIBE Operating supplies</v>
          </cell>
          <cell r="H6101" t="str">
            <v>EN014     Housekeeping</v>
          </cell>
          <cell r="I6101" t="str">
            <v>L003 Ankleshwar</v>
          </cell>
          <cell r="J6101" t="str">
            <v>99 Input/Byprodt/Scrap</v>
          </cell>
          <cell r="K6101" t="str">
            <v>10.2012</v>
          </cell>
          <cell r="L6101">
            <v>66</v>
          </cell>
          <cell r="M6101" t="str">
            <v>EA</v>
          </cell>
          <cell r="N6101">
            <v>5890.5</v>
          </cell>
          <cell r="O6101" t="str">
            <v>INR</v>
          </cell>
        </row>
        <row r="6102">
          <cell r="A6102" t="str">
            <v>L003 Ankleshwar</v>
          </cell>
          <cell r="B6102">
            <v>715821</v>
          </cell>
          <cell r="C6102" t="str">
            <v>SS316 WIRE BRAIDED HOSE FExFE 2"x830MM</v>
          </cell>
          <cell r="D6102" t="str">
            <v>L0030201                       Cons StoreKP</v>
          </cell>
          <cell r="E6102" t="str">
            <v>E01 E01</v>
          </cell>
          <cell r="F6102" t="str">
            <v>VB Manual reorder point planning</v>
          </cell>
          <cell r="G6102" t="str">
            <v>HIBE Operating supplies</v>
          </cell>
          <cell r="H6102" t="str">
            <v>EN027     Prod&amp;OtherConsumable</v>
          </cell>
          <cell r="I6102" t="str">
            <v>L003 Ankleshwar</v>
          </cell>
          <cell r="J6102" t="str">
            <v>99 Input/Byprodt/Scrap</v>
          </cell>
          <cell r="K6102" t="str">
            <v>10.2012</v>
          </cell>
          <cell r="L6102">
            <v>2</v>
          </cell>
          <cell r="M6102" t="str">
            <v>EA</v>
          </cell>
          <cell r="N6102">
            <v>3187</v>
          </cell>
          <cell r="O6102" t="str">
            <v>INR</v>
          </cell>
        </row>
        <row r="6103">
          <cell r="A6103" t="str">
            <v>L003 Ankleshwar</v>
          </cell>
          <cell r="B6103">
            <v>715826</v>
          </cell>
          <cell r="C6103" t="str">
            <v>SS316 WIRE BRAIDED HOSE FExFE 1"x1.5M</v>
          </cell>
          <cell r="D6103" t="str">
            <v>L0030151                       EnggStore</v>
          </cell>
          <cell r="E6103" t="str">
            <v>E01 E01</v>
          </cell>
          <cell r="F6103" t="str">
            <v>VB Manual reorder point planning</v>
          </cell>
          <cell r="G6103" t="str">
            <v>HIBE Operating supplies</v>
          </cell>
          <cell r="H6103" t="str">
            <v>EN027     Prod&amp;OtherConsumable</v>
          </cell>
          <cell r="I6103" t="str">
            <v>L003 Ankleshwar</v>
          </cell>
          <cell r="J6103" t="str">
            <v>99 Input/Byprodt/Scrap</v>
          </cell>
          <cell r="K6103" t="str">
            <v>10.2012</v>
          </cell>
          <cell r="L6103">
            <v>1</v>
          </cell>
          <cell r="M6103" t="str">
            <v>EA</v>
          </cell>
          <cell r="N6103">
            <v>931.50999999999897</v>
          </cell>
          <cell r="O6103" t="str">
            <v>INR</v>
          </cell>
        </row>
        <row r="6104">
          <cell r="A6104" t="str">
            <v>L003 Ankleshwar</v>
          </cell>
          <cell r="B6104">
            <v>715827</v>
          </cell>
          <cell r="C6104" t="str">
            <v>SS316 WIRE BRAIDED HOSE FExFE 0.5"X1M</v>
          </cell>
          <cell r="D6104" t="str">
            <v>L0030151                       EnggStore</v>
          </cell>
          <cell r="E6104" t="str">
            <v>E01 E01</v>
          </cell>
          <cell r="F6104" t="str">
            <v>VB Manual reorder point planning</v>
          </cell>
          <cell r="G6104" t="str">
            <v>HIBE Operating supplies</v>
          </cell>
          <cell r="H6104" t="str">
            <v>EN027     Prod&amp;OtherConsumable</v>
          </cell>
          <cell r="I6104" t="str">
            <v>L003 Ankleshwar</v>
          </cell>
          <cell r="J6104" t="str">
            <v>99 Input/Byprodt/Scrap</v>
          </cell>
          <cell r="K6104" t="str">
            <v>10.2012</v>
          </cell>
          <cell r="L6104">
            <v>1</v>
          </cell>
          <cell r="M6104" t="str">
            <v>EA</v>
          </cell>
          <cell r="N6104">
            <v>636.6</v>
          </cell>
          <cell r="O6104" t="str">
            <v>INR</v>
          </cell>
        </row>
        <row r="6105">
          <cell r="A6105" t="str">
            <v>L003 Ankleshwar</v>
          </cell>
          <cell r="B6105">
            <v>715828</v>
          </cell>
          <cell r="C6105" t="str">
            <v>SS316 WIRE BRAIDED HOSE FExFE 2"x0.5M</v>
          </cell>
          <cell r="D6105" t="str">
            <v>L0030151                       EnggStore</v>
          </cell>
          <cell r="E6105" t="str">
            <v>E01 E01</v>
          </cell>
          <cell r="F6105" t="str">
            <v>VB Manual reorder point planning</v>
          </cell>
          <cell r="G6105" t="str">
            <v>HIBE Operating supplies</v>
          </cell>
          <cell r="H6105" t="str">
            <v>EN027     Prod&amp;OtherConsumable</v>
          </cell>
          <cell r="I6105" t="str">
            <v>L003 Ankleshwar</v>
          </cell>
          <cell r="J6105" t="str">
            <v>99 Input/Byprodt/Scrap</v>
          </cell>
          <cell r="K6105" t="str">
            <v>10.2012</v>
          </cell>
          <cell r="L6105">
            <v>6</v>
          </cell>
          <cell r="M6105" t="str">
            <v>EA</v>
          </cell>
          <cell r="N6105">
            <v>7279.64</v>
          </cell>
          <cell r="O6105" t="str">
            <v>INR</v>
          </cell>
        </row>
        <row r="6106">
          <cell r="A6106" t="str">
            <v>L003 Ankleshwar</v>
          </cell>
          <cell r="B6106">
            <v>715829</v>
          </cell>
          <cell r="C6106" t="str">
            <v>SS316 WIRE BRAIDED HOSE FEx FE 1"x3M</v>
          </cell>
          <cell r="D6106" t="str">
            <v>L0030151                       EnggStore</v>
          </cell>
          <cell r="E6106" t="str">
            <v>E01 E01</v>
          </cell>
          <cell r="F6106" t="str">
            <v>VB Manual reorder point planning</v>
          </cell>
          <cell r="G6106" t="str">
            <v>HIBE Operating supplies</v>
          </cell>
          <cell r="H6106" t="str">
            <v>EN027     Prod&amp;OtherConsumable</v>
          </cell>
          <cell r="I6106" t="str">
            <v>L003 Ankleshwar</v>
          </cell>
          <cell r="J6106" t="str">
            <v>99 Input/Byprodt/Scrap</v>
          </cell>
          <cell r="K6106" t="str">
            <v>10.2012</v>
          </cell>
          <cell r="L6106">
            <v>5</v>
          </cell>
          <cell r="M6106" t="str">
            <v>EA</v>
          </cell>
          <cell r="N6106">
            <v>5575.4799999999896</v>
          </cell>
          <cell r="O6106" t="str">
            <v>INR</v>
          </cell>
        </row>
        <row r="6107">
          <cell r="A6107" t="str">
            <v>L003 Ankleshwar</v>
          </cell>
          <cell r="B6107">
            <v>715831</v>
          </cell>
          <cell r="C6107" t="str">
            <v>SS316 WIRE BRAIDED HOSE FExFE 3"x750MM</v>
          </cell>
          <cell r="D6107" t="str">
            <v>L0030201                       Cons StoreKP</v>
          </cell>
          <cell r="E6107" t="str">
            <v>E01 E01</v>
          </cell>
          <cell r="F6107" t="str">
            <v>VB Manual reorder point planning</v>
          </cell>
          <cell r="G6107" t="str">
            <v>HIBE Operating supplies</v>
          </cell>
          <cell r="H6107" t="str">
            <v>EN027     Prod&amp;OtherConsumable</v>
          </cell>
          <cell r="I6107" t="str">
            <v>L003 Ankleshwar</v>
          </cell>
          <cell r="J6107" t="str">
            <v>99 Input/Byprodt/Scrap</v>
          </cell>
          <cell r="K6107" t="str">
            <v>10.2012</v>
          </cell>
          <cell r="L6107">
            <v>1</v>
          </cell>
          <cell r="M6107" t="str">
            <v>EA</v>
          </cell>
          <cell r="N6107">
            <v>2724.0799999999899</v>
          </cell>
          <cell r="O6107" t="str">
            <v>INR</v>
          </cell>
        </row>
        <row r="6108">
          <cell r="A6108" t="str">
            <v>L003 Ankleshwar</v>
          </cell>
          <cell r="B6108">
            <v>715832</v>
          </cell>
          <cell r="C6108" t="str">
            <v>SS316 WIRE BRAIDED HOSE FExFE 3"x1.2M</v>
          </cell>
          <cell r="D6108" t="str">
            <v>L0030151                       EnggStore</v>
          </cell>
          <cell r="E6108" t="str">
            <v>E01 E01</v>
          </cell>
          <cell r="F6108" t="str">
            <v>ND No planning</v>
          </cell>
          <cell r="G6108" t="str">
            <v>HIBE Operating supplies</v>
          </cell>
          <cell r="H6108" t="str">
            <v>EN027     Prod&amp;OtherConsumable</v>
          </cell>
          <cell r="I6108" t="str">
            <v>L003 Ankleshwar</v>
          </cell>
          <cell r="J6108" t="str">
            <v>99 Input/Byprodt/Scrap</v>
          </cell>
          <cell r="K6108" t="str">
            <v>10.2012</v>
          </cell>
          <cell r="L6108">
            <v>1</v>
          </cell>
          <cell r="M6108" t="str">
            <v>EA</v>
          </cell>
          <cell r="N6108">
            <v>926.6</v>
          </cell>
          <cell r="O6108" t="str">
            <v>INR</v>
          </cell>
        </row>
        <row r="6109">
          <cell r="A6109" t="str">
            <v>L003 Ankleshwar</v>
          </cell>
          <cell r="B6109">
            <v>716146</v>
          </cell>
          <cell r="C6109" t="str">
            <v>ZEROX PAPER</v>
          </cell>
          <cell r="D6109" t="str">
            <v>L0030151                       EnggStore</v>
          </cell>
          <cell r="E6109" t="str">
            <v>E42 E42</v>
          </cell>
          <cell r="F6109" t="str">
            <v>VB Manual reorder point planning</v>
          </cell>
          <cell r="G6109" t="str">
            <v>HIBE Operating supplies</v>
          </cell>
          <cell r="H6109" t="str">
            <v>EN040     Prinitng &amp;Stationery</v>
          </cell>
          <cell r="I6109" t="str">
            <v>L003 Ankleshwar</v>
          </cell>
          <cell r="J6109" t="str">
            <v>99 Input/Byprodt/Scrap</v>
          </cell>
          <cell r="K6109" t="str">
            <v>10.2012</v>
          </cell>
          <cell r="L6109">
            <v>66</v>
          </cell>
          <cell r="M6109" t="str">
            <v>EA</v>
          </cell>
          <cell r="N6109">
            <v>9979.2000000000007</v>
          </cell>
          <cell r="O6109" t="str">
            <v>INR</v>
          </cell>
        </row>
        <row r="6110">
          <cell r="A6110" t="str">
            <v>L003 Ankleshwar</v>
          </cell>
          <cell r="B6110">
            <v>716146</v>
          </cell>
          <cell r="C6110" t="str">
            <v>ZEROX PAPER</v>
          </cell>
          <cell r="D6110" t="str">
            <v>L0030201                       Cons StoreKP</v>
          </cell>
          <cell r="E6110" t="str">
            <v>E42 E42</v>
          </cell>
          <cell r="F6110" t="str">
            <v>VB Manual reorder point planning</v>
          </cell>
          <cell r="G6110" t="str">
            <v>HIBE Operating supplies</v>
          </cell>
          <cell r="H6110" t="str">
            <v>EN040     Prinitng &amp;Stationery</v>
          </cell>
          <cell r="I6110" t="str">
            <v>L003 Ankleshwar</v>
          </cell>
          <cell r="J6110" t="str">
            <v>99 Input/Byprodt/Scrap</v>
          </cell>
          <cell r="K6110" t="str">
            <v>10.2012</v>
          </cell>
          <cell r="L6110">
            <v>44</v>
          </cell>
          <cell r="M6110" t="str">
            <v>EA</v>
          </cell>
          <cell r="N6110">
            <v>6652.8</v>
          </cell>
          <cell r="O6110" t="str">
            <v>INR</v>
          </cell>
        </row>
        <row r="6111">
          <cell r="A6111" t="str">
            <v>L003 Ankleshwar</v>
          </cell>
          <cell r="B6111">
            <v>716147</v>
          </cell>
          <cell r="C6111" t="str">
            <v>MATERIAL REQUISITION BOOK 1X100PAGE</v>
          </cell>
          <cell r="D6111" t="str">
            <v>L0030151                       EnggStore</v>
          </cell>
          <cell r="E6111" t="str">
            <v>E42 E42</v>
          </cell>
          <cell r="F6111" t="str">
            <v>VB Manual reorder point planning</v>
          </cell>
          <cell r="G6111" t="str">
            <v>HIBE Operating supplies</v>
          </cell>
          <cell r="H6111" t="str">
            <v>EN040     Prinitng &amp;Stationery</v>
          </cell>
          <cell r="I6111" t="str">
            <v>L003 Ankleshwar</v>
          </cell>
          <cell r="J6111" t="str">
            <v>99 Input/Byprodt/Scrap</v>
          </cell>
          <cell r="K6111" t="str">
            <v>10.2012</v>
          </cell>
          <cell r="L6111">
            <v>48</v>
          </cell>
          <cell r="M6111" t="str">
            <v>EA</v>
          </cell>
          <cell r="N6111">
            <v>1411.2</v>
          </cell>
          <cell r="O6111" t="str">
            <v>INR</v>
          </cell>
        </row>
        <row r="6112">
          <cell r="A6112" t="str">
            <v>L003 Ankleshwar</v>
          </cell>
          <cell r="B6112">
            <v>716147</v>
          </cell>
          <cell r="C6112" t="str">
            <v>MATERIAL REQUISITION BOOK 1X100PAGE</v>
          </cell>
          <cell r="D6112" t="str">
            <v>L0030201                       Cons StoreKP</v>
          </cell>
          <cell r="E6112" t="str">
            <v>E42 E42</v>
          </cell>
          <cell r="F6112" t="str">
            <v>VB Manual reorder point planning</v>
          </cell>
          <cell r="G6112" t="str">
            <v>HIBE Operating supplies</v>
          </cell>
          <cell r="H6112" t="str">
            <v>EN040     Prinitng &amp;Stationery</v>
          </cell>
          <cell r="I6112" t="str">
            <v>L003 Ankleshwar</v>
          </cell>
          <cell r="J6112" t="str">
            <v>99 Input/Byprodt/Scrap</v>
          </cell>
          <cell r="K6112" t="str">
            <v>10.2012</v>
          </cell>
          <cell r="L6112">
            <v>40</v>
          </cell>
          <cell r="M6112" t="str">
            <v>EA</v>
          </cell>
          <cell r="N6112">
            <v>1176</v>
          </cell>
          <cell r="O6112" t="str">
            <v>INR</v>
          </cell>
        </row>
        <row r="6113">
          <cell r="A6113" t="str">
            <v>L003 Ankleshwar</v>
          </cell>
          <cell r="B6113">
            <v>716149</v>
          </cell>
          <cell r="C6113" t="str">
            <v>MAINTENANCE NOTIFICATION BOOK 1X100</v>
          </cell>
          <cell r="D6113" t="str">
            <v>L0030151                       EnggStore</v>
          </cell>
          <cell r="E6113" t="str">
            <v>E01 E01</v>
          </cell>
          <cell r="F6113" t="str">
            <v>ND No planning</v>
          </cell>
          <cell r="G6113" t="str">
            <v>HIBE Operating supplies</v>
          </cell>
          <cell r="H6113" t="str">
            <v>EN040     Prinitng &amp;Stationery</v>
          </cell>
          <cell r="I6113" t="str">
            <v>L003 Ankleshwar</v>
          </cell>
          <cell r="J6113" t="str">
            <v>99 Input/Byprodt/Scrap</v>
          </cell>
          <cell r="K6113" t="str">
            <v>10.2012</v>
          </cell>
          <cell r="L6113">
            <v>9</v>
          </cell>
          <cell r="M6113" t="str">
            <v>EA</v>
          </cell>
          <cell r="N6113">
            <v>378</v>
          </cell>
          <cell r="O6113" t="str">
            <v>INR</v>
          </cell>
        </row>
        <row r="6114">
          <cell r="A6114" t="str">
            <v>L003 Ankleshwar</v>
          </cell>
          <cell r="B6114">
            <v>716153</v>
          </cell>
          <cell r="C6114" t="str">
            <v>INWARD REGISTER 8 QUIRE FOR SECURITYGATE</v>
          </cell>
          <cell r="D6114" t="str">
            <v>L0030151                       EnggStore</v>
          </cell>
          <cell r="E6114" t="str">
            <v>E01 E01</v>
          </cell>
          <cell r="F6114" t="str">
            <v>VB Manual reorder point planning</v>
          </cell>
          <cell r="G6114" t="str">
            <v>HIBE Operating supplies</v>
          </cell>
          <cell r="H6114" t="str">
            <v>EN040     Prinitng &amp;Stationery</v>
          </cell>
          <cell r="I6114" t="str">
            <v>L003 Ankleshwar</v>
          </cell>
          <cell r="J6114" t="str">
            <v>99 Input/Byprodt/Scrap</v>
          </cell>
          <cell r="K6114" t="str">
            <v>10.2012</v>
          </cell>
          <cell r="L6114">
            <v>7</v>
          </cell>
          <cell r="M6114" t="str">
            <v>EA</v>
          </cell>
          <cell r="N6114">
            <v>2413.21</v>
          </cell>
          <cell r="O6114" t="str">
            <v>INR</v>
          </cell>
        </row>
        <row r="6115">
          <cell r="A6115" t="str">
            <v>L003 Ankleshwar</v>
          </cell>
          <cell r="B6115">
            <v>716154</v>
          </cell>
          <cell r="C6115" t="str">
            <v>OUTWARD REGISTER 8 QUIRE FOR SECURITY</v>
          </cell>
          <cell r="D6115" t="str">
            <v>L0030151                       EnggStore</v>
          </cell>
          <cell r="E6115">
            <v>0</v>
          </cell>
          <cell r="F6115" t="str">
            <v>ND No planning</v>
          </cell>
          <cell r="G6115" t="str">
            <v>HIBE Operating supplies</v>
          </cell>
          <cell r="H6115" t="str">
            <v>EN040     Prinitng &amp;Stationery</v>
          </cell>
          <cell r="I6115" t="str">
            <v>L003 Ankleshwar</v>
          </cell>
          <cell r="J6115" t="str">
            <v>99 Input/Byprodt/Scrap</v>
          </cell>
          <cell r="K6115" t="str">
            <v>10.2012</v>
          </cell>
          <cell r="L6115">
            <v>3</v>
          </cell>
          <cell r="M6115" t="str">
            <v>EA</v>
          </cell>
          <cell r="N6115">
            <v>1134</v>
          </cell>
          <cell r="O6115" t="str">
            <v>INR</v>
          </cell>
        </row>
        <row r="6116">
          <cell r="A6116" t="str">
            <v>L003 Ankleshwar</v>
          </cell>
          <cell r="B6116">
            <v>716195</v>
          </cell>
          <cell r="C6116" t="str">
            <v>PP-D1100 C/F BAG 48"F-5501 I/J 7ADCA</v>
          </cell>
          <cell r="D6116" t="str">
            <v>L0030201                       Cons StoreKP</v>
          </cell>
          <cell r="E6116" t="str">
            <v>E42 E42</v>
          </cell>
          <cell r="F6116" t="str">
            <v>VB Manual reorder point planning</v>
          </cell>
          <cell r="G6116" t="str">
            <v>HIBE Operating supplies</v>
          </cell>
          <cell r="H6116" t="str">
            <v>EN027     Prod&amp;OtherConsumable</v>
          </cell>
          <cell r="I6116" t="str">
            <v>L003 Ankleshwar</v>
          </cell>
          <cell r="J6116" t="str">
            <v>99 Input/Byprodt/Scrap</v>
          </cell>
          <cell r="K6116" t="str">
            <v>10.2012</v>
          </cell>
          <cell r="L6116">
            <v>6</v>
          </cell>
          <cell r="M6116" t="str">
            <v>EA</v>
          </cell>
          <cell r="N6116">
            <v>8322</v>
          </cell>
          <cell r="O6116" t="str">
            <v>INR</v>
          </cell>
        </row>
        <row r="6117">
          <cell r="A6117" t="str">
            <v>L003 Ankleshwar</v>
          </cell>
          <cell r="B6117">
            <v>716344</v>
          </cell>
          <cell r="C6117" t="str">
            <v>UNDER TEST LABEL :99MM X67MM</v>
          </cell>
          <cell r="D6117" t="str">
            <v>L0030151                       EnggStore</v>
          </cell>
          <cell r="E6117" t="str">
            <v>E42 E42</v>
          </cell>
          <cell r="F6117" t="str">
            <v>VB Manual reorder point planning</v>
          </cell>
          <cell r="G6117" t="str">
            <v>HIBE Operating supplies</v>
          </cell>
          <cell r="H6117" t="str">
            <v>EN040     Prinitng &amp;Stationery</v>
          </cell>
          <cell r="I6117" t="str">
            <v>L003 Ankleshwar</v>
          </cell>
          <cell r="J6117" t="str">
            <v>99 Input/Byprodt/Scrap</v>
          </cell>
          <cell r="K6117" t="str">
            <v>10.2012</v>
          </cell>
          <cell r="L6117">
            <v>19600</v>
          </cell>
          <cell r="M6117" t="str">
            <v>EA</v>
          </cell>
          <cell r="N6117">
            <v>11720.69</v>
          </cell>
          <cell r="O6117" t="str">
            <v>INR</v>
          </cell>
        </row>
        <row r="6118">
          <cell r="A6118" t="str">
            <v>L003 Ankleshwar</v>
          </cell>
          <cell r="B6118">
            <v>716457</v>
          </cell>
          <cell r="C6118" t="str">
            <v>SCALE PLASTIC 12"</v>
          </cell>
          <cell r="D6118" t="str">
            <v>L0030151                       EnggStore</v>
          </cell>
          <cell r="E6118" t="str">
            <v>E42 E42</v>
          </cell>
          <cell r="F6118" t="str">
            <v>VB Manual reorder point planning</v>
          </cell>
          <cell r="G6118" t="str">
            <v>HIBE Operating supplies</v>
          </cell>
          <cell r="H6118" t="str">
            <v>EN040     Prinitng &amp;Stationery</v>
          </cell>
          <cell r="I6118" t="str">
            <v>L003 Ankleshwar</v>
          </cell>
          <cell r="J6118" t="str">
            <v>99 Input/Byprodt/Scrap</v>
          </cell>
          <cell r="K6118" t="str">
            <v>10.2012</v>
          </cell>
          <cell r="L6118">
            <v>10</v>
          </cell>
          <cell r="M6118" t="str">
            <v>EA</v>
          </cell>
          <cell r="N6118">
            <v>84</v>
          </cell>
          <cell r="O6118" t="str">
            <v>INR</v>
          </cell>
        </row>
        <row r="6119">
          <cell r="A6119" t="str">
            <v>L003 Ankleshwar</v>
          </cell>
          <cell r="B6119">
            <v>716462</v>
          </cell>
          <cell r="C6119" t="str">
            <v>PUNCHING MACHINE BIG</v>
          </cell>
          <cell r="D6119" t="str">
            <v>L0030151                       EnggStore</v>
          </cell>
          <cell r="E6119" t="str">
            <v>E42 E42</v>
          </cell>
          <cell r="F6119" t="str">
            <v>VB Manual reorder point planning</v>
          </cell>
          <cell r="G6119" t="str">
            <v>HIBE Operating supplies</v>
          </cell>
          <cell r="H6119" t="str">
            <v>EN040     Prinitng &amp;Stationery</v>
          </cell>
          <cell r="I6119" t="str">
            <v>L003 Ankleshwar</v>
          </cell>
          <cell r="J6119" t="str">
            <v>99 Input/Byprodt/Scrap</v>
          </cell>
          <cell r="K6119" t="str">
            <v>10.2012</v>
          </cell>
          <cell r="L6119">
            <v>4</v>
          </cell>
          <cell r="M6119" t="str">
            <v>EA</v>
          </cell>
          <cell r="N6119">
            <v>189.3</v>
          </cell>
          <cell r="O6119" t="str">
            <v>INR</v>
          </cell>
        </row>
        <row r="6120">
          <cell r="A6120" t="str">
            <v>L003 Ankleshwar</v>
          </cell>
          <cell r="B6120">
            <v>716475</v>
          </cell>
          <cell r="C6120" t="str">
            <v>PERMANENT MARKER - BLACK</v>
          </cell>
          <cell r="D6120" t="str">
            <v>L0030151                       EnggStore</v>
          </cell>
          <cell r="E6120" t="str">
            <v>E42 E42</v>
          </cell>
          <cell r="F6120" t="str">
            <v>VB Manual reorder point planning</v>
          </cell>
          <cell r="G6120" t="str">
            <v>HIBE Operating supplies</v>
          </cell>
          <cell r="H6120" t="str">
            <v>EN040     Prinitng &amp;Stationery</v>
          </cell>
          <cell r="I6120" t="str">
            <v>L003 Ankleshwar</v>
          </cell>
          <cell r="J6120" t="str">
            <v>99 Input/Byprodt/Scrap</v>
          </cell>
          <cell r="K6120" t="str">
            <v>10.2012</v>
          </cell>
          <cell r="L6120">
            <v>15</v>
          </cell>
          <cell r="M6120" t="str">
            <v>EA</v>
          </cell>
          <cell r="N6120">
            <v>283.5</v>
          </cell>
          <cell r="O6120" t="str">
            <v>INR</v>
          </cell>
        </row>
        <row r="6121">
          <cell r="A6121" t="str">
            <v>L003 Ankleshwar</v>
          </cell>
          <cell r="B6121">
            <v>716475</v>
          </cell>
          <cell r="C6121" t="str">
            <v>PERMANENT MARKER - BLACK</v>
          </cell>
          <cell r="D6121" t="str">
            <v>L0030201                       Cons StoreKP</v>
          </cell>
          <cell r="E6121" t="str">
            <v>E42 E42</v>
          </cell>
          <cell r="F6121" t="str">
            <v>VB Manual reorder point planning</v>
          </cell>
          <cell r="G6121" t="str">
            <v>HIBE Operating supplies</v>
          </cell>
          <cell r="H6121" t="str">
            <v>EN040     Prinitng &amp;Stationery</v>
          </cell>
          <cell r="I6121" t="str">
            <v>L003 Ankleshwar</v>
          </cell>
          <cell r="J6121" t="str">
            <v>99 Input/Byprodt/Scrap</v>
          </cell>
          <cell r="K6121" t="str">
            <v>10.2012</v>
          </cell>
          <cell r="L6121">
            <v>12</v>
          </cell>
          <cell r="M6121" t="str">
            <v>EA</v>
          </cell>
          <cell r="N6121">
            <v>226.8</v>
          </cell>
          <cell r="O6121" t="str">
            <v>INR</v>
          </cell>
        </row>
        <row r="6122">
          <cell r="A6122" t="str">
            <v>L003 Ankleshwar</v>
          </cell>
          <cell r="B6122">
            <v>716476</v>
          </cell>
          <cell r="C6122" t="str">
            <v>PERMANENT MARKER - RED</v>
          </cell>
          <cell r="D6122" t="str">
            <v>L0030151                       EnggStore</v>
          </cell>
          <cell r="E6122" t="str">
            <v>E42 E42</v>
          </cell>
          <cell r="F6122" t="str">
            <v>VB Manual reorder point planning</v>
          </cell>
          <cell r="G6122" t="str">
            <v>HIBE Operating supplies</v>
          </cell>
          <cell r="H6122" t="str">
            <v>EN040     Prinitng &amp;Stationery</v>
          </cell>
          <cell r="I6122" t="str">
            <v>L003 Ankleshwar</v>
          </cell>
          <cell r="J6122" t="str">
            <v>99 Input/Byprodt/Scrap</v>
          </cell>
          <cell r="K6122" t="str">
            <v>10.2012</v>
          </cell>
          <cell r="L6122">
            <v>15</v>
          </cell>
          <cell r="M6122" t="str">
            <v>EA</v>
          </cell>
          <cell r="N6122">
            <v>283.44</v>
          </cell>
          <cell r="O6122" t="str">
            <v>INR</v>
          </cell>
        </row>
        <row r="6123">
          <cell r="A6123" t="str">
            <v>L003 Ankleshwar</v>
          </cell>
          <cell r="B6123">
            <v>716477</v>
          </cell>
          <cell r="C6123" t="str">
            <v>PERMANENT MARKER - BLUE</v>
          </cell>
          <cell r="D6123" t="str">
            <v>L0030151                       EnggStore</v>
          </cell>
          <cell r="E6123" t="str">
            <v>E42 E42</v>
          </cell>
          <cell r="F6123" t="str">
            <v>VB Manual reorder point planning</v>
          </cell>
          <cell r="G6123" t="str">
            <v>HIBE Operating supplies</v>
          </cell>
          <cell r="H6123" t="str">
            <v>EN040     Prinitng &amp;Stationery</v>
          </cell>
          <cell r="I6123" t="str">
            <v>L003 Ankleshwar</v>
          </cell>
          <cell r="J6123" t="str">
            <v>99 Input/Byprodt/Scrap</v>
          </cell>
          <cell r="K6123" t="str">
            <v>10.2012</v>
          </cell>
          <cell r="L6123">
            <v>14</v>
          </cell>
          <cell r="M6123" t="str">
            <v>EA</v>
          </cell>
          <cell r="N6123">
            <v>264.60000000000002</v>
          </cell>
          <cell r="O6123" t="str">
            <v>INR</v>
          </cell>
        </row>
        <row r="6124">
          <cell r="A6124" t="str">
            <v>L003 Ankleshwar</v>
          </cell>
          <cell r="B6124">
            <v>716477</v>
          </cell>
          <cell r="C6124" t="str">
            <v>PERMANENT MARKER - BLUE</v>
          </cell>
          <cell r="D6124" t="str">
            <v>L0030201                       Cons StoreKP</v>
          </cell>
          <cell r="E6124" t="str">
            <v>E42 E42</v>
          </cell>
          <cell r="F6124" t="str">
            <v>VB Manual reorder point planning</v>
          </cell>
          <cell r="G6124" t="str">
            <v>HIBE Operating supplies</v>
          </cell>
          <cell r="H6124" t="str">
            <v>EN040     Prinitng &amp;Stationery</v>
          </cell>
          <cell r="I6124" t="str">
            <v>L003 Ankleshwar</v>
          </cell>
          <cell r="J6124" t="str">
            <v>99 Input/Byprodt/Scrap</v>
          </cell>
          <cell r="K6124" t="str">
            <v>10.2012</v>
          </cell>
          <cell r="L6124">
            <v>5</v>
          </cell>
          <cell r="M6124" t="str">
            <v>EA</v>
          </cell>
          <cell r="N6124">
            <v>94.5</v>
          </cell>
          <cell r="O6124" t="str">
            <v>INR</v>
          </cell>
        </row>
        <row r="6125">
          <cell r="A6125" t="str">
            <v>L003 Ankleshwar</v>
          </cell>
          <cell r="B6125">
            <v>716478</v>
          </cell>
          <cell r="C6125" t="str">
            <v>PERMANENT MARKER - GREEN</v>
          </cell>
          <cell r="D6125" t="str">
            <v>L0030151                       EnggStore</v>
          </cell>
          <cell r="E6125" t="str">
            <v>E42 E42</v>
          </cell>
          <cell r="F6125" t="str">
            <v>VB Manual reorder point planning</v>
          </cell>
          <cell r="G6125" t="str">
            <v>HIBE Operating supplies</v>
          </cell>
          <cell r="H6125" t="str">
            <v>EN040     Prinitng &amp;Stationery</v>
          </cell>
          <cell r="I6125" t="str">
            <v>L003 Ankleshwar</v>
          </cell>
          <cell r="J6125" t="str">
            <v>99 Input/Byprodt/Scrap</v>
          </cell>
          <cell r="K6125" t="str">
            <v>10.2012</v>
          </cell>
          <cell r="L6125">
            <v>3</v>
          </cell>
          <cell r="M6125" t="str">
            <v>EA</v>
          </cell>
          <cell r="N6125">
            <v>56.7</v>
          </cell>
          <cell r="O6125" t="str">
            <v>INR</v>
          </cell>
        </row>
        <row r="6126">
          <cell r="A6126" t="str">
            <v>L003 Ankleshwar</v>
          </cell>
          <cell r="B6126">
            <v>716482</v>
          </cell>
          <cell r="C6126" t="str">
            <v>ERASER</v>
          </cell>
          <cell r="D6126" t="str">
            <v>L0030151                       EnggStore</v>
          </cell>
          <cell r="E6126" t="str">
            <v>E42 E42</v>
          </cell>
          <cell r="F6126" t="str">
            <v>VB Manual reorder point planning</v>
          </cell>
          <cell r="G6126" t="str">
            <v>HIBE Operating supplies</v>
          </cell>
          <cell r="H6126" t="str">
            <v>EN040     Prinitng &amp;Stationery</v>
          </cell>
          <cell r="I6126" t="str">
            <v>L003 Ankleshwar</v>
          </cell>
          <cell r="J6126" t="str">
            <v>99 Input/Byprodt/Scrap</v>
          </cell>
          <cell r="K6126" t="str">
            <v>10.2012</v>
          </cell>
          <cell r="L6126">
            <v>39</v>
          </cell>
          <cell r="M6126" t="str">
            <v>EA</v>
          </cell>
          <cell r="N6126">
            <v>32.759999999999899</v>
          </cell>
          <cell r="O6126" t="str">
            <v>INR</v>
          </cell>
        </row>
        <row r="6127">
          <cell r="A6127" t="str">
            <v>L003 Ankleshwar</v>
          </cell>
          <cell r="B6127">
            <v>716482</v>
          </cell>
          <cell r="C6127" t="str">
            <v>ERASER</v>
          </cell>
          <cell r="D6127" t="str">
            <v>L0030201                       Cons StoreKP</v>
          </cell>
          <cell r="E6127" t="str">
            <v>E42 E42</v>
          </cell>
          <cell r="F6127" t="str">
            <v>VB Manual reorder point planning</v>
          </cell>
          <cell r="G6127" t="str">
            <v>HIBE Operating supplies</v>
          </cell>
          <cell r="H6127" t="str">
            <v>EN040     Prinitng &amp;Stationery</v>
          </cell>
          <cell r="I6127" t="str">
            <v>L003 Ankleshwar</v>
          </cell>
          <cell r="J6127" t="str">
            <v>99 Input/Byprodt/Scrap</v>
          </cell>
          <cell r="K6127" t="str">
            <v>10.2012</v>
          </cell>
          <cell r="L6127">
            <v>9</v>
          </cell>
          <cell r="M6127" t="str">
            <v>EA</v>
          </cell>
          <cell r="N6127">
            <v>7.5599999999999898</v>
          </cell>
          <cell r="O6127" t="str">
            <v>INR</v>
          </cell>
        </row>
        <row r="6128">
          <cell r="A6128" t="str">
            <v>L003 Ankleshwar</v>
          </cell>
          <cell r="B6128">
            <v>716488</v>
          </cell>
          <cell r="C6128" t="str">
            <v>PENCIL</v>
          </cell>
          <cell r="D6128" t="str">
            <v>L0030151                       EnggStore</v>
          </cell>
          <cell r="E6128" t="str">
            <v>E42 E42</v>
          </cell>
          <cell r="F6128" t="str">
            <v>VB Manual reorder point planning</v>
          </cell>
          <cell r="G6128" t="str">
            <v>HIBE Operating supplies</v>
          </cell>
          <cell r="H6128" t="str">
            <v>EN040     Prinitng &amp;Stationery</v>
          </cell>
          <cell r="I6128" t="str">
            <v>L003 Ankleshwar</v>
          </cell>
          <cell r="J6128" t="str">
            <v>99 Input/Byprodt/Scrap</v>
          </cell>
          <cell r="K6128" t="str">
            <v>10.2012</v>
          </cell>
          <cell r="L6128">
            <v>15</v>
          </cell>
          <cell r="M6128" t="str">
            <v>EA</v>
          </cell>
          <cell r="N6128">
            <v>25.3599999999999</v>
          </cell>
          <cell r="O6128" t="str">
            <v>INR</v>
          </cell>
        </row>
        <row r="6129">
          <cell r="A6129" t="str">
            <v>L003 Ankleshwar</v>
          </cell>
          <cell r="B6129">
            <v>716488</v>
          </cell>
          <cell r="C6129" t="str">
            <v>PENCIL</v>
          </cell>
          <cell r="D6129" t="str">
            <v>L0030201                       Cons StoreKP</v>
          </cell>
          <cell r="E6129" t="str">
            <v>E42 E42</v>
          </cell>
          <cell r="F6129" t="str">
            <v>VB Manual reorder point planning</v>
          </cell>
          <cell r="G6129" t="str">
            <v>HIBE Operating supplies</v>
          </cell>
          <cell r="H6129" t="str">
            <v>EN040     Prinitng &amp;Stationery</v>
          </cell>
          <cell r="I6129" t="str">
            <v>L003 Ankleshwar</v>
          </cell>
          <cell r="J6129" t="str">
            <v>99 Input/Byprodt/Scrap</v>
          </cell>
          <cell r="K6129" t="str">
            <v>10.2012</v>
          </cell>
          <cell r="L6129">
            <v>23</v>
          </cell>
          <cell r="M6129" t="str">
            <v>EA</v>
          </cell>
          <cell r="N6129">
            <v>38.880000000000003</v>
          </cell>
          <cell r="O6129" t="str">
            <v>INR</v>
          </cell>
        </row>
        <row r="6130">
          <cell r="A6130" t="str">
            <v>L003 Ankleshwar</v>
          </cell>
          <cell r="B6130">
            <v>716492</v>
          </cell>
          <cell r="C6130" t="str">
            <v>WRITING PAD</v>
          </cell>
          <cell r="D6130" t="str">
            <v>L0030151                       EnggStore</v>
          </cell>
          <cell r="E6130" t="str">
            <v>E42 E42</v>
          </cell>
          <cell r="F6130" t="str">
            <v>VB Manual reorder point planning</v>
          </cell>
          <cell r="G6130" t="str">
            <v>HIBE Operating supplies</v>
          </cell>
          <cell r="H6130" t="str">
            <v>EN040     Prinitng &amp;Stationery</v>
          </cell>
          <cell r="I6130" t="str">
            <v>L003 Ankleshwar</v>
          </cell>
          <cell r="J6130" t="str">
            <v>99 Input/Byprodt/Scrap</v>
          </cell>
          <cell r="K6130" t="str">
            <v>10.2012</v>
          </cell>
          <cell r="L6130">
            <v>3</v>
          </cell>
          <cell r="M6130" t="str">
            <v>EA</v>
          </cell>
          <cell r="N6130">
            <v>28.35</v>
          </cell>
          <cell r="O6130" t="str">
            <v>INR</v>
          </cell>
        </row>
        <row r="6131">
          <cell r="A6131" t="str">
            <v>L003 Ankleshwar</v>
          </cell>
          <cell r="B6131">
            <v>716492</v>
          </cell>
          <cell r="C6131" t="str">
            <v>WRITING PAD</v>
          </cell>
          <cell r="D6131" t="str">
            <v>L0030201                       Cons StoreKP</v>
          </cell>
          <cell r="E6131" t="str">
            <v>E42 E42</v>
          </cell>
          <cell r="F6131" t="str">
            <v>VB Manual reorder point planning</v>
          </cell>
          <cell r="G6131" t="str">
            <v>HIBE Operating supplies</v>
          </cell>
          <cell r="H6131" t="str">
            <v>EN040     Prinitng &amp;Stationery</v>
          </cell>
          <cell r="I6131" t="str">
            <v>L003 Ankleshwar</v>
          </cell>
          <cell r="J6131" t="str">
            <v>99 Input/Byprodt/Scrap</v>
          </cell>
          <cell r="K6131" t="str">
            <v>10.2012</v>
          </cell>
          <cell r="L6131">
            <v>10</v>
          </cell>
          <cell r="M6131" t="str">
            <v>EA</v>
          </cell>
          <cell r="N6131">
            <v>94.5</v>
          </cell>
          <cell r="O6131" t="str">
            <v>INR</v>
          </cell>
        </row>
        <row r="6132">
          <cell r="A6132" t="str">
            <v>L003 Ankleshwar</v>
          </cell>
          <cell r="B6132">
            <v>716501</v>
          </cell>
          <cell r="C6132" t="str">
            <v>DUPLICATE BOOK</v>
          </cell>
          <cell r="D6132" t="str">
            <v>L0030151                       EnggStore</v>
          </cell>
          <cell r="E6132" t="str">
            <v>E42 E42</v>
          </cell>
          <cell r="F6132" t="str">
            <v>VB Manual reorder point planning</v>
          </cell>
          <cell r="G6132" t="str">
            <v>HIBE Operating supplies</v>
          </cell>
          <cell r="H6132" t="str">
            <v>EN040     Prinitng &amp;Stationery</v>
          </cell>
          <cell r="I6132" t="str">
            <v>L003 Ankleshwar</v>
          </cell>
          <cell r="J6132" t="str">
            <v>99 Input/Byprodt/Scrap</v>
          </cell>
          <cell r="K6132" t="str">
            <v>10.2012</v>
          </cell>
          <cell r="L6132">
            <v>16</v>
          </cell>
          <cell r="M6132" t="str">
            <v>EA</v>
          </cell>
          <cell r="N6132">
            <v>999.36</v>
          </cell>
          <cell r="O6132" t="str">
            <v>INR</v>
          </cell>
        </row>
        <row r="6133">
          <cell r="A6133" t="str">
            <v>L003 Ankleshwar</v>
          </cell>
          <cell r="B6133">
            <v>716528</v>
          </cell>
          <cell r="C6133" t="str">
            <v>REFILLS FOR BALL PEN</v>
          </cell>
          <cell r="D6133" t="str">
            <v>L0030151                       EnggStore</v>
          </cell>
          <cell r="E6133" t="str">
            <v>E42 E42</v>
          </cell>
          <cell r="F6133" t="str">
            <v>VB Manual reorder point planning</v>
          </cell>
          <cell r="G6133" t="str">
            <v>HIBE Operating supplies</v>
          </cell>
          <cell r="H6133" t="str">
            <v>EN040     Prinitng &amp;Stationery</v>
          </cell>
          <cell r="I6133" t="str">
            <v>L003 Ankleshwar</v>
          </cell>
          <cell r="J6133" t="str">
            <v>99 Input/Byprodt/Scrap</v>
          </cell>
          <cell r="K6133" t="str">
            <v>10.2012</v>
          </cell>
          <cell r="L6133">
            <v>112</v>
          </cell>
          <cell r="M6133" t="str">
            <v>EA</v>
          </cell>
          <cell r="N6133">
            <v>176.4</v>
          </cell>
          <cell r="O6133" t="str">
            <v>INR</v>
          </cell>
        </row>
        <row r="6134">
          <cell r="A6134" t="str">
            <v>L003 Ankleshwar</v>
          </cell>
          <cell r="B6134">
            <v>716528</v>
          </cell>
          <cell r="C6134" t="str">
            <v>REFILLS FOR BALL PEN</v>
          </cell>
          <cell r="D6134" t="str">
            <v>L0030201                       Cons StoreKP</v>
          </cell>
          <cell r="E6134" t="str">
            <v>E42 E42</v>
          </cell>
          <cell r="F6134" t="str">
            <v>VB Manual reorder point planning</v>
          </cell>
          <cell r="G6134" t="str">
            <v>HIBE Operating supplies</v>
          </cell>
          <cell r="H6134" t="str">
            <v>EN040     Prinitng &amp;Stationery</v>
          </cell>
          <cell r="I6134" t="str">
            <v>L003 Ankleshwar</v>
          </cell>
          <cell r="J6134" t="str">
            <v>99 Input/Byprodt/Scrap</v>
          </cell>
          <cell r="K6134" t="str">
            <v>10.2012</v>
          </cell>
          <cell r="L6134">
            <v>51</v>
          </cell>
          <cell r="M6134" t="str">
            <v>EA</v>
          </cell>
          <cell r="N6134">
            <v>80.319999999999894</v>
          </cell>
          <cell r="O6134" t="str">
            <v>INR</v>
          </cell>
        </row>
        <row r="6135">
          <cell r="A6135" t="str">
            <v>L003 Ankleshwar</v>
          </cell>
          <cell r="B6135">
            <v>716566</v>
          </cell>
          <cell r="C6135" t="str">
            <v>D-1100 CENTRIFUGE BAG 7AE 48"F-9202</v>
          </cell>
          <cell r="D6135" t="str">
            <v>L0030201                       Cons StoreKP</v>
          </cell>
          <cell r="E6135" t="str">
            <v>E01 E01</v>
          </cell>
          <cell r="F6135" t="str">
            <v>VB Manual reorder point planning</v>
          </cell>
          <cell r="G6135" t="str">
            <v>HIBE Operating supplies</v>
          </cell>
          <cell r="H6135" t="str">
            <v>EN027     Prod&amp;OtherConsumable</v>
          </cell>
          <cell r="I6135" t="str">
            <v>L003 Ankleshwar</v>
          </cell>
          <cell r="J6135" t="str">
            <v>99 Input/Byprodt/Scrap</v>
          </cell>
          <cell r="K6135" t="str">
            <v>10.2012</v>
          </cell>
          <cell r="L6135">
            <v>3</v>
          </cell>
          <cell r="M6135" t="str">
            <v>EA</v>
          </cell>
          <cell r="N6135">
            <v>3975</v>
          </cell>
          <cell r="O6135" t="str">
            <v>INR</v>
          </cell>
        </row>
        <row r="6136">
          <cell r="A6136" t="str">
            <v>L003 Ankleshwar</v>
          </cell>
          <cell r="B6136">
            <v>716567</v>
          </cell>
          <cell r="C6136" t="str">
            <v>D-1100 CENTRIFUGE BAG 7AE 48"F-6101</v>
          </cell>
          <cell r="D6136" t="str">
            <v>L0030201                       Cons StoreKP</v>
          </cell>
          <cell r="E6136" t="str">
            <v>E01 E01</v>
          </cell>
          <cell r="F6136" t="str">
            <v>VB Manual reorder point planning</v>
          </cell>
          <cell r="G6136" t="str">
            <v>HIBE Operating supplies</v>
          </cell>
          <cell r="H6136" t="str">
            <v>EN027     Prod&amp;OtherConsumable</v>
          </cell>
          <cell r="I6136" t="str">
            <v>L003 Ankleshwar</v>
          </cell>
          <cell r="J6136" t="str">
            <v>99 Input/Byprodt/Scrap</v>
          </cell>
          <cell r="K6136" t="str">
            <v>10.2012</v>
          </cell>
          <cell r="L6136">
            <v>1</v>
          </cell>
          <cell r="M6136" t="str">
            <v>EA</v>
          </cell>
          <cell r="N6136">
            <v>1325</v>
          </cell>
          <cell r="O6136" t="str">
            <v>INR</v>
          </cell>
        </row>
        <row r="6137">
          <cell r="A6137" t="str">
            <v>L003 Ankleshwar</v>
          </cell>
          <cell r="B6137">
            <v>716621</v>
          </cell>
          <cell r="C6137" t="str">
            <v>JALI SS 15"X18.5"X16MESH</v>
          </cell>
          <cell r="D6137" t="str">
            <v>L0030151                       EnggStore</v>
          </cell>
          <cell r="E6137" t="str">
            <v>E01 E01</v>
          </cell>
          <cell r="F6137" t="str">
            <v>VB Manual reorder point planning</v>
          </cell>
          <cell r="G6137" t="str">
            <v>HIBE Operating supplies</v>
          </cell>
          <cell r="H6137" t="str">
            <v>EN027     Prod&amp;OtherConsumable</v>
          </cell>
          <cell r="I6137" t="str">
            <v>L003 Ankleshwar</v>
          </cell>
          <cell r="J6137" t="str">
            <v>99 Input/Byprodt/Scrap</v>
          </cell>
          <cell r="K6137" t="str">
            <v>10.2012</v>
          </cell>
          <cell r="L6137">
            <v>5</v>
          </cell>
          <cell r="M6137" t="str">
            <v>EA</v>
          </cell>
          <cell r="N6137">
            <v>0</v>
          </cell>
          <cell r="O6137" t="str">
            <v>INR</v>
          </cell>
        </row>
        <row r="6138">
          <cell r="A6138" t="str">
            <v>L003 Ankleshwar</v>
          </cell>
          <cell r="B6138">
            <v>716637</v>
          </cell>
          <cell r="C6138" t="str">
            <v>KEROSINE PUMP SMALL</v>
          </cell>
          <cell r="D6138" t="str">
            <v>L0030151                       EnggStore</v>
          </cell>
          <cell r="E6138" t="str">
            <v>E42 E42</v>
          </cell>
          <cell r="F6138" t="str">
            <v>VB Manual reorder point planning</v>
          </cell>
          <cell r="G6138" t="str">
            <v>HIBE Operating supplies</v>
          </cell>
          <cell r="H6138" t="str">
            <v>EN027     Prod&amp;OtherConsumable</v>
          </cell>
          <cell r="I6138" t="str">
            <v>L003 Ankleshwar</v>
          </cell>
          <cell r="J6138" t="str">
            <v>99 Input/Byprodt/Scrap</v>
          </cell>
          <cell r="K6138" t="str">
            <v>10.2012</v>
          </cell>
          <cell r="L6138">
            <v>4</v>
          </cell>
          <cell r="M6138" t="str">
            <v>EA</v>
          </cell>
          <cell r="N6138">
            <v>65.689999999999898</v>
          </cell>
          <cell r="O6138" t="str">
            <v>INR</v>
          </cell>
        </row>
        <row r="6139">
          <cell r="A6139" t="str">
            <v>L003 Ankleshwar</v>
          </cell>
          <cell r="B6139">
            <v>716637</v>
          </cell>
          <cell r="C6139" t="str">
            <v>KEROSINE PUMP SMALL</v>
          </cell>
          <cell r="D6139" t="str">
            <v>L0030201                       Cons StoreKP</v>
          </cell>
          <cell r="E6139" t="str">
            <v>E42 E42</v>
          </cell>
          <cell r="F6139" t="str">
            <v>VB Manual reorder point planning</v>
          </cell>
          <cell r="G6139" t="str">
            <v>HIBE Operating supplies</v>
          </cell>
          <cell r="H6139" t="str">
            <v>EN027     Prod&amp;OtherConsumable</v>
          </cell>
          <cell r="I6139" t="str">
            <v>L003 Ankleshwar</v>
          </cell>
          <cell r="J6139" t="str">
            <v>99 Input/Byprodt/Scrap</v>
          </cell>
          <cell r="K6139" t="str">
            <v>10.2012</v>
          </cell>
          <cell r="L6139">
            <v>9</v>
          </cell>
          <cell r="M6139" t="str">
            <v>EA</v>
          </cell>
          <cell r="N6139">
            <v>147.80000000000001</v>
          </cell>
          <cell r="O6139" t="str">
            <v>INR</v>
          </cell>
        </row>
        <row r="6140">
          <cell r="A6140" t="str">
            <v>L003 Ankleshwar</v>
          </cell>
          <cell r="B6140">
            <v>716654</v>
          </cell>
          <cell r="C6140" t="str">
            <v>BEXEL SUPER ALKALINE CELL 1.5V SIZE AAA</v>
          </cell>
          <cell r="D6140" t="str">
            <v>L0030151                       EnggStore</v>
          </cell>
          <cell r="E6140" t="str">
            <v>E42 E42</v>
          </cell>
          <cell r="F6140" t="str">
            <v>VB Manual reorder point planning</v>
          </cell>
          <cell r="G6140" t="str">
            <v>HIBE Operating supplies</v>
          </cell>
          <cell r="H6140" t="str">
            <v>EN027     Prod&amp;OtherConsumable</v>
          </cell>
          <cell r="I6140" t="str">
            <v>L003 Ankleshwar</v>
          </cell>
          <cell r="J6140" t="str">
            <v>99 Input/Byprodt/Scrap</v>
          </cell>
          <cell r="K6140" t="str">
            <v>10.2012</v>
          </cell>
          <cell r="L6140">
            <v>20</v>
          </cell>
          <cell r="M6140" t="str">
            <v>EA</v>
          </cell>
          <cell r="N6140">
            <v>563.5</v>
          </cell>
          <cell r="O6140" t="str">
            <v>INR</v>
          </cell>
        </row>
        <row r="6141">
          <cell r="A6141" t="str">
            <v>L003 Ankleshwar</v>
          </cell>
          <cell r="B6141">
            <v>716687</v>
          </cell>
          <cell r="C6141" t="str">
            <v>BINDER CLIPS 19MM</v>
          </cell>
          <cell r="D6141" t="str">
            <v>L0030151                       EnggStore</v>
          </cell>
          <cell r="E6141">
            <v>0</v>
          </cell>
          <cell r="F6141" t="str">
            <v>ND No planning</v>
          </cell>
          <cell r="G6141" t="str">
            <v>HIBE Operating supplies</v>
          </cell>
          <cell r="H6141" t="str">
            <v>EN040     Prinitng &amp;Stationery</v>
          </cell>
          <cell r="I6141" t="str">
            <v>L003 Ankleshwar</v>
          </cell>
          <cell r="J6141" t="str">
            <v>99 Input/Byprodt/Scrap</v>
          </cell>
          <cell r="K6141" t="str">
            <v>10.2012</v>
          </cell>
          <cell r="L6141">
            <v>1</v>
          </cell>
          <cell r="M6141" t="str">
            <v>BOX</v>
          </cell>
          <cell r="N6141">
            <v>26.25</v>
          </cell>
          <cell r="O6141" t="str">
            <v>INR</v>
          </cell>
        </row>
        <row r="6142">
          <cell r="A6142" t="str">
            <v>L003 Ankleshwar</v>
          </cell>
          <cell r="B6142">
            <v>716961</v>
          </cell>
          <cell r="C6142" t="str">
            <v>D-1100 PP WOVEN NUTCH FILTER : 59"X17"</v>
          </cell>
          <cell r="D6142" t="str">
            <v>L0030201                       Cons StoreKP</v>
          </cell>
          <cell r="E6142">
            <v>0</v>
          </cell>
          <cell r="F6142" t="str">
            <v>ND No planning</v>
          </cell>
          <cell r="G6142" t="str">
            <v>HIBE Operating supplies</v>
          </cell>
          <cell r="H6142" t="str">
            <v>EN027     Prod&amp;OtherConsumable</v>
          </cell>
          <cell r="I6142" t="str">
            <v>L003 Ankleshwar</v>
          </cell>
          <cell r="J6142" t="str">
            <v>99 Input/Byprodt/Scrap</v>
          </cell>
          <cell r="K6142" t="str">
            <v>10.2012</v>
          </cell>
          <cell r="L6142">
            <v>2</v>
          </cell>
          <cell r="M6142" t="str">
            <v>EA</v>
          </cell>
          <cell r="N6142">
            <v>2360</v>
          </cell>
          <cell r="O6142" t="str">
            <v>INR</v>
          </cell>
        </row>
        <row r="6143">
          <cell r="A6143" t="str">
            <v>L003 Ankleshwar</v>
          </cell>
          <cell r="B6143">
            <v>717039</v>
          </cell>
          <cell r="C6143" t="str">
            <v>LUPIN LETTER HEAD</v>
          </cell>
          <cell r="D6143" t="str">
            <v>L0030151                       EnggStore</v>
          </cell>
          <cell r="E6143" t="str">
            <v>E42 E42</v>
          </cell>
          <cell r="F6143" t="str">
            <v>VB Manual reorder point planning</v>
          </cell>
          <cell r="G6143" t="str">
            <v>HIBE Operating supplies</v>
          </cell>
          <cell r="H6143" t="str">
            <v>EN027     Prod&amp;OtherConsumable</v>
          </cell>
          <cell r="I6143" t="str">
            <v>L003 Ankleshwar</v>
          </cell>
          <cell r="J6143" t="str">
            <v>99 Input/Byprodt/Scrap</v>
          </cell>
          <cell r="K6143" t="str">
            <v>10.2012</v>
          </cell>
          <cell r="L6143">
            <v>22</v>
          </cell>
          <cell r="M6143" t="str">
            <v>EA</v>
          </cell>
          <cell r="N6143">
            <v>2425.5</v>
          </cell>
          <cell r="O6143" t="str">
            <v>INR</v>
          </cell>
        </row>
        <row r="6144">
          <cell r="A6144" t="str">
            <v>L003 Ankleshwar</v>
          </cell>
          <cell r="B6144">
            <v>717096</v>
          </cell>
          <cell r="C6144" t="str">
            <v>PVC BLOCK FOR FITTING OF DIFFUSER</v>
          </cell>
          <cell r="D6144" t="str">
            <v>L0030151                       EnggStore</v>
          </cell>
          <cell r="E6144">
            <v>0</v>
          </cell>
          <cell r="F6144" t="str">
            <v>ND No planning</v>
          </cell>
          <cell r="G6144" t="str">
            <v>HIBE Operating supplies</v>
          </cell>
          <cell r="H6144" t="str">
            <v>EN027     Prod&amp;OtherConsumable</v>
          </cell>
          <cell r="I6144" t="str">
            <v>L003 Ankleshwar</v>
          </cell>
          <cell r="J6144" t="str">
            <v>99 Input/Byprodt/Scrap</v>
          </cell>
          <cell r="K6144" t="str">
            <v>10.2012</v>
          </cell>
          <cell r="L6144">
            <v>185</v>
          </cell>
          <cell r="M6144" t="str">
            <v>EA</v>
          </cell>
          <cell r="N6144">
            <v>51783.72</v>
          </cell>
          <cell r="O6144" t="str">
            <v>INR</v>
          </cell>
        </row>
        <row r="6145">
          <cell r="A6145" t="str">
            <v>L003 Ankleshwar</v>
          </cell>
          <cell r="B6145">
            <v>717151</v>
          </cell>
          <cell r="C6145" t="str">
            <v>1"ENDLASH RATCHET SYSTEM 5 MTR</v>
          </cell>
          <cell r="D6145" t="str">
            <v>L0030151                       EnggStore</v>
          </cell>
          <cell r="E6145">
            <v>0</v>
          </cell>
          <cell r="F6145" t="str">
            <v>ND No planning</v>
          </cell>
          <cell r="G6145" t="str">
            <v>HIBE Operating supplies</v>
          </cell>
          <cell r="H6145" t="str">
            <v>EN024     EnggConsumables</v>
          </cell>
          <cell r="I6145" t="str">
            <v>L003 Ankleshwar</v>
          </cell>
          <cell r="J6145" t="str">
            <v>99 Input/Byprodt/Scrap</v>
          </cell>
          <cell r="K6145" t="str">
            <v>10.2012</v>
          </cell>
          <cell r="L6145">
            <v>2</v>
          </cell>
          <cell r="M6145" t="str">
            <v>EA</v>
          </cell>
          <cell r="N6145">
            <v>475</v>
          </cell>
          <cell r="O6145" t="str">
            <v>INR</v>
          </cell>
        </row>
        <row r="6146">
          <cell r="A6146" t="str">
            <v>L003 Ankleshwar</v>
          </cell>
          <cell r="B6146">
            <v>718179</v>
          </cell>
          <cell r="C6146" t="str">
            <v>CYLINDER-MEASURING CYLINDER-250ML</v>
          </cell>
          <cell r="D6146" t="str">
            <v>L0030151                       EnggStore</v>
          </cell>
          <cell r="E6146">
            <v>0</v>
          </cell>
          <cell r="F6146" t="str">
            <v>ND No planning</v>
          </cell>
          <cell r="G6146" t="str">
            <v>HIBE Operating supplies</v>
          </cell>
          <cell r="H6146" t="str">
            <v>EN001     Filters Spares</v>
          </cell>
          <cell r="I6146" t="str">
            <v>L003 Ankleshwar</v>
          </cell>
          <cell r="J6146" t="str">
            <v>99 Input/Byprodt/Scrap</v>
          </cell>
          <cell r="K6146" t="str">
            <v>10.2012</v>
          </cell>
          <cell r="L6146">
            <v>4</v>
          </cell>
          <cell r="M6146" t="str">
            <v>EA</v>
          </cell>
          <cell r="N6146">
            <v>1472</v>
          </cell>
          <cell r="O6146" t="str">
            <v>INR</v>
          </cell>
        </row>
        <row r="6147">
          <cell r="A6147" t="str">
            <v>L003 Ankleshwar</v>
          </cell>
          <cell r="B6147">
            <v>718301</v>
          </cell>
          <cell r="C6147" t="str">
            <v>FUNNEL - POWDER,B-24,DIA-100MM</v>
          </cell>
          <cell r="D6147" t="str">
            <v>L0030151                       EnggStore</v>
          </cell>
          <cell r="E6147">
            <v>0</v>
          </cell>
          <cell r="F6147" t="str">
            <v>ND No planning</v>
          </cell>
          <cell r="G6147" t="str">
            <v>HIBE Operating supplies</v>
          </cell>
          <cell r="H6147" t="str">
            <v>EN001     Filters Spares</v>
          </cell>
          <cell r="I6147" t="str">
            <v>L003 Ankleshwar</v>
          </cell>
          <cell r="J6147" t="str">
            <v>99 Input/Byprodt/Scrap</v>
          </cell>
          <cell r="K6147" t="str">
            <v>10.2012</v>
          </cell>
          <cell r="L6147">
            <v>12</v>
          </cell>
          <cell r="M6147" t="str">
            <v>EA</v>
          </cell>
          <cell r="N6147">
            <v>2192.4099999999899</v>
          </cell>
          <cell r="O6147" t="str">
            <v>INR</v>
          </cell>
        </row>
        <row r="6148">
          <cell r="A6148" t="str">
            <v>L003 Ankleshwar</v>
          </cell>
          <cell r="B6148">
            <v>718377</v>
          </cell>
          <cell r="C6148" t="str">
            <v>HOLLOW STOPPER - B-24</v>
          </cell>
          <cell r="D6148" t="str">
            <v>L0030151                       EnggStore</v>
          </cell>
          <cell r="E6148">
            <v>0</v>
          </cell>
          <cell r="F6148" t="str">
            <v>ND No planning</v>
          </cell>
          <cell r="G6148" t="str">
            <v>HIBE Operating supplies</v>
          </cell>
          <cell r="H6148" t="str">
            <v>EN001     Filters Spares</v>
          </cell>
          <cell r="I6148" t="str">
            <v>L003 Ankleshwar</v>
          </cell>
          <cell r="J6148" t="str">
            <v>99 Input/Byprodt/Scrap</v>
          </cell>
          <cell r="K6148" t="str">
            <v>10.2012</v>
          </cell>
          <cell r="L6148">
            <v>50</v>
          </cell>
          <cell r="M6148" t="str">
            <v>EA</v>
          </cell>
          <cell r="N6148">
            <v>1575</v>
          </cell>
          <cell r="O6148" t="str">
            <v>INR</v>
          </cell>
        </row>
        <row r="6149">
          <cell r="A6149" t="str">
            <v>L003 Ankleshwar</v>
          </cell>
          <cell r="B6149">
            <v>718444</v>
          </cell>
          <cell r="C6149" t="str">
            <v>MARKING PENCIL-GLASS</v>
          </cell>
          <cell r="D6149" t="str">
            <v>L0030151                       EnggStore</v>
          </cell>
          <cell r="E6149">
            <v>0</v>
          </cell>
          <cell r="F6149" t="str">
            <v>ND No planning</v>
          </cell>
          <cell r="G6149" t="str">
            <v>HIBE Operating supplies</v>
          </cell>
          <cell r="H6149" t="str">
            <v>EN001     Filters Spares</v>
          </cell>
          <cell r="I6149" t="str">
            <v>L003 Ankleshwar</v>
          </cell>
          <cell r="J6149" t="str">
            <v>99 Input/Byprodt/Scrap</v>
          </cell>
          <cell r="K6149" t="str">
            <v>10.2012</v>
          </cell>
          <cell r="L6149">
            <v>13</v>
          </cell>
          <cell r="M6149" t="str">
            <v>EA</v>
          </cell>
          <cell r="N6149">
            <v>68.25</v>
          </cell>
          <cell r="O6149" t="str">
            <v>INR</v>
          </cell>
        </row>
        <row r="6150">
          <cell r="A6150" t="str">
            <v>L003 Ankleshwar</v>
          </cell>
          <cell r="B6150">
            <v>719390</v>
          </cell>
          <cell r="C6150" t="str">
            <v>PH ELECTRODE</v>
          </cell>
          <cell r="D6150" t="str">
            <v>L0030151                       EnggStore</v>
          </cell>
          <cell r="E6150">
            <v>0</v>
          </cell>
          <cell r="F6150" t="str">
            <v>ND No planning</v>
          </cell>
          <cell r="G6150" t="str">
            <v>HIBE Operating supplies</v>
          </cell>
          <cell r="H6150" t="str">
            <v>EN017     InstrumentSpares</v>
          </cell>
          <cell r="I6150" t="str">
            <v>L003 Ankleshwar</v>
          </cell>
          <cell r="J6150" t="str">
            <v>99 Input/Byprodt/Scrap</v>
          </cell>
          <cell r="K6150" t="str">
            <v>10.2012</v>
          </cell>
          <cell r="L6150">
            <v>3</v>
          </cell>
          <cell r="M6150" t="str">
            <v>EA</v>
          </cell>
          <cell r="N6150">
            <v>2167.38</v>
          </cell>
          <cell r="O6150" t="str">
            <v>INR</v>
          </cell>
        </row>
        <row r="6151">
          <cell r="A6151" t="str">
            <v>L003 Ankleshwar</v>
          </cell>
          <cell r="B6151">
            <v>719423</v>
          </cell>
          <cell r="C6151" t="str">
            <v>CARTRIDGE FILTER: 1µX20"LG A0013-G80Y22N</v>
          </cell>
          <cell r="D6151" t="str">
            <v>L0030151                       EnggStore</v>
          </cell>
          <cell r="E6151" t="str">
            <v>E42 E42</v>
          </cell>
          <cell r="F6151" t="str">
            <v>VB Manual reorder point planning</v>
          </cell>
          <cell r="G6151" t="str">
            <v>HIBE Operating supplies</v>
          </cell>
          <cell r="H6151" t="str">
            <v>EN027     Prod&amp;OtherConsumable</v>
          </cell>
          <cell r="I6151" t="str">
            <v>L003 Ankleshwar</v>
          </cell>
          <cell r="J6151" t="str">
            <v>99 Input/Byprodt/Scrap</v>
          </cell>
          <cell r="K6151" t="str">
            <v>10.2012</v>
          </cell>
          <cell r="L6151">
            <v>4</v>
          </cell>
          <cell r="M6151" t="str">
            <v>EA</v>
          </cell>
          <cell r="N6151">
            <v>4406.3999999999896</v>
          </cell>
          <cell r="O6151" t="str">
            <v>INR</v>
          </cell>
        </row>
        <row r="6152">
          <cell r="A6152" t="str">
            <v>L003 Ankleshwar</v>
          </cell>
          <cell r="B6152">
            <v>719605</v>
          </cell>
          <cell r="C6152" t="str">
            <v>ATC TYPE FOAM COMPOUND</v>
          </cell>
          <cell r="D6152" t="str">
            <v>L0030151                       EnggStore</v>
          </cell>
          <cell r="E6152">
            <v>0</v>
          </cell>
          <cell r="F6152" t="str">
            <v>ND No planning</v>
          </cell>
          <cell r="G6152" t="str">
            <v>HIBE Operating supplies</v>
          </cell>
          <cell r="H6152" t="str">
            <v>EN010     Fire&amp;safety</v>
          </cell>
          <cell r="I6152" t="str">
            <v>L003 Ankleshwar</v>
          </cell>
          <cell r="J6152" t="str">
            <v>99 Input/Byprodt/Scrap</v>
          </cell>
          <cell r="K6152" t="str">
            <v>10.2012</v>
          </cell>
          <cell r="L6152">
            <v>300</v>
          </cell>
          <cell r="M6152" t="str">
            <v>L</v>
          </cell>
          <cell r="N6152">
            <v>38256.919999999896</v>
          </cell>
          <cell r="O6152" t="str">
            <v>INR</v>
          </cell>
        </row>
        <row r="6153">
          <cell r="A6153" t="str">
            <v>L003 Ankleshwar</v>
          </cell>
          <cell r="B6153">
            <v>719606</v>
          </cell>
          <cell r="C6153" t="str">
            <v>HAZMAT FOAM COMPOUND</v>
          </cell>
          <cell r="D6153" t="str">
            <v>L0030151                       EnggStore</v>
          </cell>
          <cell r="E6153">
            <v>0</v>
          </cell>
          <cell r="F6153" t="str">
            <v>ND No planning</v>
          </cell>
          <cell r="G6153" t="str">
            <v>HIBE Operating supplies</v>
          </cell>
          <cell r="H6153" t="str">
            <v>EN010     Fire&amp;safety</v>
          </cell>
          <cell r="I6153" t="str">
            <v>L003 Ankleshwar</v>
          </cell>
          <cell r="J6153" t="str">
            <v>99 Input/Byprodt/Scrap</v>
          </cell>
          <cell r="K6153" t="str">
            <v>10.2012</v>
          </cell>
          <cell r="L6153">
            <v>100</v>
          </cell>
          <cell r="M6153" t="str">
            <v>L</v>
          </cell>
          <cell r="N6153">
            <v>7902.4799999999896</v>
          </cell>
          <cell r="O6153" t="str">
            <v>INR</v>
          </cell>
        </row>
        <row r="6154">
          <cell r="A6154" t="str">
            <v>L003 Ankleshwar</v>
          </cell>
          <cell r="B6154">
            <v>719711</v>
          </cell>
          <cell r="C6154" t="str">
            <v>INPROCESS SAMPLE LABEL FOR ANALYSIS</v>
          </cell>
          <cell r="D6154" t="str">
            <v>L0030151                       EnggStore</v>
          </cell>
          <cell r="E6154" t="str">
            <v>E42 E42</v>
          </cell>
          <cell r="F6154" t="str">
            <v>VB Manual reorder point planning</v>
          </cell>
          <cell r="G6154" t="str">
            <v>HIBE Operating supplies</v>
          </cell>
          <cell r="H6154" t="str">
            <v>EN027     Prod&amp;OtherConsumable</v>
          </cell>
          <cell r="I6154" t="str">
            <v>L003 Ankleshwar</v>
          </cell>
          <cell r="J6154" t="str">
            <v>99 Input/Byprodt/Scrap</v>
          </cell>
          <cell r="K6154" t="str">
            <v>10.2012</v>
          </cell>
          <cell r="L6154">
            <v>3700</v>
          </cell>
          <cell r="M6154" t="str">
            <v>EA</v>
          </cell>
          <cell r="N6154">
            <v>971.25</v>
          </cell>
          <cell r="O6154" t="str">
            <v>INR</v>
          </cell>
        </row>
        <row r="6155">
          <cell r="A6155" t="str">
            <v>L003 Ankleshwar</v>
          </cell>
          <cell r="B6155">
            <v>719711</v>
          </cell>
          <cell r="C6155" t="str">
            <v>INPROCESS SAMPLE LABEL FOR ANALYSIS</v>
          </cell>
          <cell r="D6155" t="str">
            <v>L0030201                       Cons StoreKP</v>
          </cell>
          <cell r="E6155" t="str">
            <v>E42 E42</v>
          </cell>
          <cell r="F6155" t="str">
            <v>VB Manual reorder point planning</v>
          </cell>
          <cell r="G6155" t="str">
            <v>HIBE Operating supplies</v>
          </cell>
          <cell r="H6155" t="str">
            <v>EN027     Prod&amp;OtherConsumable</v>
          </cell>
          <cell r="I6155" t="str">
            <v>L003 Ankleshwar</v>
          </cell>
          <cell r="J6155" t="str">
            <v>99 Input/Byprodt/Scrap</v>
          </cell>
          <cell r="K6155" t="str">
            <v>10.2012</v>
          </cell>
          <cell r="L6155">
            <v>3000</v>
          </cell>
          <cell r="M6155" t="str">
            <v>EA</v>
          </cell>
          <cell r="N6155">
            <v>787.5</v>
          </cell>
          <cell r="O6155" t="str">
            <v>INR</v>
          </cell>
        </row>
        <row r="6156">
          <cell r="A6156" t="str">
            <v>L003 Ankleshwar</v>
          </cell>
          <cell r="B6156">
            <v>719725</v>
          </cell>
          <cell r="C6156" t="str">
            <v>HAND GLOVES SURGICAL SIZE: 7</v>
          </cell>
          <cell r="D6156" t="str">
            <v>L0030151                       EnggStore</v>
          </cell>
          <cell r="E6156" t="str">
            <v>E01 E01</v>
          </cell>
          <cell r="F6156" t="str">
            <v>VB Manual reorder point planning</v>
          </cell>
          <cell r="G6156" t="str">
            <v>HIBE Operating supplies</v>
          </cell>
          <cell r="H6156" t="str">
            <v>EN001     Filters Spares</v>
          </cell>
          <cell r="I6156" t="str">
            <v>L003 Ankleshwar</v>
          </cell>
          <cell r="J6156" t="str">
            <v>99 Input/Byprodt/Scrap</v>
          </cell>
          <cell r="K6156" t="str">
            <v>10.2012</v>
          </cell>
          <cell r="L6156">
            <v>200</v>
          </cell>
          <cell r="M6156" t="str">
            <v>PAA</v>
          </cell>
          <cell r="N6156">
            <v>1400</v>
          </cell>
          <cell r="O6156" t="str">
            <v>INR</v>
          </cell>
        </row>
        <row r="6157">
          <cell r="A6157" t="str">
            <v>L003 Ankleshwar</v>
          </cell>
          <cell r="B6157">
            <v>719901</v>
          </cell>
          <cell r="C6157" t="str">
            <v>PVC GUN TAG 1 BOX X 5000 NOS SIZE:15MM</v>
          </cell>
          <cell r="D6157" t="str">
            <v>L0030151                       EnggStore</v>
          </cell>
          <cell r="E6157" t="str">
            <v>E42 E42</v>
          </cell>
          <cell r="F6157" t="str">
            <v>VB Manual reorder point planning</v>
          </cell>
          <cell r="G6157" t="str">
            <v>HIBE Operating supplies</v>
          </cell>
          <cell r="H6157" t="str">
            <v>EN040     Prinitng &amp;Stationery</v>
          </cell>
          <cell r="I6157" t="str">
            <v>L003 Ankleshwar</v>
          </cell>
          <cell r="J6157" t="str">
            <v>99 Input/Byprodt/Scrap</v>
          </cell>
          <cell r="K6157" t="str">
            <v>10.2012</v>
          </cell>
          <cell r="L6157">
            <v>4</v>
          </cell>
          <cell r="M6157" t="str">
            <v>BOX</v>
          </cell>
          <cell r="N6157">
            <v>755.58</v>
          </cell>
          <cell r="O6157" t="str">
            <v>INR</v>
          </cell>
        </row>
        <row r="6158">
          <cell r="A6158" t="str">
            <v>L003 Ankleshwar</v>
          </cell>
          <cell r="B6158">
            <v>719902</v>
          </cell>
          <cell r="C6158" t="str">
            <v>SEVELON</v>
          </cell>
          <cell r="D6158" t="str">
            <v>L0030151                       EnggStore</v>
          </cell>
          <cell r="E6158" t="str">
            <v>E42 E42</v>
          </cell>
          <cell r="F6158" t="str">
            <v>VB Manual reorder point planning</v>
          </cell>
          <cell r="G6158" t="str">
            <v>HIBE Operating supplies</v>
          </cell>
          <cell r="H6158" t="str">
            <v>EN014     Housekeeping</v>
          </cell>
          <cell r="I6158" t="str">
            <v>L003 Ankleshwar</v>
          </cell>
          <cell r="J6158" t="str">
            <v>99 Input/Byprodt/Scrap</v>
          </cell>
          <cell r="K6158" t="str">
            <v>10.2012</v>
          </cell>
          <cell r="L6158">
            <v>30</v>
          </cell>
          <cell r="M6158" t="str">
            <v>L</v>
          </cell>
          <cell r="N6158">
            <v>4536</v>
          </cell>
          <cell r="O6158" t="str">
            <v>INR</v>
          </cell>
        </row>
        <row r="6159">
          <cell r="A6159" t="str">
            <v>L003 Ankleshwar</v>
          </cell>
          <cell r="B6159">
            <v>719902</v>
          </cell>
          <cell r="C6159" t="str">
            <v>SEVELON</v>
          </cell>
          <cell r="D6159" t="str">
            <v>L0030201                       Cons StoreKP</v>
          </cell>
          <cell r="E6159" t="str">
            <v>E42 E42</v>
          </cell>
          <cell r="F6159" t="str">
            <v>VB Manual reorder point planning</v>
          </cell>
          <cell r="G6159" t="str">
            <v>HIBE Operating supplies</v>
          </cell>
          <cell r="H6159" t="str">
            <v>EN014     Housekeeping</v>
          </cell>
          <cell r="I6159" t="str">
            <v>L003 Ankleshwar</v>
          </cell>
          <cell r="J6159" t="str">
            <v>99 Input/Byprodt/Scrap</v>
          </cell>
          <cell r="K6159" t="str">
            <v>10.2012</v>
          </cell>
          <cell r="L6159">
            <v>10</v>
          </cell>
          <cell r="M6159" t="str">
            <v>L</v>
          </cell>
          <cell r="N6159">
            <v>1512</v>
          </cell>
          <cell r="O6159" t="str">
            <v>INR</v>
          </cell>
        </row>
        <row r="6160">
          <cell r="A6160" t="str">
            <v>L003 Ankleshwar</v>
          </cell>
          <cell r="B6160">
            <v>719903</v>
          </cell>
          <cell r="C6160" t="str">
            <v>CLINSIL AF 250</v>
          </cell>
          <cell r="D6160" t="str">
            <v>L0030151                       EnggStore</v>
          </cell>
          <cell r="E6160" t="str">
            <v>E01 E01</v>
          </cell>
          <cell r="F6160" t="str">
            <v>VB Manual reorder point planning</v>
          </cell>
          <cell r="G6160" t="str">
            <v>HIBE Operating supplies</v>
          </cell>
          <cell r="H6160" t="str">
            <v>EN027     Prod&amp;OtherConsumable</v>
          </cell>
          <cell r="I6160" t="str">
            <v>L003 Ankleshwar</v>
          </cell>
          <cell r="J6160" t="str">
            <v>99 Input/Byprodt/Scrap</v>
          </cell>
          <cell r="K6160" t="str">
            <v>10.2012</v>
          </cell>
          <cell r="L6160">
            <v>500</v>
          </cell>
          <cell r="M6160" t="str">
            <v>KG</v>
          </cell>
          <cell r="N6160">
            <v>44000</v>
          </cell>
          <cell r="O6160" t="str">
            <v>INR</v>
          </cell>
        </row>
        <row r="6161">
          <cell r="A6161" t="str">
            <v>L003 Ankleshwar</v>
          </cell>
          <cell r="B6161">
            <v>719946</v>
          </cell>
          <cell r="C6161" t="str">
            <v>10" PP SPUN FILTER ELEMENT - 5M</v>
          </cell>
          <cell r="D6161" t="str">
            <v>L0030151                       EnggStore</v>
          </cell>
          <cell r="E6161">
            <v>0</v>
          </cell>
          <cell r="F6161" t="str">
            <v>ND No planning</v>
          </cell>
          <cell r="G6161" t="str">
            <v>HIBE Operating supplies</v>
          </cell>
          <cell r="H6161" t="str">
            <v>EN027     Prod&amp;OtherConsumable</v>
          </cell>
          <cell r="I6161" t="str">
            <v>L003 Ankleshwar</v>
          </cell>
          <cell r="J6161" t="str">
            <v>99 Input/Byprodt/Scrap</v>
          </cell>
          <cell r="K6161" t="str">
            <v>10.2012</v>
          </cell>
          <cell r="L6161">
            <v>14</v>
          </cell>
          <cell r="M6161" t="str">
            <v>EA</v>
          </cell>
          <cell r="N6161">
            <v>3132.84</v>
          </cell>
          <cell r="O6161" t="str">
            <v>INR</v>
          </cell>
        </row>
        <row r="6162">
          <cell r="A6162" t="str">
            <v>L003 Ankleshwar</v>
          </cell>
          <cell r="B6162">
            <v>720154</v>
          </cell>
          <cell r="C6162" t="str">
            <v>GUM BOTLE (1X5 LTR)</v>
          </cell>
          <cell r="D6162" t="str">
            <v>L0030151                       EnggStore</v>
          </cell>
          <cell r="E6162">
            <v>0</v>
          </cell>
          <cell r="F6162" t="str">
            <v>ND No planning</v>
          </cell>
          <cell r="G6162" t="str">
            <v>HIBE Operating supplies</v>
          </cell>
          <cell r="H6162" t="str">
            <v>EN040     Prinitng &amp;Stationery</v>
          </cell>
          <cell r="I6162" t="str">
            <v>L003 Ankleshwar</v>
          </cell>
          <cell r="J6162" t="str">
            <v>99 Input/Byprodt/Scrap</v>
          </cell>
          <cell r="K6162" t="str">
            <v>10.2012</v>
          </cell>
          <cell r="L6162">
            <v>1</v>
          </cell>
          <cell r="M6162" t="str">
            <v>NO</v>
          </cell>
          <cell r="N6162">
            <v>199.5</v>
          </cell>
          <cell r="O6162" t="str">
            <v>INR</v>
          </cell>
        </row>
        <row r="6163">
          <cell r="A6163" t="str">
            <v>L003 Ankleshwar</v>
          </cell>
          <cell r="B6163">
            <v>720155</v>
          </cell>
          <cell r="C6163" t="str">
            <v>PLASTIC FILE</v>
          </cell>
          <cell r="D6163" t="str">
            <v>L0030151                       EnggStore</v>
          </cell>
          <cell r="E6163" t="str">
            <v>E42 E42</v>
          </cell>
          <cell r="F6163" t="str">
            <v>VB Manual reorder point planning</v>
          </cell>
          <cell r="G6163" t="str">
            <v>HIBE Operating supplies</v>
          </cell>
          <cell r="H6163" t="str">
            <v>EN040     Prinitng &amp;Stationery</v>
          </cell>
          <cell r="I6163" t="str">
            <v>L003 Ankleshwar</v>
          </cell>
          <cell r="J6163" t="str">
            <v>99 Input/Byprodt/Scrap</v>
          </cell>
          <cell r="K6163" t="str">
            <v>10.2012</v>
          </cell>
          <cell r="L6163">
            <v>50</v>
          </cell>
          <cell r="M6163" t="str">
            <v>NO</v>
          </cell>
          <cell r="N6163">
            <v>2362.5</v>
          </cell>
          <cell r="O6163" t="str">
            <v>INR</v>
          </cell>
        </row>
        <row r="6164">
          <cell r="A6164" t="str">
            <v>L003 Ankleshwar</v>
          </cell>
          <cell r="B6164">
            <v>720156</v>
          </cell>
          <cell r="C6164" t="str">
            <v>STAMP PAD BLUE</v>
          </cell>
          <cell r="D6164" t="str">
            <v>L0030151                       EnggStore</v>
          </cell>
          <cell r="E6164" t="str">
            <v>E42 E42</v>
          </cell>
          <cell r="F6164" t="str">
            <v>VB Manual reorder point planning</v>
          </cell>
          <cell r="G6164" t="str">
            <v>HIBE Operating supplies</v>
          </cell>
          <cell r="H6164" t="str">
            <v>EN040     Prinitng &amp;Stationery</v>
          </cell>
          <cell r="I6164" t="str">
            <v>L003 Ankleshwar</v>
          </cell>
          <cell r="J6164" t="str">
            <v>99 Input/Byprodt/Scrap</v>
          </cell>
          <cell r="K6164" t="str">
            <v>10.2012</v>
          </cell>
          <cell r="L6164">
            <v>7</v>
          </cell>
          <cell r="M6164" t="str">
            <v>NO</v>
          </cell>
          <cell r="N6164">
            <v>176.4</v>
          </cell>
          <cell r="O6164" t="str">
            <v>INR</v>
          </cell>
        </row>
        <row r="6165">
          <cell r="A6165" t="str">
            <v>L003 Ankleshwar</v>
          </cell>
          <cell r="B6165">
            <v>720175</v>
          </cell>
          <cell r="C6165" t="str">
            <v>WHITE BOARD DUSTER</v>
          </cell>
          <cell r="D6165" t="str">
            <v>L0030151                       EnggStore</v>
          </cell>
          <cell r="E6165">
            <v>0</v>
          </cell>
          <cell r="F6165" t="str">
            <v>ND No planning</v>
          </cell>
          <cell r="G6165" t="str">
            <v>HIBE Operating supplies</v>
          </cell>
          <cell r="H6165" t="str">
            <v>EN040     Prinitng &amp;Stationery</v>
          </cell>
          <cell r="I6165" t="str">
            <v>L003 Ankleshwar</v>
          </cell>
          <cell r="J6165" t="str">
            <v>99 Input/Byprodt/Scrap</v>
          </cell>
          <cell r="K6165" t="str">
            <v>10.2012</v>
          </cell>
          <cell r="L6165">
            <v>1</v>
          </cell>
          <cell r="M6165" t="str">
            <v>NO</v>
          </cell>
          <cell r="N6165">
            <v>89.25</v>
          </cell>
          <cell r="O6165" t="str">
            <v>INR</v>
          </cell>
        </row>
        <row r="6166">
          <cell r="A6166" t="str">
            <v>L003 Ankleshwar</v>
          </cell>
          <cell r="B6166">
            <v>720186</v>
          </cell>
          <cell r="C6166" t="str">
            <v>WHITE BOARD MARKER - BLACK</v>
          </cell>
          <cell r="D6166" t="str">
            <v>L0030151                       EnggStore</v>
          </cell>
          <cell r="E6166" t="str">
            <v>E42 E42</v>
          </cell>
          <cell r="F6166" t="str">
            <v>VB Manual reorder point planning</v>
          </cell>
          <cell r="G6166" t="str">
            <v>HIBE Operating supplies</v>
          </cell>
          <cell r="H6166" t="str">
            <v>EN040     Prinitng &amp;Stationery</v>
          </cell>
          <cell r="I6166" t="str">
            <v>L003 Ankleshwar</v>
          </cell>
          <cell r="J6166" t="str">
            <v>99 Input/Byprodt/Scrap</v>
          </cell>
          <cell r="K6166" t="str">
            <v>10.2012</v>
          </cell>
          <cell r="L6166">
            <v>14</v>
          </cell>
          <cell r="M6166" t="str">
            <v>NO</v>
          </cell>
          <cell r="N6166">
            <v>323.39999999999901</v>
          </cell>
          <cell r="O6166" t="str">
            <v>INR</v>
          </cell>
        </row>
        <row r="6167">
          <cell r="A6167" t="str">
            <v>L003 Ankleshwar</v>
          </cell>
          <cell r="B6167">
            <v>720186</v>
          </cell>
          <cell r="C6167" t="str">
            <v>WHITE BOARD MARKER - BLACK</v>
          </cell>
          <cell r="D6167" t="str">
            <v>L0030201                       Cons StoreKP</v>
          </cell>
          <cell r="E6167" t="str">
            <v>E42 E42</v>
          </cell>
          <cell r="F6167" t="str">
            <v>VB Manual reorder point planning</v>
          </cell>
          <cell r="G6167" t="str">
            <v>HIBE Operating supplies</v>
          </cell>
          <cell r="H6167" t="str">
            <v>EN040     Prinitng &amp;Stationery</v>
          </cell>
          <cell r="I6167" t="str">
            <v>L003 Ankleshwar</v>
          </cell>
          <cell r="J6167" t="str">
            <v>99 Input/Byprodt/Scrap</v>
          </cell>
          <cell r="K6167" t="str">
            <v>10.2012</v>
          </cell>
          <cell r="L6167">
            <v>3</v>
          </cell>
          <cell r="M6167" t="str">
            <v>NO</v>
          </cell>
          <cell r="N6167">
            <v>69.299999999999898</v>
          </cell>
          <cell r="O6167" t="str">
            <v>INR</v>
          </cell>
        </row>
        <row r="6168">
          <cell r="A6168" t="str">
            <v>L003 Ankleshwar</v>
          </cell>
          <cell r="B6168">
            <v>720931</v>
          </cell>
          <cell r="C6168" t="str">
            <v>BOX FILE</v>
          </cell>
          <cell r="D6168" t="str">
            <v>L0030151                       EnggStore</v>
          </cell>
          <cell r="E6168" t="str">
            <v>E42 E42</v>
          </cell>
          <cell r="F6168" t="str">
            <v>VB Manual reorder point planning</v>
          </cell>
          <cell r="G6168" t="str">
            <v>HIBE Operating supplies</v>
          </cell>
          <cell r="H6168" t="str">
            <v>EN040     Prinitng &amp;Stationery</v>
          </cell>
          <cell r="I6168" t="str">
            <v>L003 Ankleshwar</v>
          </cell>
          <cell r="J6168" t="str">
            <v>99 Input/Byprodt/Scrap</v>
          </cell>
          <cell r="K6168" t="str">
            <v>10.2012</v>
          </cell>
          <cell r="L6168">
            <v>32</v>
          </cell>
          <cell r="M6168" t="str">
            <v>EA</v>
          </cell>
          <cell r="N6168">
            <v>1176</v>
          </cell>
          <cell r="O6168" t="str">
            <v>INR</v>
          </cell>
        </row>
        <row r="6169">
          <cell r="A6169" t="str">
            <v>L003 Ankleshwar</v>
          </cell>
          <cell r="B6169">
            <v>720931</v>
          </cell>
          <cell r="C6169" t="str">
            <v>BOX FILE</v>
          </cell>
          <cell r="D6169" t="str">
            <v>L0030201                       Cons StoreKP</v>
          </cell>
          <cell r="E6169" t="str">
            <v>E42 E42</v>
          </cell>
          <cell r="F6169" t="str">
            <v>VB Manual reorder point planning</v>
          </cell>
          <cell r="G6169" t="str">
            <v>HIBE Operating supplies</v>
          </cell>
          <cell r="H6169" t="str">
            <v>EN040     Prinitng &amp;Stationery</v>
          </cell>
          <cell r="I6169" t="str">
            <v>L003 Ankleshwar</v>
          </cell>
          <cell r="J6169" t="str">
            <v>99 Input/Byprodt/Scrap</v>
          </cell>
          <cell r="K6169" t="str">
            <v>10.2012</v>
          </cell>
          <cell r="L6169">
            <v>31</v>
          </cell>
          <cell r="M6169" t="str">
            <v>EA</v>
          </cell>
          <cell r="N6169">
            <v>1139.25</v>
          </cell>
          <cell r="O6169" t="str">
            <v>INR</v>
          </cell>
        </row>
        <row r="6170">
          <cell r="A6170" t="str">
            <v>L003 Ankleshwar</v>
          </cell>
          <cell r="B6170">
            <v>720933</v>
          </cell>
          <cell r="C6170" t="str">
            <v>NOTE-BOOK(200 PAGES)</v>
          </cell>
          <cell r="D6170" t="str">
            <v>L0030151                       EnggStore</v>
          </cell>
          <cell r="E6170" t="str">
            <v>E42 E42</v>
          </cell>
          <cell r="F6170" t="str">
            <v>VB Manual reorder point planning</v>
          </cell>
          <cell r="G6170" t="str">
            <v>HIBE Operating supplies</v>
          </cell>
          <cell r="H6170" t="str">
            <v>EN040     Prinitng &amp;Stationery</v>
          </cell>
          <cell r="I6170" t="str">
            <v>L003 Ankleshwar</v>
          </cell>
          <cell r="J6170" t="str">
            <v>99 Input/Byprodt/Scrap</v>
          </cell>
          <cell r="K6170" t="str">
            <v>10.2012</v>
          </cell>
          <cell r="L6170">
            <v>10</v>
          </cell>
          <cell r="M6170" t="str">
            <v>EA</v>
          </cell>
          <cell r="N6170">
            <v>125.989999999999</v>
          </cell>
          <cell r="O6170" t="str">
            <v>INR</v>
          </cell>
        </row>
        <row r="6171">
          <cell r="A6171" t="str">
            <v>L003 Ankleshwar</v>
          </cell>
          <cell r="B6171">
            <v>720933</v>
          </cell>
          <cell r="C6171" t="str">
            <v>NOTE-BOOK(200 PAGES)</v>
          </cell>
          <cell r="D6171" t="str">
            <v>L0030201                       Cons StoreKP</v>
          </cell>
          <cell r="E6171" t="str">
            <v>E42 E42</v>
          </cell>
          <cell r="F6171" t="str">
            <v>VB Manual reorder point planning</v>
          </cell>
          <cell r="G6171" t="str">
            <v>HIBE Operating supplies</v>
          </cell>
          <cell r="H6171" t="str">
            <v>EN040     Prinitng &amp;Stationery</v>
          </cell>
          <cell r="I6171" t="str">
            <v>L003 Ankleshwar</v>
          </cell>
          <cell r="J6171" t="str">
            <v>99 Input/Byprodt/Scrap</v>
          </cell>
          <cell r="K6171" t="str">
            <v>10.2012</v>
          </cell>
          <cell r="L6171">
            <v>18</v>
          </cell>
          <cell r="M6171" t="str">
            <v>EA</v>
          </cell>
          <cell r="N6171">
            <v>226.789999999999</v>
          </cell>
          <cell r="O6171" t="str">
            <v>INR</v>
          </cell>
        </row>
        <row r="6172">
          <cell r="A6172" t="str">
            <v>L003 Ankleshwar</v>
          </cell>
          <cell r="B6172">
            <v>720936</v>
          </cell>
          <cell r="C6172" t="str">
            <v>OHP-MARKER PEN</v>
          </cell>
          <cell r="D6172" t="str">
            <v>L0030151                       EnggStore</v>
          </cell>
          <cell r="E6172" t="str">
            <v>E42 E42</v>
          </cell>
          <cell r="F6172" t="str">
            <v>ND No planning</v>
          </cell>
          <cell r="G6172" t="str">
            <v>HIBE Operating supplies</v>
          </cell>
          <cell r="H6172" t="str">
            <v>EN040     Prinitng &amp;Stationery</v>
          </cell>
          <cell r="I6172" t="str">
            <v>L003 Ankleshwar</v>
          </cell>
          <cell r="J6172" t="str">
            <v>99 Input/Byprodt/Scrap</v>
          </cell>
          <cell r="K6172" t="str">
            <v>10.2012</v>
          </cell>
          <cell r="L6172">
            <v>1</v>
          </cell>
          <cell r="M6172" t="str">
            <v>PAC</v>
          </cell>
          <cell r="N6172">
            <v>655.20000000000005</v>
          </cell>
          <cell r="O6172" t="str">
            <v>INR</v>
          </cell>
        </row>
        <row r="6173">
          <cell r="A6173" t="str">
            <v>L003 Ankleshwar</v>
          </cell>
          <cell r="B6173">
            <v>720937</v>
          </cell>
          <cell r="C6173" t="str">
            <v>BALL-PEN</v>
          </cell>
          <cell r="D6173" t="str">
            <v>L0030151                       EnggStore</v>
          </cell>
          <cell r="E6173">
            <v>0</v>
          </cell>
          <cell r="F6173" t="str">
            <v>ND No planning</v>
          </cell>
          <cell r="G6173" t="str">
            <v>HIBE Operating supplies</v>
          </cell>
          <cell r="H6173" t="str">
            <v>EN040     Prinitng &amp;Stationery</v>
          </cell>
          <cell r="I6173" t="str">
            <v>L003 Ankleshwar</v>
          </cell>
          <cell r="J6173" t="str">
            <v>99 Input/Byprodt/Scrap</v>
          </cell>
          <cell r="K6173" t="str">
            <v>10.2012</v>
          </cell>
          <cell r="L6173">
            <v>25</v>
          </cell>
          <cell r="M6173" t="str">
            <v>EA</v>
          </cell>
          <cell r="N6173">
            <v>56.25</v>
          </cell>
          <cell r="O6173" t="str">
            <v>INR</v>
          </cell>
        </row>
        <row r="6174">
          <cell r="A6174" t="str">
            <v>L003 Ankleshwar</v>
          </cell>
          <cell r="B6174">
            <v>720941</v>
          </cell>
          <cell r="C6174" t="str">
            <v>STAPLES PIN-10(KANGAROO)</v>
          </cell>
          <cell r="D6174" t="str">
            <v>L0030151                       EnggStore</v>
          </cell>
          <cell r="E6174" t="str">
            <v>E42 E42</v>
          </cell>
          <cell r="F6174" t="str">
            <v>VB Manual reorder point planning</v>
          </cell>
          <cell r="G6174" t="str">
            <v>HIBE Operating supplies</v>
          </cell>
          <cell r="H6174" t="str">
            <v>EN040     Prinitng &amp;Stationery</v>
          </cell>
          <cell r="I6174" t="str">
            <v>L003 Ankleshwar</v>
          </cell>
          <cell r="J6174" t="str">
            <v>99 Input/Byprodt/Scrap</v>
          </cell>
          <cell r="K6174" t="str">
            <v>10.2012</v>
          </cell>
          <cell r="L6174">
            <v>9.0999999999999908</v>
          </cell>
          <cell r="M6174" t="str">
            <v>PAC</v>
          </cell>
          <cell r="N6174">
            <v>1651.13</v>
          </cell>
          <cell r="O6174" t="str">
            <v>INR</v>
          </cell>
        </row>
        <row r="6175">
          <cell r="A6175" t="str">
            <v>L003 Ankleshwar</v>
          </cell>
          <cell r="B6175">
            <v>720951</v>
          </cell>
          <cell r="C6175" t="str">
            <v>CARBON PAPER BLUE</v>
          </cell>
          <cell r="D6175" t="str">
            <v>L0030201                       Cons StoreKP</v>
          </cell>
          <cell r="E6175" t="str">
            <v>E42 E42</v>
          </cell>
          <cell r="F6175" t="str">
            <v>VB Manual reorder point planning</v>
          </cell>
          <cell r="G6175" t="str">
            <v>HIBE Operating supplies</v>
          </cell>
          <cell r="H6175" t="str">
            <v>EN040     Prinitng &amp;Stationery</v>
          </cell>
          <cell r="I6175" t="str">
            <v>L003 Ankleshwar</v>
          </cell>
          <cell r="J6175" t="str">
            <v>99 Input/Byprodt/Scrap</v>
          </cell>
          <cell r="K6175" t="str">
            <v>10.2012</v>
          </cell>
          <cell r="L6175">
            <v>3</v>
          </cell>
          <cell r="M6175" t="str">
            <v>PAC</v>
          </cell>
          <cell r="N6175">
            <v>375.02999999999901</v>
          </cell>
          <cell r="O6175" t="str">
            <v>INR</v>
          </cell>
        </row>
        <row r="6176">
          <cell r="A6176" t="str">
            <v>L003 Ankleshwar</v>
          </cell>
          <cell r="B6176">
            <v>720963</v>
          </cell>
          <cell r="C6176" t="str">
            <v>PENCIL SHARPNER</v>
          </cell>
          <cell r="D6176" t="str">
            <v>L0030151                       EnggStore</v>
          </cell>
          <cell r="E6176" t="str">
            <v>E42 E42</v>
          </cell>
          <cell r="F6176" t="str">
            <v>VB Manual reorder point planning</v>
          </cell>
          <cell r="G6176" t="str">
            <v>HIBE Operating supplies</v>
          </cell>
          <cell r="H6176" t="str">
            <v>EN040     Prinitng &amp;Stationery</v>
          </cell>
          <cell r="I6176" t="str">
            <v>L003 Ankleshwar</v>
          </cell>
          <cell r="J6176" t="str">
            <v>99 Input/Byprodt/Scrap</v>
          </cell>
          <cell r="K6176" t="str">
            <v>10.2012</v>
          </cell>
          <cell r="L6176">
            <v>25</v>
          </cell>
          <cell r="M6176" t="str">
            <v>EA</v>
          </cell>
          <cell r="N6176">
            <v>37.5399999999999</v>
          </cell>
          <cell r="O6176" t="str">
            <v>INR</v>
          </cell>
        </row>
        <row r="6177">
          <cell r="A6177" t="str">
            <v>L003 Ankleshwar</v>
          </cell>
          <cell r="B6177">
            <v>720963</v>
          </cell>
          <cell r="C6177" t="str">
            <v>PENCIL SHARPNER</v>
          </cell>
          <cell r="D6177" t="str">
            <v>L0030201                       Cons StoreKP</v>
          </cell>
          <cell r="E6177" t="str">
            <v>E42 E42</v>
          </cell>
          <cell r="F6177" t="str">
            <v>VB Manual reorder point planning</v>
          </cell>
          <cell r="G6177" t="str">
            <v>HIBE Operating supplies</v>
          </cell>
          <cell r="H6177" t="str">
            <v>EN040     Prinitng &amp;Stationery</v>
          </cell>
          <cell r="I6177" t="str">
            <v>L003 Ankleshwar</v>
          </cell>
          <cell r="J6177" t="str">
            <v>99 Input/Byprodt/Scrap</v>
          </cell>
          <cell r="K6177" t="str">
            <v>10.2012</v>
          </cell>
          <cell r="L6177">
            <v>3</v>
          </cell>
          <cell r="M6177" t="str">
            <v>EA</v>
          </cell>
          <cell r="N6177">
            <v>4.50999999999999</v>
          </cell>
          <cell r="O6177" t="str">
            <v>INR</v>
          </cell>
        </row>
        <row r="6178">
          <cell r="A6178" t="str">
            <v>L003 Ankleshwar</v>
          </cell>
          <cell r="B6178">
            <v>720965</v>
          </cell>
          <cell r="C6178" t="str">
            <v>REGISTER -200PAGE</v>
          </cell>
          <cell r="D6178" t="str">
            <v>L0030151                       EnggStore</v>
          </cell>
          <cell r="E6178" t="str">
            <v>E42 E42</v>
          </cell>
          <cell r="F6178" t="str">
            <v>VB Manual reorder point planning</v>
          </cell>
          <cell r="G6178" t="str">
            <v>HIBE Operating supplies</v>
          </cell>
          <cell r="H6178" t="str">
            <v>EN040     Prinitng &amp;Stationery</v>
          </cell>
          <cell r="I6178" t="str">
            <v>L003 Ankleshwar</v>
          </cell>
          <cell r="J6178" t="str">
            <v>99 Input/Byprodt/Scrap</v>
          </cell>
          <cell r="K6178" t="str">
            <v>10.2012</v>
          </cell>
          <cell r="L6178">
            <v>7</v>
          </cell>
          <cell r="M6178" t="str">
            <v>EA</v>
          </cell>
          <cell r="N6178">
            <v>396.89999999999901</v>
          </cell>
          <cell r="O6178" t="str">
            <v>INR</v>
          </cell>
        </row>
        <row r="6179">
          <cell r="A6179" t="str">
            <v>L003 Ankleshwar</v>
          </cell>
          <cell r="B6179">
            <v>720965</v>
          </cell>
          <cell r="C6179" t="str">
            <v>REGISTER -200PAGE</v>
          </cell>
          <cell r="D6179" t="str">
            <v>L0030201                       Cons StoreKP</v>
          </cell>
          <cell r="E6179" t="str">
            <v>E42 E42</v>
          </cell>
          <cell r="F6179" t="str">
            <v>VB Manual reorder point planning</v>
          </cell>
          <cell r="G6179" t="str">
            <v>HIBE Operating supplies</v>
          </cell>
          <cell r="H6179" t="str">
            <v>EN040     Prinitng &amp;Stationery</v>
          </cell>
          <cell r="I6179" t="str">
            <v>L003 Ankleshwar</v>
          </cell>
          <cell r="J6179" t="str">
            <v>99 Input/Byprodt/Scrap</v>
          </cell>
          <cell r="K6179" t="str">
            <v>10.2012</v>
          </cell>
          <cell r="L6179">
            <v>38</v>
          </cell>
          <cell r="M6179" t="str">
            <v>EA</v>
          </cell>
          <cell r="N6179">
            <v>2154.5999999999899</v>
          </cell>
          <cell r="O6179" t="str">
            <v>INR</v>
          </cell>
        </row>
        <row r="6180">
          <cell r="A6180" t="str">
            <v>L003 Ankleshwar</v>
          </cell>
          <cell r="B6180">
            <v>721232</v>
          </cell>
          <cell r="C6180" t="str">
            <v>U PIN</v>
          </cell>
          <cell r="D6180" t="str">
            <v>L0030151                       EnggStore</v>
          </cell>
          <cell r="E6180">
            <v>0</v>
          </cell>
          <cell r="F6180" t="str">
            <v>ND No planning</v>
          </cell>
          <cell r="G6180" t="str">
            <v>HIBE Operating supplies</v>
          </cell>
          <cell r="H6180" t="str">
            <v>EN040     Prinitng &amp;Stationery</v>
          </cell>
          <cell r="I6180" t="str">
            <v>L003 Ankleshwar</v>
          </cell>
          <cell r="J6180" t="str">
            <v>99 Input/Byprodt/Scrap</v>
          </cell>
          <cell r="K6180" t="str">
            <v>10.2012</v>
          </cell>
          <cell r="L6180">
            <v>5</v>
          </cell>
          <cell r="M6180" t="str">
            <v>PAC</v>
          </cell>
          <cell r="N6180">
            <v>143.63999999999899</v>
          </cell>
          <cell r="O6180" t="str">
            <v>INR</v>
          </cell>
        </row>
        <row r="6181">
          <cell r="A6181" t="str">
            <v>L003 Ankleshwar</v>
          </cell>
          <cell r="B6181">
            <v>721259</v>
          </cell>
          <cell r="C6181" t="str">
            <v>VISITING CARD</v>
          </cell>
          <cell r="D6181" t="str">
            <v>L0030151                       EnggStore</v>
          </cell>
          <cell r="E6181" t="str">
            <v>E05 E05</v>
          </cell>
          <cell r="F6181" t="str">
            <v>VB Manual reorder point planning</v>
          </cell>
          <cell r="G6181" t="str">
            <v>HIBE Operating supplies</v>
          </cell>
          <cell r="H6181" t="str">
            <v>EN040     Prinitng &amp;Stationery</v>
          </cell>
          <cell r="I6181" t="str">
            <v>L003 Ankleshwar</v>
          </cell>
          <cell r="J6181" t="str">
            <v>99 Input/Byprodt/Scrap</v>
          </cell>
          <cell r="K6181" t="str">
            <v>10.2012</v>
          </cell>
          <cell r="L6181">
            <v>1170</v>
          </cell>
          <cell r="M6181" t="str">
            <v>EA</v>
          </cell>
          <cell r="N6181">
            <v>1044.23</v>
          </cell>
          <cell r="O6181" t="str">
            <v>INR</v>
          </cell>
        </row>
        <row r="6182">
          <cell r="A6182" t="str">
            <v>L003 Ankleshwar</v>
          </cell>
          <cell r="B6182">
            <v>721487</v>
          </cell>
          <cell r="C6182" t="str">
            <v>REGISTER - 100 PAGE</v>
          </cell>
          <cell r="D6182" t="str">
            <v>L0030151                       EnggStore</v>
          </cell>
          <cell r="E6182" t="str">
            <v>E42 E42</v>
          </cell>
          <cell r="F6182" t="str">
            <v>VB Manual reorder point planning</v>
          </cell>
          <cell r="G6182" t="str">
            <v>HIBE Operating supplies</v>
          </cell>
          <cell r="H6182" t="str">
            <v>EN040     Prinitng &amp;Stationery</v>
          </cell>
          <cell r="I6182" t="str">
            <v>L003 Ankleshwar</v>
          </cell>
          <cell r="J6182" t="str">
            <v>99 Input/Byprodt/Scrap</v>
          </cell>
          <cell r="K6182" t="str">
            <v>10.2012</v>
          </cell>
          <cell r="L6182">
            <v>27</v>
          </cell>
          <cell r="M6182" t="str">
            <v>EA</v>
          </cell>
          <cell r="N6182">
            <v>453.58999999999901</v>
          </cell>
          <cell r="O6182" t="str">
            <v>INR</v>
          </cell>
        </row>
        <row r="6183">
          <cell r="A6183" t="str">
            <v>L003 Ankleshwar</v>
          </cell>
          <cell r="B6183">
            <v>721487</v>
          </cell>
          <cell r="C6183" t="str">
            <v>REGISTER - 100 PAGE</v>
          </cell>
          <cell r="D6183" t="str">
            <v>L0030201                       Cons StoreKP</v>
          </cell>
          <cell r="E6183" t="str">
            <v>E42 E42</v>
          </cell>
          <cell r="F6183" t="str">
            <v>VB Manual reorder point planning</v>
          </cell>
          <cell r="G6183" t="str">
            <v>HIBE Operating supplies</v>
          </cell>
          <cell r="H6183" t="str">
            <v>EN040     Prinitng &amp;Stationery</v>
          </cell>
          <cell r="I6183" t="str">
            <v>L003 Ankleshwar</v>
          </cell>
          <cell r="J6183" t="str">
            <v>99 Input/Byprodt/Scrap</v>
          </cell>
          <cell r="K6183" t="str">
            <v>10.2012</v>
          </cell>
          <cell r="L6183">
            <v>35</v>
          </cell>
          <cell r="M6183" t="str">
            <v>EA</v>
          </cell>
          <cell r="N6183">
            <v>587.99</v>
          </cell>
          <cell r="O6183" t="str">
            <v>INR</v>
          </cell>
        </row>
        <row r="6184">
          <cell r="A6184" t="str">
            <v>L003 Ankleshwar</v>
          </cell>
          <cell r="B6184">
            <v>721572</v>
          </cell>
          <cell r="C6184" t="str">
            <v>WHITE BOARD MARKER PEN</v>
          </cell>
          <cell r="D6184" t="str">
            <v>L0030151                       EnggStore</v>
          </cell>
          <cell r="E6184" t="str">
            <v>E42 E42</v>
          </cell>
          <cell r="F6184" t="str">
            <v>VB Manual reorder point planning</v>
          </cell>
          <cell r="G6184" t="str">
            <v>HIBE Operating supplies</v>
          </cell>
          <cell r="H6184" t="str">
            <v>EN040     Prinitng &amp;Stationery</v>
          </cell>
          <cell r="I6184" t="str">
            <v>L003 Ankleshwar</v>
          </cell>
          <cell r="J6184" t="str">
            <v>99 Input/Byprodt/Scrap</v>
          </cell>
          <cell r="K6184" t="str">
            <v>10.2012</v>
          </cell>
          <cell r="L6184">
            <v>14</v>
          </cell>
          <cell r="M6184" t="str">
            <v>EA</v>
          </cell>
          <cell r="N6184">
            <v>323.39999999999901</v>
          </cell>
          <cell r="O6184" t="str">
            <v>INR</v>
          </cell>
        </row>
        <row r="6185">
          <cell r="A6185" t="str">
            <v>L003 Ankleshwar</v>
          </cell>
          <cell r="B6185">
            <v>721572</v>
          </cell>
          <cell r="C6185" t="str">
            <v>WHITE BOARD MARKER PEN</v>
          </cell>
          <cell r="D6185" t="str">
            <v>L0030201                       Cons StoreKP</v>
          </cell>
          <cell r="E6185" t="str">
            <v>E42 E42</v>
          </cell>
          <cell r="F6185" t="str">
            <v>VB Manual reorder point planning</v>
          </cell>
          <cell r="G6185" t="str">
            <v>HIBE Operating supplies</v>
          </cell>
          <cell r="H6185" t="str">
            <v>EN040     Prinitng &amp;Stationery</v>
          </cell>
          <cell r="I6185" t="str">
            <v>L003 Ankleshwar</v>
          </cell>
          <cell r="J6185" t="str">
            <v>99 Input/Byprodt/Scrap</v>
          </cell>
          <cell r="K6185" t="str">
            <v>10.2012</v>
          </cell>
          <cell r="L6185">
            <v>70</v>
          </cell>
          <cell r="M6185" t="str">
            <v>EA</v>
          </cell>
          <cell r="N6185">
            <v>1616.98</v>
          </cell>
          <cell r="O6185" t="str">
            <v>INR</v>
          </cell>
        </row>
        <row r="6186">
          <cell r="A6186" t="str">
            <v>L003 Ankleshwar</v>
          </cell>
          <cell r="B6186">
            <v>721710</v>
          </cell>
          <cell r="C6186" t="str">
            <v>GLASS DESSICATOR 160CM SMALL</v>
          </cell>
          <cell r="D6186" t="str">
            <v>L0030151                       EnggStore</v>
          </cell>
          <cell r="E6186">
            <v>0</v>
          </cell>
          <cell r="F6186" t="str">
            <v>ND No planning</v>
          </cell>
          <cell r="G6186" t="str">
            <v>HIBE Operating supplies</v>
          </cell>
          <cell r="H6186" t="str">
            <v>EN034     LabConsumables</v>
          </cell>
          <cell r="I6186" t="str">
            <v>L003 Ankleshwar</v>
          </cell>
          <cell r="J6186" t="str">
            <v>99 Input/Byprodt/Scrap</v>
          </cell>
          <cell r="K6186" t="str">
            <v>10.2012</v>
          </cell>
          <cell r="L6186">
            <v>1</v>
          </cell>
          <cell r="M6186" t="str">
            <v>EA</v>
          </cell>
          <cell r="N6186">
            <v>2425.5</v>
          </cell>
          <cell r="O6186" t="str">
            <v>INR</v>
          </cell>
        </row>
        <row r="6187">
          <cell r="A6187" t="str">
            <v>L003 Ankleshwar</v>
          </cell>
          <cell r="B6187">
            <v>721761</v>
          </cell>
          <cell r="C6187" t="str">
            <v>DP-900 ANTISTATIC C/F BAG 48"F-2301</v>
          </cell>
          <cell r="D6187" t="str">
            <v>L0030151                       EnggStore</v>
          </cell>
          <cell r="E6187" t="str">
            <v>E01 E01</v>
          </cell>
          <cell r="F6187" t="str">
            <v>VB Manual reorder point planning</v>
          </cell>
          <cell r="G6187" t="str">
            <v>HIBE Operating supplies</v>
          </cell>
          <cell r="H6187" t="str">
            <v>EN001     Filters Spares</v>
          </cell>
          <cell r="I6187" t="str">
            <v>L003 Ankleshwar</v>
          </cell>
          <cell r="J6187" t="str">
            <v>99 Input/Byprodt/Scrap</v>
          </cell>
          <cell r="K6187" t="str">
            <v>10.2012</v>
          </cell>
          <cell r="L6187">
            <v>2</v>
          </cell>
          <cell r="M6187" t="str">
            <v>EA</v>
          </cell>
          <cell r="N6187">
            <v>1941.88</v>
          </cell>
          <cell r="O6187" t="str">
            <v>INR</v>
          </cell>
        </row>
        <row r="6188">
          <cell r="A6188" t="str">
            <v>L003 Ankleshwar</v>
          </cell>
          <cell r="B6188">
            <v>721762</v>
          </cell>
          <cell r="C6188" t="str">
            <v>DP-900 ANTISTATIC C/F BAG 48"F-2302</v>
          </cell>
          <cell r="D6188" t="str">
            <v>L0030151                       EnggStore</v>
          </cell>
          <cell r="E6188" t="str">
            <v>E01 E01</v>
          </cell>
          <cell r="F6188" t="str">
            <v>VB Manual reorder point planning</v>
          </cell>
          <cell r="G6188" t="str">
            <v>HIBE Operating supplies</v>
          </cell>
          <cell r="H6188" t="str">
            <v>EN001     Filters Spares</v>
          </cell>
          <cell r="I6188" t="str">
            <v>L003 Ankleshwar</v>
          </cell>
          <cell r="J6188" t="str">
            <v>99 Input/Byprodt/Scrap</v>
          </cell>
          <cell r="K6188" t="str">
            <v>10.2012</v>
          </cell>
          <cell r="L6188">
            <v>3</v>
          </cell>
          <cell r="M6188" t="str">
            <v>EA</v>
          </cell>
          <cell r="N6188">
            <v>3114</v>
          </cell>
          <cell r="O6188" t="str">
            <v>INR</v>
          </cell>
        </row>
        <row r="6189">
          <cell r="A6189" t="str">
            <v>L003 Ankleshwar</v>
          </cell>
          <cell r="B6189">
            <v>721764</v>
          </cell>
          <cell r="C6189" t="str">
            <v>DP-900 ANTISTATIC C/F BAG 48"F-2101</v>
          </cell>
          <cell r="D6189" t="str">
            <v>L0030151                       EnggStore</v>
          </cell>
          <cell r="E6189" t="str">
            <v>E42 E42</v>
          </cell>
          <cell r="F6189" t="str">
            <v>VB Manual reorder point planning</v>
          </cell>
          <cell r="G6189" t="str">
            <v>HIBE Operating supplies</v>
          </cell>
          <cell r="H6189" t="str">
            <v>EN001     Filters Spares</v>
          </cell>
          <cell r="I6189" t="str">
            <v>L003 Ankleshwar</v>
          </cell>
          <cell r="J6189" t="str">
            <v>99 Input/Byprodt/Scrap</v>
          </cell>
          <cell r="K6189" t="str">
            <v>10.2012</v>
          </cell>
          <cell r="L6189">
            <v>1</v>
          </cell>
          <cell r="M6189" t="str">
            <v>EA</v>
          </cell>
          <cell r="N6189">
            <v>970</v>
          </cell>
          <cell r="O6189" t="str">
            <v>INR</v>
          </cell>
        </row>
        <row r="6190">
          <cell r="A6190" t="str">
            <v>L003 Ankleshwar</v>
          </cell>
          <cell r="B6190">
            <v>721765</v>
          </cell>
          <cell r="C6190" t="str">
            <v>SK-804 C/F BAG 100% FPP48"F-2401A</v>
          </cell>
          <cell r="D6190" t="str">
            <v>L0030151                       EnggStore</v>
          </cell>
          <cell r="E6190" t="str">
            <v>E01 E01</v>
          </cell>
          <cell r="F6190" t="str">
            <v>VB Manual reorder point planning</v>
          </cell>
          <cell r="G6190" t="str">
            <v>HIBE Operating supplies</v>
          </cell>
          <cell r="H6190" t="str">
            <v>EN001     Filters Spares</v>
          </cell>
          <cell r="I6190" t="str">
            <v>L003 Ankleshwar</v>
          </cell>
          <cell r="J6190" t="str">
            <v>99 Input/Byprodt/Scrap</v>
          </cell>
          <cell r="K6190" t="str">
            <v>10.2012</v>
          </cell>
          <cell r="L6190">
            <v>2</v>
          </cell>
          <cell r="M6190" t="str">
            <v>EA</v>
          </cell>
          <cell r="N6190">
            <v>2367.1999999999898</v>
          </cell>
          <cell r="O6190" t="str">
            <v>INR</v>
          </cell>
        </row>
        <row r="6191">
          <cell r="A6191" t="str">
            <v>L003 Ankleshwar</v>
          </cell>
          <cell r="B6191">
            <v>722327</v>
          </cell>
          <cell r="C6191" t="str">
            <v>SAMPLE BOTTLES ( 20 ML)</v>
          </cell>
          <cell r="D6191" t="str">
            <v>L0030151                       EnggStore</v>
          </cell>
          <cell r="E6191">
            <v>0</v>
          </cell>
          <cell r="F6191" t="str">
            <v>ND No planning</v>
          </cell>
          <cell r="G6191" t="str">
            <v>HIBE Operating supplies</v>
          </cell>
          <cell r="H6191" t="str">
            <v>EN034     LabConsumables</v>
          </cell>
          <cell r="I6191" t="str">
            <v>L003 Ankleshwar</v>
          </cell>
          <cell r="J6191" t="str">
            <v>99 Input/Byprodt/Scrap</v>
          </cell>
          <cell r="K6191" t="str">
            <v>10.2012</v>
          </cell>
          <cell r="L6191">
            <v>2698</v>
          </cell>
          <cell r="M6191" t="str">
            <v>EA</v>
          </cell>
          <cell r="N6191">
            <v>8498.7000000000007</v>
          </cell>
          <cell r="O6191" t="str">
            <v>INR</v>
          </cell>
        </row>
        <row r="6192">
          <cell r="A6192" t="str">
            <v>L003 Ankleshwar</v>
          </cell>
          <cell r="B6192">
            <v>722327</v>
          </cell>
          <cell r="C6192" t="str">
            <v>SAMPLE BOTTLES ( 20 ML)</v>
          </cell>
          <cell r="D6192" t="str">
            <v>L0030201                       Cons StoreKP</v>
          </cell>
          <cell r="E6192">
            <v>0</v>
          </cell>
          <cell r="F6192" t="str">
            <v>ND No planning</v>
          </cell>
          <cell r="G6192" t="str">
            <v>HIBE Operating supplies</v>
          </cell>
          <cell r="H6192" t="str">
            <v>EN034     LabConsumables</v>
          </cell>
          <cell r="I6192" t="str">
            <v>L003 Ankleshwar</v>
          </cell>
          <cell r="J6192" t="str">
            <v>99 Input/Byprodt/Scrap</v>
          </cell>
          <cell r="K6192" t="str">
            <v>10.2012</v>
          </cell>
          <cell r="L6192">
            <v>2265</v>
          </cell>
          <cell r="M6192" t="str">
            <v>EA</v>
          </cell>
          <cell r="N6192">
            <v>7134.75</v>
          </cell>
          <cell r="O6192" t="str">
            <v>INR</v>
          </cell>
        </row>
        <row r="6193">
          <cell r="A6193" t="str">
            <v>L003 Ankleshwar</v>
          </cell>
          <cell r="B6193">
            <v>722373</v>
          </cell>
          <cell r="C6193" t="str">
            <v>CONICAL FLASK 250ML</v>
          </cell>
          <cell r="D6193" t="str">
            <v>L0030151                       EnggStore</v>
          </cell>
          <cell r="E6193">
            <v>0</v>
          </cell>
          <cell r="F6193" t="str">
            <v>ND No planning</v>
          </cell>
          <cell r="G6193" t="str">
            <v>HIBE Operating supplies</v>
          </cell>
          <cell r="H6193" t="str">
            <v>EN034     LabConsumables</v>
          </cell>
          <cell r="I6193" t="str">
            <v>L003 Ankleshwar</v>
          </cell>
          <cell r="J6193" t="str">
            <v>99 Input/Byprodt/Scrap</v>
          </cell>
          <cell r="K6193" t="str">
            <v>10.2012</v>
          </cell>
          <cell r="L6193">
            <v>2</v>
          </cell>
          <cell r="M6193" t="str">
            <v>EA</v>
          </cell>
          <cell r="N6193">
            <v>126.42</v>
          </cell>
          <cell r="O6193" t="str">
            <v>INR</v>
          </cell>
        </row>
        <row r="6194">
          <cell r="A6194" t="str">
            <v>L003 Ankleshwar</v>
          </cell>
          <cell r="B6194">
            <v>722430</v>
          </cell>
          <cell r="C6194" t="str">
            <v>VOLUMETRIC PIPETTES CLEAR 2ML A CLASS</v>
          </cell>
          <cell r="D6194" t="str">
            <v>L0030151                       EnggStore</v>
          </cell>
          <cell r="E6194">
            <v>0</v>
          </cell>
          <cell r="F6194" t="str">
            <v>ND No planning</v>
          </cell>
          <cell r="G6194" t="str">
            <v>HIBE Operating supplies</v>
          </cell>
          <cell r="H6194" t="str">
            <v>EN034     LabConsumables</v>
          </cell>
          <cell r="I6194" t="str">
            <v>L003 Ankleshwar</v>
          </cell>
          <cell r="J6194" t="str">
            <v>99 Input/Byprodt/Scrap</v>
          </cell>
          <cell r="K6194" t="str">
            <v>10.2012</v>
          </cell>
          <cell r="L6194">
            <v>1</v>
          </cell>
          <cell r="M6194" t="str">
            <v>EA</v>
          </cell>
          <cell r="N6194">
            <v>96.9</v>
          </cell>
          <cell r="O6194" t="str">
            <v>INR</v>
          </cell>
        </row>
        <row r="6195">
          <cell r="A6195" t="str">
            <v>L003 Ankleshwar</v>
          </cell>
          <cell r="B6195">
            <v>722451</v>
          </cell>
          <cell r="C6195" t="str">
            <v>FUNNEL - 100 MM DIAMETER</v>
          </cell>
          <cell r="D6195" t="str">
            <v>L0030151                       EnggStore</v>
          </cell>
          <cell r="E6195">
            <v>0</v>
          </cell>
          <cell r="F6195" t="str">
            <v>ND No planning</v>
          </cell>
          <cell r="G6195" t="str">
            <v>HIBE Operating supplies</v>
          </cell>
          <cell r="H6195" t="str">
            <v>EN034     LabConsumables</v>
          </cell>
          <cell r="I6195" t="str">
            <v>L003 Ankleshwar</v>
          </cell>
          <cell r="J6195" t="str">
            <v>99 Input/Byprodt/Scrap</v>
          </cell>
          <cell r="K6195" t="str">
            <v>10.2012</v>
          </cell>
          <cell r="L6195">
            <v>2</v>
          </cell>
          <cell r="M6195" t="str">
            <v>EA</v>
          </cell>
          <cell r="N6195">
            <v>159.27000000000001</v>
          </cell>
          <cell r="O6195" t="str">
            <v>INR</v>
          </cell>
        </row>
        <row r="6196">
          <cell r="A6196" t="str">
            <v>L003 Ankleshwar</v>
          </cell>
          <cell r="B6196">
            <v>722595</v>
          </cell>
          <cell r="C6196" t="str">
            <v>VACCUM BEND B/24,24</v>
          </cell>
          <cell r="D6196" t="str">
            <v>L0030151                       EnggStore</v>
          </cell>
          <cell r="E6196">
            <v>0</v>
          </cell>
          <cell r="F6196" t="str">
            <v>ND No planning</v>
          </cell>
          <cell r="G6196" t="str">
            <v>HIBE Operating supplies</v>
          </cell>
          <cell r="H6196" t="str">
            <v>EN034     LabConsumables</v>
          </cell>
          <cell r="I6196" t="str">
            <v>L003 Ankleshwar</v>
          </cell>
          <cell r="J6196" t="str">
            <v>99 Input/Byprodt/Scrap</v>
          </cell>
          <cell r="K6196" t="str">
            <v>10.2012</v>
          </cell>
          <cell r="L6196">
            <v>12</v>
          </cell>
          <cell r="M6196" t="str">
            <v>EA</v>
          </cell>
          <cell r="N6196">
            <v>1490.21</v>
          </cell>
          <cell r="O6196" t="str">
            <v>INR</v>
          </cell>
        </row>
        <row r="6197">
          <cell r="A6197" t="str">
            <v>L003 Ankleshwar</v>
          </cell>
          <cell r="B6197">
            <v>722947</v>
          </cell>
          <cell r="C6197" t="str">
            <v>YELLOW TAG</v>
          </cell>
          <cell r="D6197" t="str">
            <v>L0030151                       EnggStore</v>
          </cell>
          <cell r="E6197" t="str">
            <v>E42 E42</v>
          </cell>
          <cell r="F6197" t="str">
            <v>VB Manual reorder point planning</v>
          </cell>
          <cell r="G6197" t="str">
            <v>HIBE Operating supplies</v>
          </cell>
          <cell r="H6197" t="str">
            <v>EN040     Prinitng &amp;Stationery</v>
          </cell>
          <cell r="I6197" t="str">
            <v>L003 Ankleshwar</v>
          </cell>
          <cell r="J6197" t="str">
            <v>99 Input/Byprodt/Scrap</v>
          </cell>
          <cell r="K6197" t="str">
            <v>10.2012</v>
          </cell>
          <cell r="L6197">
            <v>15889</v>
          </cell>
          <cell r="M6197" t="str">
            <v>NO</v>
          </cell>
          <cell r="N6197">
            <v>1501.5</v>
          </cell>
          <cell r="O6197" t="str">
            <v>INR</v>
          </cell>
        </row>
        <row r="6198">
          <cell r="A6198" t="str">
            <v>L003 Ankleshwar</v>
          </cell>
          <cell r="B6198">
            <v>722947</v>
          </cell>
          <cell r="C6198" t="str">
            <v>YELLOW TAG</v>
          </cell>
          <cell r="D6198" t="str">
            <v>L0030201                       Cons StoreKP</v>
          </cell>
          <cell r="E6198" t="str">
            <v>E42 E42</v>
          </cell>
          <cell r="F6198" t="str">
            <v>VB Manual reorder point planning</v>
          </cell>
          <cell r="G6198" t="str">
            <v>HIBE Operating supplies</v>
          </cell>
          <cell r="H6198" t="str">
            <v>EN040     Prinitng &amp;Stationery</v>
          </cell>
          <cell r="I6198" t="str">
            <v>L003 Ankleshwar</v>
          </cell>
          <cell r="J6198" t="str">
            <v>99 Input/Byprodt/Scrap</v>
          </cell>
          <cell r="K6198" t="str">
            <v>10.2012</v>
          </cell>
          <cell r="L6198">
            <v>7700</v>
          </cell>
          <cell r="M6198" t="str">
            <v>NO</v>
          </cell>
          <cell r="N6198">
            <v>727.63999999999896</v>
          </cell>
          <cell r="O6198" t="str">
            <v>INR</v>
          </cell>
        </row>
        <row r="6199">
          <cell r="A6199" t="str">
            <v>L003 Ankleshwar</v>
          </cell>
          <cell r="B6199">
            <v>723452</v>
          </cell>
          <cell r="C6199" t="str">
            <v>STEPLER</v>
          </cell>
          <cell r="D6199" t="str">
            <v>L0030201                       Cons StoreKP</v>
          </cell>
          <cell r="E6199" t="str">
            <v>E42 E42</v>
          </cell>
          <cell r="F6199" t="str">
            <v>VB Manual reorder point planning</v>
          </cell>
          <cell r="G6199" t="str">
            <v>HIBE Operating supplies</v>
          </cell>
          <cell r="H6199" t="str">
            <v>EN034     LabConsumables</v>
          </cell>
          <cell r="I6199" t="str">
            <v>L003 Ankleshwar</v>
          </cell>
          <cell r="J6199" t="str">
            <v>99 Input/Byprodt/Scrap</v>
          </cell>
          <cell r="K6199" t="str">
            <v>10.2012</v>
          </cell>
          <cell r="L6199">
            <v>3</v>
          </cell>
          <cell r="M6199" t="str">
            <v>EA</v>
          </cell>
          <cell r="N6199">
            <v>94.5</v>
          </cell>
          <cell r="O6199" t="str">
            <v>INR</v>
          </cell>
        </row>
        <row r="6200">
          <cell r="A6200" t="str">
            <v>L003 Ankleshwar</v>
          </cell>
          <cell r="B6200">
            <v>723792</v>
          </cell>
          <cell r="C6200" t="str">
            <v>SPRIAL NOTE PAD</v>
          </cell>
          <cell r="D6200" t="str">
            <v>L0030151                       EnggStore</v>
          </cell>
          <cell r="E6200" t="str">
            <v>E42 E42</v>
          </cell>
          <cell r="F6200" t="str">
            <v>VB Manual reorder point planning</v>
          </cell>
          <cell r="G6200" t="str">
            <v>HIBE Operating supplies</v>
          </cell>
          <cell r="H6200" t="str">
            <v>EN040     Prinitng &amp;Stationery</v>
          </cell>
          <cell r="I6200" t="str">
            <v>L003 Ankleshwar</v>
          </cell>
          <cell r="J6200" t="str">
            <v>99 Input/Byprodt/Scrap</v>
          </cell>
          <cell r="K6200" t="str">
            <v>10.2012</v>
          </cell>
          <cell r="L6200">
            <v>21</v>
          </cell>
          <cell r="M6200" t="str">
            <v>EA</v>
          </cell>
          <cell r="N6200">
            <v>992.25</v>
          </cell>
          <cell r="O6200" t="str">
            <v>INR</v>
          </cell>
        </row>
        <row r="6201">
          <cell r="A6201" t="str">
            <v>L003 Ankleshwar</v>
          </cell>
          <cell r="B6201">
            <v>723802</v>
          </cell>
          <cell r="C6201" t="str">
            <v>PAPER TRAY 3 SHELF</v>
          </cell>
          <cell r="D6201" t="str">
            <v>L0030151                       EnggStore</v>
          </cell>
          <cell r="E6201">
            <v>0</v>
          </cell>
          <cell r="F6201" t="str">
            <v>ND No planning</v>
          </cell>
          <cell r="G6201" t="str">
            <v>HIBE Operating supplies</v>
          </cell>
          <cell r="H6201" t="str">
            <v>EN040     Prinitng &amp;Stationery</v>
          </cell>
          <cell r="I6201" t="str">
            <v>L003 Ankleshwar</v>
          </cell>
          <cell r="J6201" t="str">
            <v>99 Input/Byprodt/Scrap</v>
          </cell>
          <cell r="K6201" t="str">
            <v>10.2012</v>
          </cell>
          <cell r="L6201">
            <v>1</v>
          </cell>
          <cell r="M6201" t="str">
            <v>EA</v>
          </cell>
          <cell r="N6201">
            <v>341.25</v>
          </cell>
          <cell r="O6201" t="str">
            <v>INR</v>
          </cell>
        </row>
        <row r="6202">
          <cell r="A6202" t="str">
            <v>L003 Ankleshwar</v>
          </cell>
          <cell r="B6202">
            <v>723875</v>
          </cell>
          <cell r="C6202" t="str">
            <v>BRUSH (CLOTH WASHING)</v>
          </cell>
          <cell r="D6202" t="str">
            <v>L0030151                       EnggStore</v>
          </cell>
          <cell r="E6202" t="str">
            <v>E42 E42</v>
          </cell>
          <cell r="F6202" t="str">
            <v>VB Manual reorder point planning</v>
          </cell>
          <cell r="G6202" t="str">
            <v>HIBE Operating supplies</v>
          </cell>
          <cell r="H6202" t="str">
            <v>EN027     Prod&amp;OtherConsumable</v>
          </cell>
          <cell r="I6202" t="str">
            <v>L003 Ankleshwar</v>
          </cell>
          <cell r="J6202" t="str">
            <v>99 Input/Byprodt/Scrap</v>
          </cell>
          <cell r="K6202" t="str">
            <v>10.2012</v>
          </cell>
          <cell r="L6202">
            <v>34</v>
          </cell>
          <cell r="M6202" t="str">
            <v>EA</v>
          </cell>
          <cell r="N6202">
            <v>318.31</v>
          </cell>
          <cell r="O6202" t="str">
            <v>INR</v>
          </cell>
        </row>
        <row r="6203">
          <cell r="A6203" t="str">
            <v>L003 Ankleshwar</v>
          </cell>
          <cell r="B6203">
            <v>723875</v>
          </cell>
          <cell r="C6203" t="str">
            <v>BRUSH (CLOTH WASHING)</v>
          </cell>
          <cell r="D6203" t="str">
            <v>L0030201                       Cons StoreKP</v>
          </cell>
          <cell r="E6203" t="str">
            <v>E42 E42</v>
          </cell>
          <cell r="F6203" t="str">
            <v>VB Manual reorder point planning</v>
          </cell>
          <cell r="G6203" t="str">
            <v>HIBE Operating supplies</v>
          </cell>
          <cell r="H6203" t="str">
            <v>EN027     Prod&amp;OtherConsumable</v>
          </cell>
          <cell r="I6203" t="str">
            <v>L003 Ankleshwar</v>
          </cell>
          <cell r="J6203" t="str">
            <v>99 Input/Byprodt/Scrap</v>
          </cell>
          <cell r="K6203" t="str">
            <v>10.2012</v>
          </cell>
          <cell r="L6203">
            <v>16</v>
          </cell>
          <cell r="M6203" t="str">
            <v>EA</v>
          </cell>
          <cell r="N6203">
            <v>149.80000000000001</v>
          </cell>
          <cell r="O6203" t="str">
            <v>INR</v>
          </cell>
        </row>
        <row r="6204">
          <cell r="A6204" t="str">
            <v>L003 Ankleshwar</v>
          </cell>
          <cell r="B6204">
            <v>723910</v>
          </cell>
          <cell r="C6204" t="str">
            <v>EQUIPMENT LOG BOOK FOR L2AB 1 X 35 SET</v>
          </cell>
          <cell r="D6204" t="str">
            <v>L0030201                       Cons StoreKP</v>
          </cell>
          <cell r="E6204" t="str">
            <v>E01 E01</v>
          </cell>
          <cell r="F6204" t="str">
            <v>VB Manual reorder point planning</v>
          </cell>
          <cell r="G6204" t="str">
            <v>HIBE Operating supplies</v>
          </cell>
          <cell r="H6204" t="str">
            <v>EN040     Prinitng &amp;Stationery</v>
          </cell>
          <cell r="I6204" t="str">
            <v>L003 Ankleshwar</v>
          </cell>
          <cell r="J6204" t="str">
            <v>99 Input/Byprodt/Scrap</v>
          </cell>
          <cell r="K6204" t="str">
            <v>10.2012</v>
          </cell>
          <cell r="L6204">
            <v>8</v>
          </cell>
          <cell r="M6204" t="str">
            <v>EA</v>
          </cell>
          <cell r="N6204">
            <v>3600</v>
          </cell>
          <cell r="O6204" t="str">
            <v>INR</v>
          </cell>
        </row>
        <row r="6205">
          <cell r="A6205" t="str">
            <v>L003 Ankleshwar</v>
          </cell>
          <cell r="B6205">
            <v>723921</v>
          </cell>
          <cell r="C6205" t="str">
            <v>PP/DP-900S C/F BAG 48" CF-3101C TOP</v>
          </cell>
          <cell r="D6205" t="str">
            <v>L0030201                       Cons StoreKP</v>
          </cell>
          <cell r="E6205" t="str">
            <v>E42 E42</v>
          </cell>
          <cell r="F6205" t="str">
            <v>VB Manual reorder point planning</v>
          </cell>
          <cell r="G6205" t="str">
            <v>HIBE Operating supplies</v>
          </cell>
          <cell r="H6205" t="str">
            <v>EN027     Prod&amp;OtherConsumable</v>
          </cell>
          <cell r="I6205" t="str">
            <v>L003 Ankleshwar</v>
          </cell>
          <cell r="J6205" t="str">
            <v>99 Input/Byprodt/Scrap</v>
          </cell>
          <cell r="K6205" t="str">
            <v>10.2012</v>
          </cell>
          <cell r="L6205">
            <v>6</v>
          </cell>
          <cell r="M6205" t="str">
            <v>EA</v>
          </cell>
          <cell r="N6205">
            <v>9894</v>
          </cell>
          <cell r="O6205" t="str">
            <v>INR</v>
          </cell>
        </row>
        <row r="6206">
          <cell r="A6206" t="str">
            <v>L003 Ankleshwar</v>
          </cell>
          <cell r="B6206">
            <v>723922</v>
          </cell>
          <cell r="C6206" t="str">
            <v>PP/DP-900S C/F BAG 48" CF-3101D TOP</v>
          </cell>
          <cell r="D6206" t="str">
            <v>L0030201                       Cons StoreKP</v>
          </cell>
          <cell r="E6206" t="str">
            <v>E42 E42</v>
          </cell>
          <cell r="F6206" t="str">
            <v>VB Manual reorder point planning</v>
          </cell>
          <cell r="G6206" t="str">
            <v>HIBE Operating supplies</v>
          </cell>
          <cell r="H6206" t="str">
            <v>EN027     Prod&amp;OtherConsumable</v>
          </cell>
          <cell r="I6206" t="str">
            <v>L003 Ankleshwar</v>
          </cell>
          <cell r="J6206" t="str">
            <v>99 Input/Byprodt/Scrap</v>
          </cell>
          <cell r="K6206" t="str">
            <v>10.2012</v>
          </cell>
          <cell r="L6206">
            <v>6</v>
          </cell>
          <cell r="M6206" t="str">
            <v>EA</v>
          </cell>
          <cell r="N6206">
            <v>9894</v>
          </cell>
          <cell r="O6206" t="str">
            <v>INR</v>
          </cell>
        </row>
        <row r="6207">
          <cell r="A6207" t="str">
            <v>L003 Ankleshwar</v>
          </cell>
          <cell r="B6207">
            <v>723933</v>
          </cell>
          <cell r="C6207" t="str">
            <v>ATTENDANCE SHEET F/ CONTRACT HELPER</v>
          </cell>
          <cell r="D6207" t="str">
            <v>L0030151                       EnggStore</v>
          </cell>
          <cell r="E6207" t="str">
            <v>E01 E01</v>
          </cell>
          <cell r="F6207" t="str">
            <v>VB Manual reorder point planning</v>
          </cell>
          <cell r="G6207" t="str">
            <v>HIBE Operating supplies</v>
          </cell>
          <cell r="H6207" t="str">
            <v>EN040     Prinitng &amp;Stationery</v>
          </cell>
          <cell r="I6207" t="str">
            <v>L003 Ankleshwar</v>
          </cell>
          <cell r="J6207" t="str">
            <v>99 Input/Byprodt/Scrap</v>
          </cell>
          <cell r="K6207" t="str">
            <v>10.2012</v>
          </cell>
          <cell r="L6207">
            <v>9</v>
          </cell>
          <cell r="M6207" t="str">
            <v>EA</v>
          </cell>
          <cell r="N6207">
            <v>472.5</v>
          </cell>
          <cell r="O6207" t="str">
            <v>INR</v>
          </cell>
        </row>
        <row r="6208">
          <cell r="A6208" t="str">
            <v>L003 Ankleshwar</v>
          </cell>
          <cell r="B6208">
            <v>723935</v>
          </cell>
          <cell r="C6208" t="str">
            <v>SIGNATURE OF SECURITY LOG BOOK 100P</v>
          </cell>
          <cell r="D6208" t="str">
            <v>L0030151                       EnggStore</v>
          </cell>
          <cell r="E6208" t="str">
            <v>E01 E01</v>
          </cell>
          <cell r="F6208" t="str">
            <v>VB Manual reorder point planning</v>
          </cell>
          <cell r="G6208" t="str">
            <v>HIBE Operating supplies</v>
          </cell>
          <cell r="H6208" t="str">
            <v>EN040     Prinitng &amp;Stationery</v>
          </cell>
          <cell r="I6208" t="str">
            <v>L003 Ankleshwar</v>
          </cell>
          <cell r="J6208" t="str">
            <v>99 Input/Byprodt/Scrap</v>
          </cell>
          <cell r="K6208" t="str">
            <v>10.2012</v>
          </cell>
          <cell r="L6208">
            <v>11</v>
          </cell>
          <cell r="M6208" t="str">
            <v>EA</v>
          </cell>
          <cell r="N6208">
            <v>1759.7</v>
          </cell>
          <cell r="O6208" t="str">
            <v>INR</v>
          </cell>
        </row>
        <row r="6209">
          <cell r="A6209" t="str">
            <v>L003 Ankleshwar</v>
          </cell>
          <cell r="B6209">
            <v>723967</v>
          </cell>
          <cell r="C6209" t="str">
            <v>VISITOR GATE PASS BOOK 1+1X100</v>
          </cell>
          <cell r="D6209" t="str">
            <v>L0030151                       EnggStore</v>
          </cell>
          <cell r="E6209" t="str">
            <v>E01 E01</v>
          </cell>
          <cell r="F6209" t="str">
            <v>VB Manual reorder point planning</v>
          </cell>
          <cell r="G6209" t="str">
            <v>HIBE Operating supplies</v>
          </cell>
          <cell r="H6209" t="str">
            <v>EN040     Prinitng &amp;Stationery</v>
          </cell>
          <cell r="I6209" t="str">
            <v>L003 Ankleshwar</v>
          </cell>
          <cell r="J6209" t="str">
            <v>99 Input/Byprodt/Scrap</v>
          </cell>
          <cell r="K6209" t="str">
            <v>10.2012</v>
          </cell>
          <cell r="L6209">
            <v>34</v>
          </cell>
          <cell r="M6209" t="str">
            <v>EA</v>
          </cell>
          <cell r="N6209">
            <v>1142.4000000000001</v>
          </cell>
          <cell r="O6209" t="str">
            <v>INR</v>
          </cell>
        </row>
        <row r="6210">
          <cell r="A6210" t="str">
            <v>L003 Ankleshwar</v>
          </cell>
          <cell r="B6210">
            <v>723968</v>
          </cell>
          <cell r="C6210" t="str">
            <v>INPROCESS SAMPLE TAG FOR ANALYSIS</v>
          </cell>
          <cell r="D6210" t="str">
            <v>L0030151                       EnggStore</v>
          </cell>
          <cell r="E6210" t="str">
            <v>E42 E42</v>
          </cell>
          <cell r="F6210" t="str">
            <v>VB Manual reorder point planning</v>
          </cell>
          <cell r="G6210" t="str">
            <v>HIBE Operating supplies</v>
          </cell>
          <cell r="H6210" t="str">
            <v>EN040     Prinitng &amp;Stationery</v>
          </cell>
          <cell r="I6210" t="str">
            <v>L003 Ankleshwar</v>
          </cell>
          <cell r="J6210" t="str">
            <v>99 Input/Byprodt/Scrap</v>
          </cell>
          <cell r="K6210" t="str">
            <v>10.2012</v>
          </cell>
          <cell r="L6210">
            <v>450</v>
          </cell>
          <cell r="M6210" t="str">
            <v>EA</v>
          </cell>
          <cell r="N6210">
            <v>118.12</v>
          </cell>
          <cell r="O6210" t="str">
            <v>INR</v>
          </cell>
        </row>
        <row r="6211">
          <cell r="A6211" t="str">
            <v>L003 Ankleshwar</v>
          </cell>
          <cell r="B6211">
            <v>724444</v>
          </cell>
          <cell r="C6211" t="str">
            <v>DISCHARGE HOSE PIPE FOR DCP 05 KGS FIRE</v>
          </cell>
          <cell r="D6211" t="str">
            <v>L0030151                       EnggStore</v>
          </cell>
          <cell r="E6211">
            <v>0</v>
          </cell>
          <cell r="F6211" t="str">
            <v>ND No planning</v>
          </cell>
          <cell r="G6211" t="str">
            <v>HIBE Operating supplies</v>
          </cell>
          <cell r="H6211" t="str">
            <v>EN010     Fire&amp;safety</v>
          </cell>
          <cell r="I6211" t="str">
            <v>L003 Ankleshwar</v>
          </cell>
          <cell r="J6211" t="str">
            <v>99 Input/Byprodt/Scrap</v>
          </cell>
          <cell r="K6211" t="str">
            <v>10.2012</v>
          </cell>
          <cell r="L6211">
            <v>35</v>
          </cell>
          <cell r="M6211" t="str">
            <v>NO</v>
          </cell>
          <cell r="N6211">
            <v>2096.98</v>
          </cell>
          <cell r="O6211" t="str">
            <v>INR</v>
          </cell>
        </row>
        <row r="6212">
          <cell r="A6212" t="str">
            <v>L003 Ankleshwar</v>
          </cell>
          <cell r="B6212">
            <v>725257</v>
          </cell>
          <cell r="C6212" t="str">
            <v>HOLE GUARD</v>
          </cell>
          <cell r="D6212" t="str">
            <v>L0030151                       EnggStore</v>
          </cell>
          <cell r="E6212">
            <v>0</v>
          </cell>
          <cell r="F6212" t="str">
            <v>ND No planning</v>
          </cell>
          <cell r="G6212" t="str">
            <v>HIBE Operating supplies</v>
          </cell>
          <cell r="H6212" t="str">
            <v>EN040     Prinitng &amp;Stationery</v>
          </cell>
          <cell r="I6212" t="str">
            <v>L003 Ankleshwar</v>
          </cell>
          <cell r="J6212" t="str">
            <v>99 Input/Byprodt/Scrap</v>
          </cell>
          <cell r="K6212" t="str">
            <v>10.2012</v>
          </cell>
          <cell r="L6212">
            <v>25</v>
          </cell>
          <cell r="M6212" t="str">
            <v>PAC</v>
          </cell>
          <cell r="N6212">
            <v>840</v>
          </cell>
          <cell r="O6212" t="str">
            <v>INR</v>
          </cell>
        </row>
        <row r="6213">
          <cell r="A6213" t="str">
            <v>L003 Ankleshwar</v>
          </cell>
          <cell r="B6213">
            <v>725361</v>
          </cell>
          <cell r="C6213" t="str">
            <v>VEHICLE LOG BOOK 1X100 PAGE</v>
          </cell>
          <cell r="D6213" t="str">
            <v>L0030151                       EnggStore</v>
          </cell>
          <cell r="E6213" t="str">
            <v>E42 E42</v>
          </cell>
          <cell r="F6213" t="str">
            <v>VB Manual reorder point planning</v>
          </cell>
          <cell r="G6213" t="str">
            <v>HIBE Operating supplies</v>
          </cell>
          <cell r="H6213" t="str">
            <v>EN040     Prinitng &amp;Stationery</v>
          </cell>
          <cell r="I6213" t="str">
            <v>L003 Ankleshwar</v>
          </cell>
          <cell r="J6213" t="str">
            <v>99 Input/Byprodt/Scrap</v>
          </cell>
          <cell r="K6213" t="str">
            <v>10.2012</v>
          </cell>
          <cell r="L6213">
            <v>23</v>
          </cell>
          <cell r="M6213" t="str">
            <v>EA</v>
          </cell>
          <cell r="N6213">
            <v>1987.2</v>
          </cell>
          <cell r="O6213" t="str">
            <v>INR</v>
          </cell>
        </row>
        <row r="6214">
          <cell r="A6214" t="str">
            <v>L003 Ankleshwar</v>
          </cell>
          <cell r="B6214">
            <v>725362</v>
          </cell>
          <cell r="C6214" t="str">
            <v>WASTE HEAT RECOVERY BOILER LOG BOOK</v>
          </cell>
          <cell r="D6214" t="str">
            <v>L0030151                       EnggStore</v>
          </cell>
          <cell r="E6214" t="str">
            <v>E01 E01</v>
          </cell>
          <cell r="F6214" t="str">
            <v>VB Manual reorder point planning</v>
          </cell>
          <cell r="G6214" t="str">
            <v>HIBE Operating supplies</v>
          </cell>
          <cell r="H6214" t="str">
            <v>EN040     Prinitng &amp;Stationery</v>
          </cell>
          <cell r="I6214" t="str">
            <v>L003 Ankleshwar</v>
          </cell>
          <cell r="J6214" t="str">
            <v>99 Input/Byprodt/Scrap</v>
          </cell>
          <cell r="K6214" t="str">
            <v>10.2012</v>
          </cell>
          <cell r="L6214">
            <v>6</v>
          </cell>
          <cell r="M6214" t="str">
            <v>EA</v>
          </cell>
          <cell r="N6214">
            <v>2700</v>
          </cell>
          <cell r="O6214" t="str">
            <v>INR</v>
          </cell>
        </row>
        <row r="6215">
          <cell r="A6215" t="str">
            <v>L003 Ankleshwar</v>
          </cell>
          <cell r="B6215">
            <v>725364</v>
          </cell>
          <cell r="C6215" t="str">
            <v>BOILERLOG BOOK 1X32P,GT:4515,ECOGTE:393</v>
          </cell>
          <cell r="D6215" t="str">
            <v>L0030151                       EnggStore</v>
          </cell>
          <cell r="E6215" t="str">
            <v>E01 E01</v>
          </cell>
          <cell r="F6215" t="str">
            <v>VB Manual reorder point planning</v>
          </cell>
          <cell r="G6215" t="str">
            <v>HIBE Operating supplies</v>
          </cell>
          <cell r="H6215" t="str">
            <v>EN040     Prinitng &amp;Stationery</v>
          </cell>
          <cell r="I6215" t="str">
            <v>L003 Ankleshwar</v>
          </cell>
          <cell r="J6215" t="str">
            <v>99 Input/Byprodt/Scrap</v>
          </cell>
          <cell r="K6215" t="str">
            <v>10.2012</v>
          </cell>
          <cell r="L6215">
            <v>8</v>
          </cell>
          <cell r="M6215" t="str">
            <v>EA</v>
          </cell>
          <cell r="N6215">
            <v>3400</v>
          </cell>
          <cell r="O6215" t="str">
            <v>INR</v>
          </cell>
        </row>
        <row r="6216">
          <cell r="A6216" t="str">
            <v>L003 Ankleshwar</v>
          </cell>
          <cell r="B6216">
            <v>725369</v>
          </cell>
          <cell r="C6216" t="str">
            <v>D-1100 NF-3502 FILTER BAG 72" WITH SS TH</v>
          </cell>
          <cell r="D6216" t="str">
            <v>L0030151                       EnggStore</v>
          </cell>
          <cell r="E6216">
            <v>0</v>
          </cell>
          <cell r="F6216" t="str">
            <v>ND No planning</v>
          </cell>
          <cell r="G6216" t="str">
            <v>HIBE Operating supplies</v>
          </cell>
          <cell r="H6216" t="str">
            <v>EN027     Prod&amp;OtherConsumable</v>
          </cell>
          <cell r="I6216" t="str">
            <v>L003 Ankleshwar</v>
          </cell>
          <cell r="J6216" t="str">
            <v>99 Input/Byprodt/Scrap</v>
          </cell>
          <cell r="K6216" t="str">
            <v>10.2012</v>
          </cell>
          <cell r="L6216">
            <v>1</v>
          </cell>
          <cell r="M6216" t="str">
            <v>EA</v>
          </cell>
          <cell r="N6216">
            <v>1505</v>
          </cell>
          <cell r="O6216" t="str">
            <v>INR</v>
          </cell>
        </row>
        <row r="6217">
          <cell r="A6217" t="str">
            <v>L003 Ankleshwar</v>
          </cell>
          <cell r="B6217">
            <v>725410</v>
          </cell>
          <cell r="C6217" t="str">
            <v>HAZARDOUS WASTE MANIFEST 1+5 PAGE=1SET</v>
          </cell>
          <cell r="D6217" t="str">
            <v>L0030151                       EnggStore</v>
          </cell>
          <cell r="E6217" t="str">
            <v>E01 E01</v>
          </cell>
          <cell r="F6217" t="str">
            <v>VB Manual reorder point planning</v>
          </cell>
          <cell r="G6217" t="str">
            <v>HIBE Operating supplies</v>
          </cell>
          <cell r="H6217" t="str">
            <v>EN040     Prinitng &amp;Stationery</v>
          </cell>
          <cell r="I6217" t="str">
            <v>L003 Ankleshwar</v>
          </cell>
          <cell r="J6217" t="str">
            <v>99 Input/Byprodt/Scrap</v>
          </cell>
          <cell r="K6217" t="str">
            <v>10.2012</v>
          </cell>
          <cell r="L6217">
            <v>25</v>
          </cell>
          <cell r="M6217" t="str">
            <v>EA</v>
          </cell>
          <cell r="N6217">
            <v>3990</v>
          </cell>
          <cell r="O6217" t="str">
            <v>INR</v>
          </cell>
        </row>
        <row r="6218">
          <cell r="A6218" t="str">
            <v>L003 Ankleshwar</v>
          </cell>
          <cell r="B6218">
            <v>725455</v>
          </cell>
          <cell r="C6218" t="str">
            <v>STICKER OF SODIUM CHLORIDE</v>
          </cell>
          <cell r="D6218" t="str">
            <v>L0030201                       Cons StoreKP</v>
          </cell>
          <cell r="E6218" t="str">
            <v>E01 E01</v>
          </cell>
          <cell r="F6218" t="str">
            <v>VB Manual reorder point planning</v>
          </cell>
          <cell r="G6218" t="str">
            <v>HIBE Operating supplies</v>
          </cell>
          <cell r="H6218" t="str">
            <v>EN040     Prinitng &amp;Stationery</v>
          </cell>
          <cell r="I6218" t="str">
            <v>L003 Ankleshwar</v>
          </cell>
          <cell r="J6218" t="str">
            <v>99 Input/Byprodt/Scrap</v>
          </cell>
          <cell r="K6218" t="str">
            <v>10.2012</v>
          </cell>
          <cell r="L6218">
            <v>1000</v>
          </cell>
          <cell r="M6218" t="str">
            <v>EA</v>
          </cell>
          <cell r="N6218">
            <v>4000</v>
          </cell>
          <cell r="O6218" t="str">
            <v>INR</v>
          </cell>
        </row>
        <row r="6219">
          <cell r="A6219" t="str">
            <v>L003 Ankleshwar</v>
          </cell>
          <cell r="B6219">
            <v>725504</v>
          </cell>
          <cell r="C6219" t="str">
            <v>D-900S  NF-3101 FILTER BAG 1035MM</v>
          </cell>
          <cell r="D6219" t="str">
            <v>L0030151                       EnggStore</v>
          </cell>
          <cell r="E6219" t="str">
            <v>E01 E01</v>
          </cell>
          <cell r="F6219" t="str">
            <v>VB Manual reorder point planning</v>
          </cell>
          <cell r="G6219" t="str">
            <v>HIBE Operating supplies</v>
          </cell>
          <cell r="H6219" t="str">
            <v>EN027     Prod&amp;OtherConsumable</v>
          </cell>
          <cell r="I6219" t="str">
            <v>L003 Ankleshwar</v>
          </cell>
          <cell r="J6219" t="str">
            <v>99 Input/Byprodt/Scrap</v>
          </cell>
          <cell r="K6219" t="str">
            <v>10.2012</v>
          </cell>
          <cell r="L6219">
            <v>2</v>
          </cell>
          <cell r="M6219" t="str">
            <v>EA</v>
          </cell>
          <cell r="N6219">
            <v>450</v>
          </cell>
          <cell r="O6219" t="str">
            <v>INR</v>
          </cell>
        </row>
        <row r="6220">
          <cell r="A6220" t="str">
            <v>L003 Ankleshwar</v>
          </cell>
          <cell r="B6220">
            <v>725657</v>
          </cell>
          <cell r="C6220" t="str">
            <v>STICKER WET AEX</v>
          </cell>
          <cell r="D6220" t="str">
            <v>L0030201                       Cons StoreKP</v>
          </cell>
          <cell r="E6220">
            <v>0</v>
          </cell>
          <cell r="F6220" t="str">
            <v>ND No planning</v>
          </cell>
          <cell r="G6220" t="str">
            <v>HIBE Operating supplies</v>
          </cell>
          <cell r="H6220" t="str">
            <v>EN040     Prinitng &amp;Stationery</v>
          </cell>
          <cell r="I6220" t="str">
            <v>L003 Ankleshwar</v>
          </cell>
          <cell r="J6220" t="str">
            <v>99 Input/Byprodt/Scrap</v>
          </cell>
          <cell r="K6220" t="str">
            <v>10.2012</v>
          </cell>
          <cell r="L6220">
            <v>5000</v>
          </cell>
          <cell r="M6220" t="str">
            <v>EA</v>
          </cell>
          <cell r="N6220">
            <v>5000</v>
          </cell>
          <cell r="O6220" t="str">
            <v>INR</v>
          </cell>
        </row>
        <row r="6221">
          <cell r="A6221" t="str">
            <v>L003 Ankleshwar</v>
          </cell>
          <cell r="B6221">
            <v>725658</v>
          </cell>
          <cell r="C6221" t="str">
            <v>STICKER DRY CHS</v>
          </cell>
          <cell r="D6221" t="str">
            <v>L0030201                       Cons StoreKP</v>
          </cell>
          <cell r="E6221" t="str">
            <v>E01 E01</v>
          </cell>
          <cell r="F6221" t="str">
            <v>VB Manual reorder point planning</v>
          </cell>
          <cell r="G6221" t="str">
            <v>HIBE Operating supplies</v>
          </cell>
          <cell r="H6221" t="str">
            <v>EN040     Prinitng &amp;Stationery</v>
          </cell>
          <cell r="I6221" t="str">
            <v>L003 Ankleshwar</v>
          </cell>
          <cell r="J6221" t="str">
            <v>99 Input/Byprodt/Scrap</v>
          </cell>
          <cell r="K6221" t="str">
            <v>10.2012</v>
          </cell>
          <cell r="L6221">
            <v>8000</v>
          </cell>
          <cell r="M6221" t="str">
            <v>EA</v>
          </cell>
          <cell r="N6221">
            <v>8000</v>
          </cell>
          <cell r="O6221" t="str">
            <v>INR</v>
          </cell>
        </row>
        <row r="6222">
          <cell r="A6222" t="str">
            <v>L003 Ankleshwar</v>
          </cell>
          <cell r="B6222">
            <v>725697</v>
          </cell>
          <cell r="C6222" t="str">
            <v>HAZARDOUS WASTE STICKER HANDLE WITH CARE</v>
          </cell>
          <cell r="D6222" t="str">
            <v>L0030151                       EnggStore</v>
          </cell>
          <cell r="E6222" t="str">
            <v>E01 E01</v>
          </cell>
          <cell r="F6222" t="str">
            <v>VB Manual reorder point planning</v>
          </cell>
          <cell r="G6222" t="str">
            <v>HIBE Operating supplies</v>
          </cell>
          <cell r="H6222" t="str">
            <v>EN040     Prinitng &amp;Stationery</v>
          </cell>
          <cell r="I6222" t="str">
            <v>L003 Ankleshwar</v>
          </cell>
          <cell r="J6222" t="str">
            <v>99 Input/Byprodt/Scrap</v>
          </cell>
          <cell r="K6222" t="str">
            <v>10.2012</v>
          </cell>
          <cell r="L6222">
            <v>1000</v>
          </cell>
          <cell r="M6222" t="str">
            <v>EA</v>
          </cell>
          <cell r="N6222">
            <v>3000</v>
          </cell>
          <cell r="O6222" t="str">
            <v>INR</v>
          </cell>
        </row>
        <row r="6223">
          <cell r="A6223" t="str">
            <v>L003 Ankleshwar</v>
          </cell>
          <cell r="B6223">
            <v>725721</v>
          </cell>
          <cell r="C6223" t="str">
            <v>STICKER OF DRY ETHAMBUTOL</v>
          </cell>
          <cell r="D6223" t="str">
            <v>L0030151                       EnggStore</v>
          </cell>
          <cell r="E6223" t="str">
            <v>E42 E42</v>
          </cell>
          <cell r="F6223" t="str">
            <v>VB Manual reorder point planning</v>
          </cell>
          <cell r="G6223" t="str">
            <v>HIBE Operating supplies</v>
          </cell>
          <cell r="H6223" t="str">
            <v>EN040     Prinitng &amp;Stationery</v>
          </cell>
          <cell r="I6223" t="str">
            <v>L003 Ankleshwar</v>
          </cell>
          <cell r="J6223" t="str">
            <v>99 Input/Byprodt/Scrap</v>
          </cell>
          <cell r="K6223" t="str">
            <v>10.2012</v>
          </cell>
          <cell r="L6223">
            <v>5500</v>
          </cell>
          <cell r="M6223" t="str">
            <v>EA</v>
          </cell>
          <cell r="N6223">
            <v>5500</v>
          </cell>
          <cell r="O6223" t="str">
            <v>INR</v>
          </cell>
        </row>
        <row r="6224">
          <cell r="A6224" t="str">
            <v>L003 Ankleshwar</v>
          </cell>
          <cell r="B6224">
            <v>725722</v>
          </cell>
          <cell r="C6224" t="str">
            <v>STICKER OF WET ETHAMBUTOL</v>
          </cell>
          <cell r="D6224" t="str">
            <v>L0030151                       EnggStore</v>
          </cell>
          <cell r="E6224" t="str">
            <v>E42 E42</v>
          </cell>
          <cell r="F6224" t="str">
            <v>VB Manual reorder point planning</v>
          </cell>
          <cell r="G6224" t="str">
            <v>HIBE Operating supplies</v>
          </cell>
          <cell r="H6224" t="str">
            <v>EN040     Prinitng &amp;Stationery</v>
          </cell>
          <cell r="I6224" t="str">
            <v>L003 Ankleshwar</v>
          </cell>
          <cell r="J6224" t="str">
            <v>99 Input/Byprodt/Scrap</v>
          </cell>
          <cell r="K6224" t="str">
            <v>10.2012</v>
          </cell>
          <cell r="L6224">
            <v>2900</v>
          </cell>
          <cell r="M6224" t="str">
            <v>EA</v>
          </cell>
          <cell r="N6224">
            <v>2900</v>
          </cell>
          <cell r="O6224" t="str">
            <v>INR</v>
          </cell>
        </row>
        <row r="6225">
          <cell r="A6225" t="str">
            <v>L003 Ankleshwar</v>
          </cell>
          <cell r="B6225">
            <v>725729</v>
          </cell>
          <cell r="C6225" t="str">
            <v>MEE PLANT LOG BOOK</v>
          </cell>
          <cell r="D6225" t="str">
            <v>L0030151                       EnggStore</v>
          </cell>
          <cell r="E6225">
            <v>0</v>
          </cell>
          <cell r="F6225" t="str">
            <v>ND No planning</v>
          </cell>
          <cell r="G6225" t="str">
            <v>HIBE Operating supplies</v>
          </cell>
          <cell r="H6225" t="str">
            <v>EN040     Prinitng &amp;Stationery</v>
          </cell>
          <cell r="I6225" t="str">
            <v>L003 Ankleshwar</v>
          </cell>
          <cell r="J6225" t="str">
            <v>99 Input/Byprodt/Scrap</v>
          </cell>
          <cell r="K6225" t="str">
            <v>10.2012</v>
          </cell>
          <cell r="L6225">
            <v>1</v>
          </cell>
          <cell r="M6225" t="str">
            <v>EA</v>
          </cell>
          <cell r="N6225">
            <v>450</v>
          </cell>
          <cell r="O6225" t="str">
            <v>INR</v>
          </cell>
        </row>
        <row r="6226">
          <cell r="A6226" t="str">
            <v>L003 Ankleshwar</v>
          </cell>
          <cell r="B6226">
            <v>725775</v>
          </cell>
          <cell r="C6226" t="str">
            <v>DP/PP 900S C/F BAG 48" F-3501-A</v>
          </cell>
          <cell r="D6226" t="str">
            <v>L0030151                       EnggStore</v>
          </cell>
          <cell r="E6226">
            <v>0</v>
          </cell>
          <cell r="F6226" t="str">
            <v>ND No planning</v>
          </cell>
          <cell r="G6226" t="str">
            <v>HIBE Operating supplies</v>
          </cell>
          <cell r="H6226" t="str">
            <v>EN027     Prod&amp;OtherConsumable</v>
          </cell>
          <cell r="I6226" t="str">
            <v>L003 Ankleshwar</v>
          </cell>
          <cell r="J6226" t="str">
            <v>99 Input/Byprodt/Scrap</v>
          </cell>
          <cell r="K6226" t="str">
            <v>10.2012</v>
          </cell>
          <cell r="L6226">
            <v>1</v>
          </cell>
          <cell r="M6226" t="str">
            <v>EA</v>
          </cell>
          <cell r="N6226">
            <v>1350</v>
          </cell>
          <cell r="O6226" t="str">
            <v>INR</v>
          </cell>
        </row>
        <row r="6227">
          <cell r="A6227" t="str">
            <v>L003 Ankleshwar</v>
          </cell>
          <cell r="B6227">
            <v>725775</v>
          </cell>
          <cell r="C6227" t="str">
            <v>DP/PP 900S C/F BAG 48" F-3501-A</v>
          </cell>
          <cell r="D6227" t="str">
            <v>L0030201                       Cons StoreKP</v>
          </cell>
          <cell r="E6227">
            <v>0</v>
          </cell>
          <cell r="F6227" t="str">
            <v>ND No planning</v>
          </cell>
          <cell r="G6227" t="str">
            <v>HIBE Operating supplies</v>
          </cell>
          <cell r="H6227" t="str">
            <v>EN027     Prod&amp;OtherConsumable</v>
          </cell>
          <cell r="I6227" t="str">
            <v>L003 Ankleshwar</v>
          </cell>
          <cell r="J6227" t="str">
            <v>99 Input/Byprodt/Scrap</v>
          </cell>
          <cell r="K6227" t="str">
            <v>10.2012</v>
          </cell>
          <cell r="L6227">
            <v>1</v>
          </cell>
          <cell r="M6227" t="str">
            <v>EA</v>
          </cell>
          <cell r="N6227">
            <v>1350</v>
          </cell>
          <cell r="O6227" t="str">
            <v>INR</v>
          </cell>
        </row>
        <row r="6228">
          <cell r="A6228" t="str">
            <v>L003 Ankleshwar</v>
          </cell>
          <cell r="B6228">
            <v>725777</v>
          </cell>
          <cell r="C6228" t="str">
            <v>DP/PP-900S C/F BAG 48"F-3101C BOTTOM</v>
          </cell>
          <cell r="D6228" t="str">
            <v>L0030201                       Cons StoreKP</v>
          </cell>
          <cell r="E6228" t="str">
            <v>E42 E42</v>
          </cell>
          <cell r="F6228" t="str">
            <v>VB Manual reorder point planning</v>
          </cell>
          <cell r="G6228" t="str">
            <v>HIBE Operating supplies</v>
          </cell>
          <cell r="H6228" t="str">
            <v>EN027     Prod&amp;OtherConsumable</v>
          </cell>
          <cell r="I6228" t="str">
            <v>L003 Ankleshwar</v>
          </cell>
          <cell r="J6228" t="str">
            <v>99 Input/Byprodt/Scrap</v>
          </cell>
          <cell r="K6228" t="str">
            <v>10.2012</v>
          </cell>
          <cell r="L6228">
            <v>6</v>
          </cell>
          <cell r="M6228" t="str">
            <v>EA</v>
          </cell>
          <cell r="N6228">
            <v>9894</v>
          </cell>
          <cell r="O6228" t="str">
            <v>INR</v>
          </cell>
        </row>
        <row r="6229">
          <cell r="A6229" t="str">
            <v>L003 Ankleshwar</v>
          </cell>
          <cell r="B6229">
            <v>725778</v>
          </cell>
          <cell r="C6229" t="str">
            <v>DP/PP-900S C/F BAG 48"F-3101D BOTTOM</v>
          </cell>
          <cell r="D6229" t="str">
            <v>L0030201                       Cons StoreKP</v>
          </cell>
          <cell r="E6229" t="str">
            <v>E42 E42</v>
          </cell>
          <cell r="F6229" t="str">
            <v>VB Manual reorder point planning</v>
          </cell>
          <cell r="G6229" t="str">
            <v>HIBE Operating supplies</v>
          </cell>
          <cell r="H6229" t="str">
            <v>EN027     Prod&amp;OtherConsumable</v>
          </cell>
          <cell r="I6229" t="str">
            <v>L003 Ankleshwar</v>
          </cell>
          <cell r="J6229" t="str">
            <v>99 Input/Byprodt/Scrap</v>
          </cell>
          <cell r="K6229" t="str">
            <v>10.2012</v>
          </cell>
          <cell r="L6229">
            <v>4</v>
          </cell>
          <cell r="M6229" t="str">
            <v>EA</v>
          </cell>
          <cell r="N6229">
            <v>6596</v>
          </cell>
          <cell r="O6229" t="str">
            <v>INR</v>
          </cell>
        </row>
        <row r="6230">
          <cell r="A6230" t="str">
            <v>L003 Ankleshwar</v>
          </cell>
          <cell r="B6230">
            <v>725831</v>
          </cell>
          <cell r="C6230" t="str">
            <v>ETHAMBUTOL PLANT MESO FOR SEEDING</v>
          </cell>
          <cell r="D6230" t="str">
            <v>L0030151                       EnggStore</v>
          </cell>
          <cell r="E6230" t="str">
            <v>E01 E01</v>
          </cell>
          <cell r="F6230" t="str">
            <v>VB Manual reorder point planning</v>
          </cell>
          <cell r="G6230" t="str">
            <v>HIBE Operating supplies</v>
          </cell>
          <cell r="H6230" t="str">
            <v>EN040     Prinitng &amp;Stationery</v>
          </cell>
          <cell r="I6230" t="str">
            <v>L003 Ankleshwar</v>
          </cell>
          <cell r="J6230" t="str">
            <v>99 Input/Byprodt/Scrap</v>
          </cell>
          <cell r="K6230" t="str">
            <v>10.2012</v>
          </cell>
          <cell r="L6230">
            <v>3000</v>
          </cell>
          <cell r="M6230" t="str">
            <v>EA</v>
          </cell>
          <cell r="N6230">
            <v>3000</v>
          </cell>
          <cell r="O6230" t="str">
            <v>INR</v>
          </cell>
        </row>
        <row r="6231">
          <cell r="A6231" t="str">
            <v>L003 Ankleshwar</v>
          </cell>
          <cell r="B6231">
            <v>725996</v>
          </cell>
          <cell r="C6231" t="str">
            <v>CONTINUOUS STATIONERY 10X12X2/6"(60 GSM)</v>
          </cell>
          <cell r="D6231" t="str">
            <v>L0030151                       EnggStore</v>
          </cell>
          <cell r="E6231" t="str">
            <v>E01 E01</v>
          </cell>
          <cell r="F6231" t="str">
            <v>ND No planning</v>
          </cell>
          <cell r="G6231" t="str">
            <v>HIBE Operating supplies</v>
          </cell>
          <cell r="H6231" t="str">
            <v>EN040     Prinitng &amp;Stationery</v>
          </cell>
          <cell r="I6231" t="str">
            <v>L003 Ankleshwar</v>
          </cell>
          <cell r="J6231" t="str">
            <v>99 Input/Byprodt/Scrap</v>
          </cell>
          <cell r="K6231" t="str">
            <v>10.2012</v>
          </cell>
          <cell r="L6231">
            <v>1</v>
          </cell>
          <cell r="M6231" t="str">
            <v>BOX</v>
          </cell>
          <cell r="N6231">
            <v>819</v>
          </cell>
          <cell r="O6231" t="str">
            <v>INR</v>
          </cell>
        </row>
        <row r="6232">
          <cell r="A6232" t="str">
            <v>L003 Ankleshwar</v>
          </cell>
          <cell r="B6232">
            <v>725997</v>
          </cell>
          <cell r="C6232" t="str">
            <v>CONTINUOUS STATIONERY  10X12X4 (60 GSM)</v>
          </cell>
          <cell r="D6232" t="str">
            <v>L0030151                       EnggStore</v>
          </cell>
          <cell r="E6232" t="str">
            <v>E42 E42</v>
          </cell>
          <cell r="F6232" t="str">
            <v>VB Manual reorder point planning</v>
          </cell>
          <cell r="G6232" t="str">
            <v>HIBE Operating supplies</v>
          </cell>
          <cell r="H6232" t="str">
            <v>EN040     Prinitng &amp;Stationery</v>
          </cell>
          <cell r="I6232" t="str">
            <v>L003 Ankleshwar</v>
          </cell>
          <cell r="J6232" t="str">
            <v>99 Input/Byprodt/Scrap</v>
          </cell>
          <cell r="K6232" t="str">
            <v>10.2012</v>
          </cell>
          <cell r="L6232">
            <v>2</v>
          </cell>
          <cell r="M6232" t="str">
            <v>BOX</v>
          </cell>
          <cell r="N6232">
            <v>1228.5</v>
          </cell>
          <cell r="O6232" t="str">
            <v>INR</v>
          </cell>
        </row>
        <row r="6233">
          <cell r="A6233" t="str">
            <v>L003 Ankleshwar</v>
          </cell>
          <cell r="B6233">
            <v>725998</v>
          </cell>
          <cell r="C6233" t="str">
            <v>CONTINUOUS STATIONERY 10X12X3  (60GSM)</v>
          </cell>
          <cell r="D6233" t="str">
            <v>L0030151                       EnggStore</v>
          </cell>
          <cell r="E6233" t="str">
            <v>E42 E42</v>
          </cell>
          <cell r="F6233" t="str">
            <v>VB Manual reorder point planning</v>
          </cell>
          <cell r="G6233" t="str">
            <v>HIBE Operating supplies</v>
          </cell>
          <cell r="H6233" t="str">
            <v>EN040     Prinitng &amp;Stationery</v>
          </cell>
          <cell r="I6233" t="str">
            <v>L003 Ankleshwar</v>
          </cell>
          <cell r="J6233" t="str">
            <v>99 Input/Byprodt/Scrap</v>
          </cell>
          <cell r="K6233" t="str">
            <v>10.2012</v>
          </cell>
          <cell r="L6233">
            <v>1</v>
          </cell>
          <cell r="M6233" t="str">
            <v>BOX</v>
          </cell>
          <cell r="N6233">
            <v>819</v>
          </cell>
          <cell r="O6233" t="str">
            <v>INR</v>
          </cell>
        </row>
        <row r="6234">
          <cell r="A6234" t="str">
            <v>L003 Ankleshwar</v>
          </cell>
          <cell r="B6234">
            <v>725999</v>
          </cell>
          <cell r="C6234" t="str">
            <v>COMPUTER  STATIONERY 15X12X2  (60GSM)</v>
          </cell>
          <cell r="D6234" t="str">
            <v>L0030151                       EnggStore</v>
          </cell>
          <cell r="E6234" t="str">
            <v>E42 E42</v>
          </cell>
          <cell r="F6234" t="str">
            <v>VB Manual reorder point planning</v>
          </cell>
          <cell r="G6234" t="str">
            <v>HIBE Operating supplies</v>
          </cell>
          <cell r="H6234" t="str">
            <v>EN040     Prinitng &amp;Stationery</v>
          </cell>
          <cell r="I6234" t="str">
            <v>L003 Ankleshwar</v>
          </cell>
          <cell r="J6234" t="str">
            <v>99 Input/Byprodt/Scrap</v>
          </cell>
          <cell r="K6234" t="str">
            <v>10.2012</v>
          </cell>
          <cell r="L6234">
            <v>2</v>
          </cell>
          <cell r="M6234" t="str">
            <v>BOX</v>
          </cell>
          <cell r="N6234">
            <v>2310</v>
          </cell>
          <cell r="O6234" t="str">
            <v>INR</v>
          </cell>
        </row>
        <row r="6235">
          <cell r="A6235" t="str">
            <v>L003 Ankleshwar</v>
          </cell>
          <cell r="B6235">
            <v>726008</v>
          </cell>
          <cell r="C6235" t="str">
            <v>EQUIPMENTLOG BOOK OF CRUDE/PUE 7ACCA1X33</v>
          </cell>
          <cell r="D6235" t="str">
            <v>L0030151                       EnggStore</v>
          </cell>
          <cell r="E6235">
            <v>0</v>
          </cell>
          <cell r="F6235" t="str">
            <v>ND No planning</v>
          </cell>
          <cell r="G6235" t="str">
            <v>HIBE Operating supplies</v>
          </cell>
          <cell r="H6235" t="str">
            <v>EN024     EnggConsumables</v>
          </cell>
          <cell r="I6235" t="str">
            <v>L003 Ankleshwar</v>
          </cell>
          <cell r="J6235" t="str">
            <v>99 Input/Byprodt/Scrap</v>
          </cell>
          <cell r="K6235" t="str">
            <v>10.2012</v>
          </cell>
          <cell r="L6235">
            <v>1</v>
          </cell>
          <cell r="M6235" t="str">
            <v>EA</v>
          </cell>
          <cell r="N6235">
            <v>480</v>
          </cell>
          <cell r="O6235" t="str">
            <v>INR</v>
          </cell>
        </row>
        <row r="6236">
          <cell r="A6236" t="str">
            <v>L003 Ankleshwar</v>
          </cell>
          <cell r="B6236">
            <v>726008</v>
          </cell>
          <cell r="C6236" t="str">
            <v>EQUIPMENTLOG BOOK OF CRUDE/PUE 7ACCA1X33</v>
          </cell>
          <cell r="D6236" t="str">
            <v>L0030201                       Cons StoreKP</v>
          </cell>
          <cell r="E6236">
            <v>0</v>
          </cell>
          <cell r="F6236" t="str">
            <v>ND No planning</v>
          </cell>
          <cell r="G6236" t="str">
            <v>HIBE Operating supplies</v>
          </cell>
          <cell r="H6236" t="str">
            <v>EN040     Prinitng &amp;Stationery</v>
          </cell>
          <cell r="I6236" t="str">
            <v>L003 Ankleshwar</v>
          </cell>
          <cell r="J6236" t="str">
            <v>99 Input/Byprodt/Scrap</v>
          </cell>
          <cell r="K6236" t="str">
            <v>10.2012</v>
          </cell>
          <cell r="L6236">
            <v>1</v>
          </cell>
          <cell r="M6236" t="str">
            <v>EA</v>
          </cell>
          <cell r="N6236">
            <v>480</v>
          </cell>
          <cell r="O6236" t="str">
            <v>INR</v>
          </cell>
        </row>
        <row r="6237">
          <cell r="A6237" t="str">
            <v>L003 Ankleshwar</v>
          </cell>
          <cell r="B6237">
            <v>726043</v>
          </cell>
          <cell r="C6237" t="str">
            <v>7STAR PLANT CHARGE BOOK</v>
          </cell>
          <cell r="D6237" t="str">
            <v>L0030201                       Cons StoreKP</v>
          </cell>
          <cell r="E6237">
            <v>0</v>
          </cell>
          <cell r="F6237" t="str">
            <v>ND No planning</v>
          </cell>
          <cell r="G6237" t="str">
            <v>HIBE Operating supplies</v>
          </cell>
          <cell r="H6237" t="str">
            <v>EN040     Prinitng &amp;Stationery</v>
          </cell>
          <cell r="I6237" t="str">
            <v>L003 Ankleshwar</v>
          </cell>
          <cell r="J6237" t="str">
            <v>99 Input/Byprodt/Scrap</v>
          </cell>
          <cell r="K6237" t="str">
            <v>10.2012</v>
          </cell>
          <cell r="L6237">
            <v>11</v>
          </cell>
          <cell r="M6237" t="str">
            <v>EA</v>
          </cell>
          <cell r="N6237">
            <v>4950</v>
          </cell>
          <cell r="O6237" t="str">
            <v>INR</v>
          </cell>
        </row>
        <row r="6238">
          <cell r="A6238" t="str">
            <v>L003 Ankleshwar</v>
          </cell>
          <cell r="B6238">
            <v>726045</v>
          </cell>
          <cell r="C6238" t="str">
            <v>MONITORING SHEET OF 7APDCA C/F 1X100PAGE</v>
          </cell>
          <cell r="D6238" t="str">
            <v>L0030201                       Cons StoreKP</v>
          </cell>
          <cell r="E6238" t="str">
            <v>E01 E01</v>
          </cell>
          <cell r="F6238" t="str">
            <v>VB Manual reorder point planning</v>
          </cell>
          <cell r="G6238" t="str">
            <v>HIBE Operating supplies</v>
          </cell>
          <cell r="H6238" t="str">
            <v>EN040     Prinitng &amp;Stationery</v>
          </cell>
          <cell r="I6238" t="str">
            <v>L003 Ankleshwar</v>
          </cell>
          <cell r="J6238" t="str">
            <v>99 Input/Byprodt/Scrap</v>
          </cell>
          <cell r="K6238" t="str">
            <v>10.2012</v>
          </cell>
          <cell r="L6238">
            <v>10</v>
          </cell>
          <cell r="M6238" t="str">
            <v>EA</v>
          </cell>
          <cell r="N6238">
            <v>758.75999999999897</v>
          </cell>
          <cell r="O6238" t="str">
            <v>INR</v>
          </cell>
        </row>
        <row r="6239">
          <cell r="A6239" t="str">
            <v>L003 Ankleshwar</v>
          </cell>
          <cell r="B6239">
            <v>726046</v>
          </cell>
          <cell r="C6239" t="str">
            <v>CHECK LIST FOR SULFOXIDE 1X100 PAGE</v>
          </cell>
          <cell r="D6239" t="str">
            <v>L0030151                       EnggStore</v>
          </cell>
          <cell r="E6239" t="str">
            <v>E01 E01</v>
          </cell>
          <cell r="F6239" t="str">
            <v>VB Manual reorder point planning</v>
          </cell>
          <cell r="G6239" t="str">
            <v>HIBE Operating supplies</v>
          </cell>
          <cell r="H6239" t="str">
            <v>EN040     Prinitng &amp;Stationery</v>
          </cell>
          <cell r="I6239" t="str">
            <v>L003 Ankleshwar</v>
          </cell>
          <cell r="J6239" t="str">
            <v>99 Input/Byprodt/Scrap</v>
          </cell>
          <cell r="K6239" t="str">
            <v>10.2012</v>
          </cell>
          <cell r="L6239">
            <v>14</v>
          </cell>
          <cell r="M6239" t="str">
            <v>EA</v>
          </cell>
          <cell r="N6239">
            <v>840</v>
          </cell>
          <cell r="O6239" t="str">
            <v>INR</v>
          </cell>
        </row>
        <row r="6240">
          <cell r="A6240" t="str">
            <v>L003 Ankleshwar</v>
          </cell>
          <cell r="B6240">
            <v>726068</v>
          </cell>
          <cell r="C6240" t="str">
            <v>SOP DOCUMENT FOLDER WITH MULTI HOLE A/4</v>
          </cell>
          <cell r="D6240" t="str">
            <v>L0030151                       EnggStore</v>
          </cell>
          <cell r="E6240" t="str">
            <v>E42 E42</v>
          </cell>
          <cell r="F6240" t="str">
            <v>ND No planning</v>
          </cell>
          <cell r="G6240" t="str">
            <v>HIBE Operating supplies</v>
          </cell>
          <cell r="H6240" t="str">
            <v>EN040     Prinitng &amp;Stationery</v>
          </cell>
          <cell r="I6240" t="str">
            <v>L003 Ankleshwar</v>
          </cell>
          <cell r="J6240" t="str">
            <v>99 Input/Byprodt/Scrap</v>
          </cell>
          <cell r="K6240" t="str">
            <v>10.2012</v>
          </cell>
          <cell r="L6240">
            <v>100</v>
          </cell>
          <cell r="M6240" t="str">
            <v>EA</v>
          </cell>
          <cell r="N6240">
            <v>373.8</v>
          </cell>
          <cell r="O6240" t="str">
            <v>INR</v>
          </cell>
        </row>
        <row r="6241">
          <cell r="A6241" t="str">
            <v>L003 Ankleshwar</v>
          </cell>
          <cell r="B6241">
            <v>726098</v>
          </cell>
          <cell r="C6241" t="str">
            <v>SS316 SIFTER SIEVE 48",60 MESH W/GASKET</v>
          </cell>
          <cell r="D6241" t="str">
            <v>L0030151                       EnggStore</v>
          </cell>
          <cell r="E6241">
            <v>0</v>
          </cell>
          <cell r="F6241" t="str">
            <v>ND No planning</v>
          </cell>
          <cell r="G6241" t="str">
            <v>HIBE Operating supplies</v>
          </cell>
          <cell r="H6241" t="str">
            <v>EN001     Filters Spares</v>
          </cell>
          <cell r="I6241" t="str">
            <v>L003 Ankleshwar</v>
          </cell>
          <cell r="J6241" t="str">
            <v>99 Input/Byprodt/Scrap</v>
          </cell>
          <cell r="K6241" t="str">
            <v>10.2012</v>
          </cell>
          <cell r="L6241">
            <v>3</v>
          </cell>
          <cell r="M6241" t="str">
            <v>EA</v>
          </cell>
          <cell r="N6241">
            <v>24535.619999999901</v>
          </cell>
          <cell r="O6241" t="str">
            <v>INR</v>
          </cell>
        </row>
        <row r="6242">
          <cell r="A6242" t="str">
            <v>L003 Ankleshwar</v>
          </cell>
          <cell r="B6242">
            <v>726143</v>
          </cell>
          <cell r="C6242" t="str">
            <v>SIEVE SS316 48" SIFTER X 40 MESH</v>
          </cell>
          <cell r="D6242" t="str">
            <v>L0030151                       EnggStore</v>
          </cell>
          <cell r="E6242" t="str">
            <v>E42 E42</v>
          </cell>
          <cell r="F6242" t="str">
            <v>VB Manual reorder point planning</v>
          </cell>
          <cell r="G6242" t="str">
            <v>HIBE Operating supplies</v>
          </cell>
          <cell r="H6242" t="str">
            <v>EN024     EnggConsumables</v>
          </cell>
          <cell r="I6242" t="str">
            <v>L003 Ankleshwar</v>
          </cell>
          <cell r="J6242" t="str">
            <v>99 Input/Byprodt/Scrap</v>
          </cell>
          <cell r="K6242" t="str">
            <v>10.2012</v>
          </cell>
          <cell r="L6242">
            <v>3</v>
          </cell>
          <cell r="M6242" t="str">
            <v>EA</v>
          </cell>
          <cell r="N6242">
            <v>28259.139999999901</v>
          </cell>
          <cell r="O6242" t="str">
            <v>INR</v>
          </cell>
        </row>
        <row r="6243">
          <cell r="A6243" t="str">
            <v>L003 Ankleshwar</v>
          </cell>
          <cell r="B6243">
            <v>726146</v>
          </cell>
          <cell r="C6243" t="str">
            <v>SS MULTIMILL SIEVE 0.2MM</v>
          </cell>
          <cell r="D6243" t="str">
            <v>L0030151                       EnggStore</v>
          </cell>
          <cell r="E6243">
            <v>0</v>
          </cell>
          <cell r="F6243" t="str">
            <v>ND No planning</v>
          </cell>
          <cell r="G6243" t="str">
            <v>HIBE Operating supplies</v>
          </cell>
          <cell r="H6243" t="str">
            <v>EN024     EnggConsumables</v>
          </cell>
          <cell r="I6243" t="str">
            <v>L003 Ankleshwar</v>
          </cell>
          <cell r="J6243" t="str">
            <v>99 Input/Byprodt/Scrap</v>
          </cell>
          <cell r="K6243" t="str">
            <v>10.2012</v>
          </cell>
          <cell r="L6243">
            <v>2</v>
          </cell>
          <cell r="M6243" t="str">
            <v>EA</v>
          </cell>
          <cell r="N6243">
            <v>1658.55</v>
          </cell>
          <cell r="O6243" t="str">
            <v>INR</v>
          </cell>
        </row>
        <row r="6244">
          <cell r="A6244" t="str">
            <v>L003 Ankleshwar</v>
          </cell>
          <cell r="B6244">
            <v>726196</v>
          </cell>
          <cell r="C6244" t="str">
            <v>LINT FREE COTTON DUSTER THICK 14"X12"ETB</v>
          </cell>
          <cell r="D6244" t="str">
            <v>L0030151                       EnggStore</v>
          </cell>
          <cell r="E6244" t="str">
            <v>E42 E42</v>
          </cell>
          <cell r="F6244" t="str">
            <v>VB Manual reorder point planning</v>
          </cell>
          <cell r="G6244" t="str">
            <v>HIBE Operating supplies</v>
          </cell>
          <cell r="H6244" t="str">
            <v>EN027     Prod&amp;OtherConsumable</v>
          </cell>
          <cell r="I6244" t="str">
            <v>L003 Ankleshwar</v>
          </cell>
          <cell r="J6244" t="str">
            <v>99 Input/Byprodt/Scrap</v>
          </cell>
          <cell r="K6244" t="str">
            <v>10.2012</v>
          </cell>
          <cell r="L6244">
            <v>17</v>
          </cell>
          <cell r="M6244" t="str">
            <v>EA</v>
          </cell>
          <cell r="N6244">
            <v>595</v>
          </cell>
          <cell r="O6244" t="str">
            <v>INR</v>
          </cell>
        </row>
        <row r="6245">
          <cell r="A6245" t="str">
            <v>L003 Ankleshwar</v>
          </cell>
          <cell r="B6245">
            <v>726197</v>
          </cell>
          <cell r="C6245" t="str">
            <v>LINT FREE COTTON DUSTER THIN 14"X12" ETB</v>
          </cell>
          <cell r="D6245" t="str">
            <v>L0030151                       EnggStore</v>
          </cell>
          <cell r="E6245" t="str">
            <v>E42 E42</v>
          </cell>
          <cell r="F6245" t="str">
            <v>VB Manual reorder point planning</v>
          </cell>
          <cell r="G6245" t="str">
            <v>HIBE Operating supplies</v>
          </cell>
          <cell r="H6245" t="str">
            <v>EN027     Prod&amp;OtherConsumable</v>
          </cell>
          <cell r="I6245" t="str">
            <v>L003 Ankleshwar</v>
          </cell>
          <cell r="J6245" t="str">
            <v>99 Input/Byprodt/Scrap</v>
          </cell>
          <cell r="K6245" t="str">
            <v>10.2012</v>
          </cell>
          <cell r="L6245">
            <v>14</v>
          </cell>
          <cell r="M6245" t="str">
            <v>EA</v>
          </cell>
          <cell r="N6245">
            <v>280</v>
          </cell>
          <cell r="O6245" t="str">
            <v>INR</v>
          </cell>
        </row>
        <row r="6246">
          <cell r="A6246" t="str">
            <v>L003 Ankleshwar</v>
          </cell>
          <cell r="B6246">
            <v>726198</v>
          </cell>
          <cell r="C6246" t="str">
            <v>LINT FREECOTTON DUSTERTHICK 14"X12"7ADCA</v>
          </cell>
          <cell r="D6246" t="str">
            <v>L0030201                       Cons StoreKP</v>
          </cell>
          <cell r="E6246" t="str">
            <v>E42 E42</v>
          </cell>
          <cell r="F6246" t="str">
            <v>VB Manual reorder point planning</v>
          </cell>
          <cell r="G6246" t="str">
            <v>HIBE Operating supplies</v>
          </cell>
          <cell r="H6246" t="str">
            <v>EN027     Prod&amp;OtherConsumable</v>
          </cell>
          <cell r="I6246" t="str">
            <v>L003 Ankleshwar</v>
          </cell>
          <cell r="J6246" t="str">
            <v>99 Input/Byprodt/Scrap</v>
          </cell>
          <cell r="K6246" t="str">
            <v>10.2012</v>
          </cell>
          <cell r="L6246">
            <v>5</v>
          </cell>
          <cell r="M6246" t="str">
            <v>EA</v>
          </cell>
          <cell r="N6246">
            <v>175</v>
          </cell>
          <cell r="O6246" t="str">
            <v>INR</v>
          </cell>
        </row>
        <row r="6247">
          <cell r="A6247" t="str">
            <v>L003 Ankleshwar</v>
          </cell>
          <cell r="B6247">
            <v>726199</v>
          </cell>
          <cell r="C6247" t="str">
            <v>LINT FREECOTTON DUSTERTHIN 14"X12"7ADCA</v>
          </cell>
          <cell r="D6247" t="str">
            <v>L0030201                       Cons StoreKP</v>
          </cell>
          <cell r="E6247" t="str">
            <v>E42 E42</v>
          </cell>
          <cell r="F6247" t="str">
            <v>VB Manual reorder point planning</v>
          </cell>
          <cell r="G6247" t="str">
            <v>HIBE Operating supplies</v>
          </cell>
          <cell r="H6247" t="str">
            <v>EN027     Prod&amp;OtherConsumable</v>
          </cell>
          <cell r="I6247" t="str">
            <v>L003 Ankleshwar</v>
          </cell>
          <cell r="J6247" t="str">
            <v>99 Input/Byprodt/Scrap</v>
          </cell>
          <cell r="K6247" t="str">
            <v>10.2012</v>
          </cell>
          <cell r="L6247">
            <v>5</v>
          </cell>
          <cell r="M6247" t="str">
            <v>EA</v>
          </cell>
          <cell r="N6247">
            <v>100</v>
          </cell>
          <cell r="O6247" t="str">
            <v>INR</v>
          </cell>
        </row>
        <row r="6248">
          <cell r="A6248" t="str">
            <v>L003 Ankleshwar</v>
          </cell>
          <cell r="B6248">
            <v>726200</v>
          </cell>
          <cell r="C6248" t="str">
            <v>LINT FREE COTTONDUSTERTHICK 14"X12"7ACCA</v>
          </cell>
          <cell r="D6248" t="str">
            <v>L0030201                       Cons StoreKP</v>
          </cell>
          <cell r="E6248" t="str">
            <v>E42 E42</v>
          </cell>
          <cell r="F6248" t="str">
            <v>VB Manual reorder point planning</v>
          </cell>
          <cell r="G6248" t="str">
            <v>HIBE Operating supplies</v>
          </cell>
          <cell r="H6248" t="str">
            <v>EN027     Prod&amp;OtherConsumable</v>
          </cell>
          <cell r="I6248" t="str">
            <v>L003 Ankleshwar</v>
          </cell>
          <cell r="J6248" t="str">
            <v>99 Input/Byprodt/Scrap</v>
          </cell>
          <cell r="K6248" t="str">
            <v>10.2012</v>
          </cell>
          <cell r="L6248">
            <v>10</v>
          </cell>
          <cell r="M6248" t="str">
            <v>EA</v>
          </cell>
          <cell r="N6248">
            <v>350</v>
          </cell>
          <cell r="O6248" t="str">
            <v>INR</v>
          </cell>
        </row>
        <row r="6249">
          <cell r="A6249" t="str">
            <v>L003 Ankleshwar</v>
          </cell>
          <cell r="B6249">
            <v>726201</v>
          </cell>
          <cell r="C6249" t="str">
            <v>LINT FREE COTTONDUSTER THIN 14"X12"7ACCA</v>
          </cell>
          <cell r="D6249" t="str">
            <v>L0030201                       Cons StoreKP</v>
          </cell>
          <cell r="E6249" t="str">
            <v>E42 E42</v>
          </cell>
          <cell r="F6249" t="str">
            <v>VB Manual reorder point planning</v>
          </cell>
          <cell r="G6249" t="str">
            <v>HIBE Operating supplies</v>
          </cell>
          <cell r="H6249" t="str">
            <v>EN027     Prod&amp;OtherConsumable</v>
          </cell>
          <cell r="I6249" t="str">
            <v>L003 Ankleshwar</v>
          </cell>
          <cell r="J6249" t="str">
            <v>99 Input/Byprodt/Scrap</v>
          </cell>
          <cell r="K6249" t="str">
            <v>10.2012</v>
          </cell>
          <cell r="L6249">
            <v>10</v>
          </cell>
          <cell r="M6249" t="str">
            <v>EA</v>
          </cell>
          <cell r="N6249">
            <v>200</v>
          </cell>
          <cell r="O6249" t="str">
            <v>INR</v>
          </cell>
        </row>
        <row r="6250">
          <cell r="A6250" t="str">
            <v>L003 Ankleshwar</v>
          </cell>
          <cell r="B6250">
            <v>726202</v>
          </cell>
          <cell r="C6250" t="str">
            <v>LINT FREE COTTONDUSTERTHICK 14"X12"7STAR</v>
          </cell>
          <cell r="D6250" t="str">
            <v>L0030201                       Cons StoreKP</v>
          </cell>
          <cell r="E6250">
            <v>0</v>
          </cell>
          <cell r="F6250" t="str">
            <v>ND No planning</v>
          </cell>
          <cell r="G6250" t="str">
            <v>HIBE Operating supplies</v>
          </cell>
          <cell r="H6250" t="str">
            <v>EN027     Prod&amp;OtherConsumable</v>
          </cell>
          <cell r="I6250" t="str">
            <v>L003 Ankleshwar</v>
          </cell>
          <cell r="J6250" t="str">
            <v>99 Input/Byprodt/Scrap</v>
          </cell>
          <cell r="K6250" t="str">
            <v>10.2012</v>
          </cell>
          <cell r="L6250">
            <v>30</v>
          </cell>
          <cell r="M6250" t="str">
            <v>EA</v>
          </cell>
          <cell r="N6250">
            <v>1050</v>
          </cell>
          <cell r="O6250" t="str">
            <v>INR</v>
          </cell>
        </row>
        <row r="6251">
          <cell r="A6251" t="str">
            <v>L003 Ankleshwar</v>
          </cell>
          <cell r="B6251">
            <v>726203</v>
          </cell>
          <cell r="C6251" t="str">
            <v>LINT FREE COTTONDUSTER THIN 14"X12"7STAR</v>
          </cell>
          <cell r="D6251" t="str">
            <v>L0030201                       Cons StoreKP</v>
          </cell>
          <cell r="E6251">
            <v>0</v>
          </cell>
          <cell r="F6251" t="str">
            <v>ND No planning</v>
          </cell>
          <cell r="G6251" t="str">
            <v>HIBE Operating supplies</v>
          </cell>
          <cell r="H6251" t="str">
            <v>EN027     Prod&amp;OtherConsumable</v>
          </cell>
          <cell r="I6251" t="str">
            <v>L003 Ankleshwar</v>
          </cell>
          <cell r="J6251" t="str">
            <v>99 Input/Byprodt/Scrap</v>
          </cell>
          <cell r="K6251" t="str">
            <v>10.2012</v>
          </cell>
          <cell r="L6251">
            <v>30</v>
          </cell>
          <cell r="M6251" t="str">
            <v>EA</v>
          </cell>
          <cell r="N6251">
            <v>600</v>
          </cell>
          <cell r="O6251" t="str">
            <v>INR</v>
          </cell>
        </row>
        <row r="6252">
          <cell r="A6252" t="str">
            <v>L003 Ankleshwar</v>
          </cell>
          <cell r="B6252">
            <v>726204</v>
          </cell>
          <cell r="C6252" t="str">
            <v>LINT FREE COTTONDUSTERTHICK 14"X12"CEFA</v>
          </cell>
          <cell r="D6252" t="str">
            <v>L0030201                       Cons StoreKP</v>
          </cell>
          <cell r="E6252" t="str">
            <v>E42 E42</v>
          </cell>
          <cell r="F6252" t="str">
            <v>VB Manual reorder point planning</v>
          </cell>
          <cell r="G6252" t="str">
            <v>HIBE Operating supplies</v>
          </cell>
          <cell r="H6252" t="str">
            <v>EN027     Prod&amp;OtherConsumable</v>
          </cell>
          <cell r="I6252" t="str">
            <v>L003 Ankleshwar</v>
          </cell>
          <cell r="J6252" t="str">
            <v>99 Input/Byprodt/Scrap</v>
          </cell>
          <cell r="K6252" t="str">
            <v>10.2012</v>
          </cell>
          <cell r="L6252">
            <v>37</v>
          </cell>
          <cell r="M6252" t="str">
            <v>EA</v>
          </cell>
          <cell r="N6252">
            <v>1295</v>
          </cell>
          <cell r="O6252" t="str">
            <v>INR</v>
          </cell>
        </row>
        <row r="6253">
          <cell r="A6253" t="str">
            <v>L003 Ankleshwar</v>
          </cell>
          <cell r="B6253">
            <v>726205</v>
          </cell>
          <cell r="C6253" t="str">
            <v>LINT FREE COTTONDUSTER THIN 14"X12"CEFA</v>
          </cell>
          <cell r="D6253" t="str">
            <v>L0030201                       Cons StoreKP</v>
          </cell>
          <cell r="E6253" t="str">
            <v>E42 E42</v>
          </cell>
          <cell r="F6253" t="str">
            <v>VB Manual reorder point planning</v>
          </cell>
          <cell r="G6253" t="str">
            <v>HIBE Operating supplies</v>
          </cell>
          <cell r="H6253" t="str">
            <v>EN027     Prod&amp;OtherConsumable</v>
          </cell>
          <cell r="I6253" t="str">
            <v>L003 Ankleshwar</v>
          </cell>
          <cell r="J6253" t="str">
            <v>99 Input/Byprodt/Scrap</v>
          </cell>
          <cell r="K6253" t="str">
            <v>10.2012</v>
          </cell>
          <cell r="L6253">
            <v>37</v>
          </cell>
          <cell r="M6253" t="str">
            <v>EA</v>
          </cell>
          <cell r="N6253">
            <v>740</v>
          </cell>
          <cell r="O6253" t="str">
            <v>INR</v>
          </cell>
        </row>
        <row r="6254">
          <cell r="A6254" t="str">
            <v>L003 Ankleshwar</v>
          </cell>
          <cell r="B6254">
            <v>726259</v>
          </cell>
          <cell r="C6254" t="str">
            <v>D-119 PP C/F BAG 48" F-1002 TOP</v>
          </cell>
          <cell r="D6254" t="str">
            <v>L0030201                       Cons StoreKP</v>
          </cell>
          <cell r="E6254" t="str">
            <v>E01 E01</v>
          </cell>
          <cell r="F6254" t="str">
            <v>VB Manual reorder point planning</v>
          </cell>
          <cell r="G6254" t="str">
            <v>HIBE Operating supplies</v>
          </cell>
          <cell r="H6254" t="str">
            <v>EN001     Filters Spares</v>
          </cell>
          <cell r="I6254" t="str">
            <v>L003 Ankleshwar</v>
          </cell>
          <cell r="J6254" t="str">
            <v>99 Input/Byprodt/Scrap</v>
          </cell>
          <cell r="K6254" t="str">
            <v>10.2012</v>
          </cell>
          <cell r="L6254">
            <v>3</v>
          </cell>
          <cell r="M6254" t="str">
            <v>EA</v>
          </cell>
          <cell r="N6254">
            <v>3825</v>
          </cell>
          <cell r="O6254" t="str">
            <v>INR</v>
          </cell>
        </row>
        <row r="6255">
          <cell r="A6255" t="str">
            <v>L003 Ankleshwar</v>
          </cell>
          <cell r="B6255">
            <v>726260</v>
          </cell>
          <cell r="C6255" t="str">
            <v>D-119 PP C/F BAG 48" F-1003 TOP</v>
          </cell>
          <cell r="D6255" t="str">
            <v>L0030201                       Cons StoreKP</v>
          </cell>
          <cell r="E6255" t="str">
            <v>E01 E01</v>
          </cell>
          <cell r="F6255" t="str">
            <v>VB Manual reorder point planning</v>
          </cell>
          <cell r="G6255" t="str">
            <v>HIBE Operating supplies</v>
          </cell>
          <cell r="H6255" t="str">
            <v>EN001     Filters Spares</v>
          </cell>
          <cell r="I6255" t="str">
            <v>L003 Ankleshwar</v>
          </cell>
          <cell r="J6255" t="str">
            <v>99 Input/Byprodt/Scrap</v>
          </cell>
          <cell r="K6255" t="str">
            <v>10.2012</v>
          </cell>
          <cell r="L6255">
            <v>3</v>
          </cell>
          <cell r="M6255" t="str">
            <v>EA</v>
          </cell>
          <cell r="N6255">
            <v>3825</v>
          </cell>
          <cell r="O6255" t="str">
            <v>INR</v>
          </cell>
        </row>
        <row r="6256">
          <cell r="A6256" t="str">
            <v>L003 Ankleshwar</v>
          </cell>
          <cell r="B6256">
            <v>726333</v>
          </cell>
          <cell r="C6256" t="str">
            <v>AIR COMPRESOR LOG BOOK ETB UTILITY 1X64P</v>
          </cell>
          <cell r="D6256" t="str">
            <v>L0030201                       Cons StoreKP</v>
          </cell>
          <cell r="E6256">
            <v>0</v>
          </cell>
          <cell r="F6256" t="str">
            <v>ND No planning</v>
          </cell>
          <cell r="G6256" t="str">
            <v>HIBE Operating supplies</v>
          </cell>
          <cell r="H6256" t="str">
            <v>EN040     Prinitng &amp;Stationery</v>
          </cell>
          <cell r="I6256" t="str">
            <v>L003 Ankleshwar</v>
          </cell>
          <cell r="J6256" t="str">
            <v>99 Input/Byprodt/Scrap</v>
          </cell>
          <cell r="K6256" t="str">
            <v>10.2012</v>
          </cell>
          <cell r="L6256">
            <v>3</v>
          </cell>
          <cell r="M6256" t="str">
            <v>EA</v>
          </cell>
          <cell r="N6256">
            <v>825</v>
          </cell>
          <cell r="O6256" t="str">
            <v>INR</v>
          </cell>
        </row>
        <row r="6257">
          <cell r="A6257" t="str">
            <v>L003 Ankleshwar</v>
          </cell>
          <cell r="B6257">
            <v>726351</v>
          </cell>
          <cell r="C6257" t="str">
            <v>D-119 PP C/F BAG 48" F-1004 TOP</v>
          </cell>
          <cell r="D6257" t="str">
            <v>L0030201                       Cons StoreKP</v>
          </cell>
          <cell r="E6257" t="str">
            <v>E01 E01</v>
          </cell>
          <cell r="F6257" t="str">
            <v>VB Manual reorder point planning</v>
          </cell>
          <cell r="G6257" t="str">
            <v>HIBE Operating supplies</v>
          </cell>
          <cell r="H6257" t="str">
            <v>EN001     Filters Spares</v>
          </cell>
          <cell r="I6257" t="str">
            <v>L003 Ankleshwar</v>
          </cell>
          <cell r="J6257" t="str">
            <v>99 Input/Byprodt/Scrap</v>
          </cell>
          <cell r="K6257" t="str">
            <v>10.2012</v>
          </cell>
          <cell r="L6257">
            <v>3</v>
          </cell>
          <cell r="M6257" t="str">
            <v>EA</v>
          </cell>
          <cell r="N6257">
            <v>3825</v>
          </cell>
          <cell r="O6257" t="str">
            <v>INR</v>
          </cell>
        </row>
        <row r="6258">
          <cell r="A6258" t="str">
            <v>L003 Ankleshwar</v>
          </cell>
          <cell r="B6258">
            <v>726352</v>
          </cell>
          <cell r="C6258" t="str">
            <v>D-119 PP C/F BAG 48" F-1001 BOTTOM</v>
          </cell>
          <cell r="D6258" t="str">
            <v>L0030201                       Cons StoreKP</v>
          </cell>
          <cell r="E6258" t="str">
            <v>E01 E01</v>
          </cell>
          <cell r="F6258" t="str">
            <v>VB Manual reorder point planning</v>
          </cell>
          <cell r="G6258" t="str">
            <v>HIBE Operating supplies</v>
          </cell>
          <cell r="H6258" t="str">
            <v>EN001     Filters Spares</v>
          </cell>
          <cell r="I6258" t="str">
            <v>L003 Ankleshwar</v>
          </cell>
          <cell r="J6258" t="str">
            <v>99 Input/Byprodt/Scrap</v>
          </cell>
          <cell r="K6258" t="str">
            <v>10.2012</v>
          </cell>
          <cell r="L6258">
            <v>3</v>
          </cell>
          <cell r="M6258" t="str">
            <v>EA</v>
          </cell>
          <cell r="N6258">
            <v>3825</v>
          </cell>
          <cell r="O6258" t="str">
            <v>INR</v>
          </cell>
        </row>
        <row r="6259">
          <cell r="A6259" t="str">
            <v>L003 Ankleshwar</v>
          </cell>
          <cell r="B6259">
            <v>726353</v>
          </cell>
          <cell r="C6259" t="str">
            <v>D-119 PP C/F BAG 48" F-1002 BOTTOM</v>
          </cell>
          <cell r="D6259" t="str">
            <v>L0030201                       Cons StoreKP</v>
          </cell>
          <cell r="E6259" t="str">
            <v>E01 E01</v>
          </cell>
          <cell r="F6259" t="str">
            <v>VB Manual reorder point planning</v>
          </cell>
          <cell r="G6259" t="str">
            <v>HIBE Operating supplies</v>
          </cell>
          <cell r="H6259" t="str">
            <v>EN001     Filters Spares</v>
          </cell>
          <cell r="I6259" t="str">
            <v>L003 Ankleshwar</v>
          </cell>
          <cell r="J6259" t="str">
            <v>99 Input/Byprodt/Scrap</v>
          </cell>
          <cell r="K6259" t="str">
            <v>10.2012</v>
          </cell>
          <cell r="L6259">
            <v>2</v>
          </cell>
          <cell r="M6259" t="str">
            <v>EA</v>
          </cell>
          <cell r="N6259">
            <v>3960</v>
          </cell>
          <cell r="O6259" t="str">
            <v>INR</v>
          </cell>
        </row>
        <row r="6260">
          <cell r="A6260" t="str">
            <v>L003 Ankleshwar</v>
          </cell>
          <cell r="B6260">
            <v>726354</v>
          </cell>
          <cell r="C6260" t="str">
            <v>D-119 PP C/F BAG 48" F-1003 BOTTOM</v>
          </cell>
          <cell r="D6260" t="str">
            <v>L0030201                       Cons StoreKP</v>
          </cell>
          <cell r="E6260" t="str">
            <v>E01 E01</v>
          </cell>
          <cell r="F6260" t="str">
            <v>VB Manual reorder point planning</v>
          </cell>
          <cell r="G6260" t="str">
            <v>HIBE Operating supplies</v>
          </cell>
          <cell r="H6260" t="str">
            <v>EN001     Filters Spares</v>
          </cell>
          <cell r="I6260" t="str">
            <v>L003 Ankleshwar</v>
          </cell>
          <cell r="J6260" t="str">
            <v>99 Input/Byprodt/Scrap</v>
          </cell>
          <cell r="K6260" t="str">
            <v>10.2012</v>
          </cell>
          <cell r="L6260">
            <v>6</v>
          </cell>
          <cell r="M6260" t="str">
            <v>EA</v>
          </cell>
          <cell r="N6260">
            <v>7650</v>
          </cell>
          <cell r="O6260" t="str">
            <v>INR</v>
          </cell>
        </row>
        <row r="6261">
          <cell r="A6261" t="str">
            <v>L003 Ankleshwar</v>
          </cell>
          <cell r="B6261">
            <v>726382</v>
          </cell>
          <cell r="C6261" t="str">
            <v>7ACCA MEOH RECOVERY BATCH SHEET1X100PAGE</v>
          </cell>
          <cell r="D6261" t="str">
            <v>L0030151                       EnggStore</v>
          </cell>
          <cell r="E6261">
            <v>0</v>
          </cell>
          <cell r="F6261" t="str">
            <v>ND No planning</v>
          </cell>
          <cell r="G6261" t="str">
            <v>HIBE Operating supplies</v>
          </cell>
          <cell r="H6261" t="str">
            <v>EN040     Prinitng &amp;Stationery</v>
          </cell>
          <cell r="I6261" t="str">
            <v>L003 Ankleshwar</v>
          </cell>
          <cell r="J6261" t="str">
            <v>99 Input/Byprodt/Scrap</v>
          </cell>
          <cell r="K6261" t="str">
            <v>10.2012</v>
          </cell>
          <cell r="L6261">
            <v>1</v>
          </cell>
          <cell r="M6261" t="str">
            <v>EA</v>
          </cell>
          <cell r="N6261">
            <v>79.89</v>
          </cell>
          <cell r="O6261" t="str">
            <v>INR</v>
          </cell>
        </row>
        <row r="6262">
          <cell r="A6262" t="str">
            <v>L003 Ankleshwar</v>
          </cell>
          <cell r="B6262">
            <v>726382</v>
          </cell>
          <cell r="C6262" t="str">
            <v>7ACCA MEOH RECOVERY BATCH SHEET1X100PAGE</v>
          </cell>
          <cell r="D6262" t="str">
            <v>L0030201                       Cons StoreKP</v>
          </cell>
          <cell r="E6262">
            <v>0</v>
          </cell>
          <cell r="F6262" t="str">
            <v>ND No planning</v>
          </cell>
          <cell r="G6262" t="str">
            <v>HIBE Operating supplies</v>
          </cell>
          <cell r="H6262" t="str">
            <v>EN040     Prinitng &amp;Stationery</v>
          </cell>
          <cell r="I6262" t="str">
            <v>L003 Ankleshwar</v>
          </cell>
          <cell r="J6262" t="str">
            <v>99 Input/Byprodt/Scrap</v>
          </cell>
          <cell r="K6262" t="str">
            <v>10.2012</v>
          </cell>
          <cell r="L6262">
            <v>1</v>
          </cell>
          <cell r="M6262" t="str">
            <v>EA</v>
          </cell>
          <cell r="N6262">
            <v>79.879999999999896</v>
          </cell>
          <cell r="O6262" t="str">
            <v>INR</v>
          </cell>
        </row>
        <row r="6263">
          <cell r="A6263" t="str">
            <v>L003 Ankleshwar</v>
          </cell>
          <cell r="B6263">
            <v>726383</v>
          </cell>
          <cell r="C6263" t="str">
            <v>MEOH DIST AT C-4201 BATCH SHEET1X100PAGE</v>
          </cell>
          <cell r="D6263" t="str">
            <v>L0030201                       Cons StoreKP</v>
          </cell>
          <cell r="E6263">
            <v>0</v>
          </cell>
          <cell r="F6263" t="str">
            <v>ND No planning</v>
          </cell>
          <cell r="G6263" t="str">
            <v>HIBE Operating supplies</v>
          </cell>
          <cell r="H6263" t="str">
            <v>EN040     Prinitng &amp;Stationery</v>
          </cell>
          <cell r="I6263" t="str">
            <v>L003 Ankleshwar</v>
          </cell>
          <cell r="J6263" t="str">
            <v>99 Input/Byprodt/Scrap</v>
          </cell>
          <cell r="K6263" t="str">
            <v>10.2012</v>
          </cell>
          <cell r="L6263">
            <v>6</v>
          </cell>
          <cell r="M6263" t="str">
            <v>EA</v>
          </cell>
          <cell r="N6263">
            <v>660</v>
          </cell>
          <cell r="O6263" t="str">
            <v>INR</v>
          </cell>
        </row>
        <row r="6264">
          <cell r="A6264" t="str">
            <v>L003 Ankleshwar</v>
          </cell>
          <cell r="B6264">
            <v>726384</v>
          </cell>
          <cell r="C6264" t="str">
            <v>CHLORO AQ.ML RECOVERY BATCH SHEET1X100P</v>
          </cell>
          <cell r="D6264" t="str">
            <v>L0030151                       EnggStore</v>
          </cell>
          <cell r="E6264">
            <v>0</v>
          </cell>
          <cell r="F6264" t="str">
            <v>ND No planning</v>
          </cell>
          <cell r="G6264" t="str">
            <v>HIBE Operating supplies</v>
          </cell>
          <cell r="H6264" t="str">
            <v>EN040     Prinitng &amp;Stationery</v>
          </cell>
          <cell r="I6264" t="str">
            <v>L003 Ankleshwar</v>
          </cell>
          <cell r="J6264" t="str">
            <v>99 Input/Byprodt/Scrap</v>
          </cell>
          <cell r="K6264" t="str">
            <v>10.2012</v>
          </cell>
          <cell r="L6264">
            <v>7</v>
          </cell>
          <cell r="M6264" t="str">
            <v>EA</v>
          </cell>
          <cell r="N6264">
            <v>735</v>
          </cell>
          <cell r="O6264" t="str">
            <v>INR</v>
          </cell>
        </row>
        <row r="6265">
          <cell r="A6265" t="str">
            <v>L003 Ankleshwar</v>
          </cell>
          <cell r="B6265">
            <v>726488</v>
          </cell>
          <cell r="C6265" t="str">
            <v>STICKER OF DRY CEFADROXIL AFTER MILLING</v>
          </cell>
          <cell r="D6265" t="str">
            <v>L0030151                       EnggStore</v>
          </cell>
          <cell r="E6265">
            <v>0</v>
          </cell>
          <cell r="F6265" t="str">
            <v>ND No planning</v>
          </cell>
          <cell r="G6265" t="str">
            <v>HIBE Operating supplies</v>
          </cell>
          <cell r="H6265" t="str">
            <v>EN040     Prinitng &amp;Stationery</v>
          </cell>
          <cell r="I6265" t="str">
            <v>L003 Ankleshwar</v>
          </cell>
          <cell r="J6265" t="str">
            <v>99 Input/Byprodt/Scrap</v>
          </cell>
          <cell r="K6265" t="str">
            <v>10.2012</v>
          </cell>
          <cell r="L6265">
            <v>250</v>
          </cell>
          <cell r="M6265" t="str">
            <v>EA</v>
          </cell>
          <cell r="N6265">
            <v>250</v>
          </cell>
          <cell r="O6265" t="str">
            <v>INR</v>
          </cell>
        </row>
        <row r="6266">
          <cell r="A6266" t="str">
            <v>L003 Ankleshwar</v>
          </cell>
          <cell r="B6266">
            <v>726489</v>
          </cell>
          <cell r="C6266" t="str">
            <v>STICKER OF DRY CEFADROXIL</v>
          </cell>
          <cell r="D6266" t="str">
            <v>L0030151                       EnggStore</v>
          </cell>
          <cell r="E6266">
            <v>0</v>
          </cell>
          <cell r="F6266" t="str">
            <v>ND No planning</v>
          </cell>
          <cell r="G6266" t="str">
            <v>HIBE Operating supplies</v>
          </cell>
          <cell r="H6266" t="str">
            <v>EN040     Prinitng &amp;Stationery</v>
          </cell>
          <cell r="I6266" t="str">
            <v>L003 Ankleshwar</v>
          </cell>
          <cell r="J6266" t="str">
            <v>99 Input/Byprodt/Scrap</v>
          </cell>
          <cell r="K6266" t="str">
            <v>10.2012</v>
          </cell>
          <cell r="L6266">
            <v>2000</v>
          </cell>
          <cell r="M6266" t="str">
            <v>EA</v>
          </cell>
          <cell r="N6266">
            <v>2000</v>
          </cell>
          <cell r="O6266" t="str">
            <v>INR</v>
          </cell>
        </row>
        <row r="6267">
          <cell r="A6267" t="str">
            <v>L003 Ankleshwar</v>
          </cell>
          <cell r="B6267">
            <v>726490</v>
          </cell>
          <cell r="C6267" t="str">
            <v>STICKER OF WET CEFADROXIL</v>
          </cell>
          <cell r="D6267" t="str">
            <v>L0030151                       EnggStore</v>
          </cell>
          <cell r="E6267">
            <v>0</v>
          </cell>
          <cell r="F6267" t="str">
            <v>ND No planning</v>
          </cell>
          <cell r="G6267" t="str">
            <v>HIBE Operating supplies</v>
          </cell>
          <cell r="H6267" t="str">
            <v>EN040     Prinitng &amp;Stationery</v>
          </cell>
          <cell r="I6267" t="str">
            <v>L003 Ankleshwar</v>
          </cell>
          <cell r="J6267" t="str">
            <v>99 Input/Byprodt/Scrap</v>
          </cell>
          <cell r="K6267" t="str">
            <v>10.2012</v>
          </cell>
          <cell r="L6267">
            <v>2000</v>
          </cell>
          <cell r="M6267" t="str">
            <v>EA</v>
          </cell>
          <cell r="N6267">
            <v>2000</v>
          </cell>
          <cell r="O6267" t="str">
            <v>INR</v>
          </cell>
        </row>
        <row r="6268">
          <cell r="A6268" t="str">
            <v>L003 Ankleshwar</v>
          </cell>
          <cell r="B6268">
            <v>726492</v>
          </cell>
          <cell r="C6268" t="str">
            <v>STICKER OF DRY CEFADROXIL AFTER SIFTING</v>
          </cell>
          <cell r="D6268" t="str">
            <v>L0030151                       EnggStore</v>
          </cell>
          <cell r="E6268">
            <v>0</v>
          </cell>
          <cell r="F6268" t="str">
            <v>ND No planning</v>
          </cell>
          <cell r="G6268" t="str">
            <v>HIBE Operating supplies</v>
          </cell>
          <cell r="H6268" t="str">
            <v>EN040     Prinitng &amp;Stationery</v>
          </cell>
          <cell r="I6268" t="str">
            <v>L003 Ankleshwar</v>
          </cell>
          <cell r="J6268" t="str">
            <v>99 Input/Byprodt/Scrap</v>
          </cell>
          <cell r="K6268" t="str">
            <v>10.2012</v>
          </cell>
          <cell r="L6268">
            <v>1000</v>
          </cell>
          <cell r="M6268" t="str">
            <v>EA</v>
          </cell>
          <cell r="N6268">
            <v>1000</v>
          </cell>
          <cell r="O6268" t="str">
            <v>INR</v>
          </cell>
        </row>
        <row r="6269">
          <cell r="A6269" t="str">
            <v>L003 Ankleshwar</v>
          </cell>
          <cell r="B6269">
            <v>726572</v>
          </cell>
          <cell r="C6269" t="str">
            <v>ETB COOLING TOWER SANDFILTER LOGBOOK1X30</v>
          </cell>
          <cell r="D6269" t="str">
            <v>L0030151                       EnggStore</v>
          </cell>
          <cell r="E6269">
            <v>0</v>
          </cell>
          <cell r="F6269" t="str">
            <v>ND No planning</v>
          </cell>
          <cell r="G6269" t="str">
            <v>HIBE Operating supplies</v>
          </cell>
          <cell r="H6269" t="str">
            <v>EN040     Prinitng &amp;Stationery</v>
          </cell>
          <cell r="I6269" t="str">
            <v>L003 Ankleshwar</v>
          </cell>
          <cell r="J6269" t="str">
            <v>99 Input/Byprodt/Scrap</v>
          </cell>
          <cell r="K6269" t="str">
            <v>10.2012</v>
          </cell>
          <cell r="L6269">
            <v>7</v>
          </cell>
          <cell r="M6269" t="str">
            <v>EA</v>
          </cell>
          <cell r="N6269">
            <v>560</v>
          </cell>
          <cell r="O6269" t="str">
            <v>INR</v>
          </cell>
        </row>
        <row r="6270">
          <cell r="A6270" t="str">
            <v>L003 Ankleshwar</v>
          </cell>
          <cell r="B6270">
            <v>726575</v>
          </cell>
          <cell r="C6270" t="str">
            <v>BOILER LOG BOOK GT:4681 ECO:GTE:402</v>
          </cell>
          <cell r="D6270" t="str">
            <v>L0030151                       EnggStore</v>
          </cell>
          <cell r="E6270">
            <v>0</v>
          </cell>
          <cell r="F6270" t="str">
            <v>ND No planning</v>
          </cell>
          <cell r="G6270" t="str">
            <v>HIBE Operating supplies</v>
          </cell>
          <cell r="H6270" t="str">
            <v>EN040     Prinitng &amp;Stationery</v>
          </cell>
          <cell r="I6270" t="str">
            <v>L003 Ankleshwar</v>
          </cell>
          <cell r="J6270" t="str">
            <v>99 Input/Byprodt/Scrap</v>
          </cell>
          <cell r="K6270" t="str">
            <v>10.2012</v>
          </cell>
          <cell r="L6270">
            <v>2</v>
          </cell>
          <cell r="M6270" t="str">
            <v>EA</v>
          </cell>
          <cell r="N6270">
            <v>804</v>
          </cell>
          <cell r="O6270" t="str">
            <v>INR</v>
          </cell>
        </row>
        <row r="6271">
          <cell r="A6271" t="str">
            <v>L003 Ankleshwar</v>
          </cell>
          <cell r="B6271">
            <v>726585</v>
          </cell>
          <cell r="C6271" t="str">
            <v>MEOH RECO. MONITORING SHEET OF MANDELIC</v>
          </cell>
          <cell r="D6271" t="str">
            <v>L0030151                       EnggStore</v>
          </cell>
          <cell r="E6271">
            <v>0</v>
          </cell>
          <cell r="F6271" t="str">
            <v>ND No planning</v>
          </cell>
          <cell r="G6271" t="str">
            <v>HIBE Operating supplies</v>
          </cell>
          <cell r="H6271" t="str">
            <v>EN040     Prinitng &amp;Stationery</v>
          </cell>
          <cell r="I6271" t="str">
            <v>L003 Ankleshwar</v>
          </cell>
          <cell r="J6271" t="str">
            <v>99 Input/Byprodt/Scrap</v>
          </cell>
          <cell r="K6271" t="str">
            <v>10.2012</v>
          </cell>
          <cell r="L6271">
            <v>5</v>
          </cell>
          <cell r="M6271" t="str">
            <v>EA</v>
          </cell>
          <cell r="N6271">
            <v>550</v>
          </cell>
          <cell r="O6271" t="str">
            <v>INR</v>
          </cell>
        </row>
        <row r="6272">
          <cell r="A6272" t="str">
            <v>L003 Ankleshwar</v>
          </cell>
          <cell r="B6272">
            <v>726586</v>
          </cell>
          <cell r="C6272" t="str">
            <v>WATER RECO. MONITORING SHEET OF MANDELIC</v>
          </cell>
          <cell r="D6272" t="str">
            <v>L0030151                       EnggStore</v>
          </cell>
          <cell r="E6272">
            <v>0</v>
          </cell>
          <cell r="F6272" t="str">
            <v>ND No planning</v>
          </cell>
          <cell r="G6272" t="str">
            <v>HIBE Operating supplies</v>
          </cell>
          <cell r="H6272" t="str">
            <v>EN040     Prinitng &amp;Stationery</v>
          </cell>
          <cell r="I6272" t="str">
            <v>L003 Ankleshwar</v>
          </cell>
          <cell r="J6272" t="str">
            <v>99 Input/Byprodt/Scrap</v>
          </cell>
          <cell r="K6272" t="str">
            <v>10.2012</v>
          </cell>
          <cell r="L6272">
            <v>5</v>
          </cell>
          <cell r="M6272" t="str">
            <v>EA</v>
          </cell>
          <cell r="N6272">
            <v>550</v>
          </cell>
          <cell r="O6272" t="str">
            <v>INR</v>
          </cell>
        </row>
        <row r="6273">
          <cell r="A6273" t="str">
            <v>L003 Ankleshwar</v>
          </cell>
          <cell r="B6273">
            <v>726587</v>
          </cell>
          <cell r="C6273" t="str">
            <v>LOG SHEET OF MA EXTRACTION</v>
          </cell>
          <cell r="D6273" t="str">
            <v>L0030151                       EnggStore</v>
          </cell>
          <cell r="E6273">
            <v>0</v>
          </cell>
          <cell r="F6273" t="str">
            <v>ND No planning</v>
          </cell>
          <cell r="G6273" t="str">
            <v>HIBE Operating supplies</v>
          </cell>
          <cell r="H6273" t="str">
            <v>EN040     Prinitng &amp;Stationery</v>
          </cell>
          <cell r="I6273" t="str">
            <v>L003 Ankleshwar</v>
          </cell>
          <cell r="J6273" t="str">
            <v>99 Input/Byprodt/Scrap</v>
          </cell>
          <cell r="K6273" t="str">
            <v>10.2012</v>
          </cell>
          <cell r="L6273">
            <v>5</v>
          </cell>
          <cell r="M6273" t="str">
            <v>EA</v>
          </cell>
          <cell r="N6273">
            <v>550</v>
          </cell>
          <cell r="O6273" t="str">
            <v>INR</v>
          </cell>
        </row>
        <row r="6274">
          <cell r="A6274" t="str">
            <v>L003 Ankleshwar</v>
          </cell>
          <cell r="B6274">
            <v>726592</v>
          </cell>
          <cell r="C6274" t="str">
            <v>HD HDPE FILTER CLOTH 30"X30"FOR TA</v>
          </cell>
          <cell r="D6274" t="str">
            <v>L0030151                       EnggStore</v>
          </cell>
          <cell r="E6274" t="str">
            <v>E01 E01</v>
          </cell>
          <cell r="F6274" t="str">
            <v>VB Manual reorder point planning</v>
          </cell>
          <cell r="G6274" t="str">
            <v>HIBE Operating supplies</v>
          </cell>
          <cell r="H6274" t="str">
            <v>EN027     Prod&amp;OtherConsumable</v>
          </cell>
          <cell r="I6274" t="str">
            <v>L003 Ankleshwar</v>
          </cell>
          <cell r="J6274" t="str">
            <v>99 Input/Byprodt/Scrap</v>
          </cell>
          <cell r="K6274" t="str">
            <v>10.2012</v>
          </cell>
          <cell r="L6274">
            <v>1</v>
          </cell>
          <cell r="M6274" t="str">
            <v>M</v>
          </cell>
          <cell r="N6274">
            <v>150</v>
          </cell>
          <cell r="O6274" t="str">
            <v>INR</v>
          </cell>
        </row>
        <row r="6275">
          <cell r="A6275" t="str">
            <v>L003 Ankleshwar</v>
          </cell>
          <cell r="B6275">
            <v>726593</v>
          </cell>
          <cell r="C6275" t="str">
            <v>DAILY PRODUCTION REPORT OFTA PLANT3PAGE</v>
          </cell>
          <cell r="D6275" t="str">
            <v>L0030151                       EnggStore</v>
          </cell>
          <cell r="E6275" t="str">
            <v>E01 E01</v>
          </cell>
          <cell r="F6275" t="str">
            <v>VB Manual reorder point planning</v>
          </cell>
          <cell r="G6275" t="str">
            <v>HIBE Operating supplies</v>
          </cell>
          <cell r="H6275" t="str">
            <v>EN040     Prinitng &amp;Stationery</v>
          </cell>
          <cell r="I6275" t="str">
            <v>L003 Ankleshwar</v>
          </cell>
          <cell r="J6275" t="str">
            <v>99 Input/Byprodt/Scrap</v>
          </cell>
          <cell r="K6275" t="str">
            <v>10.2012</v>
          </cell>
          <cell r="L6275">
            <v>2</v>
          </cell>
          <cell r="M6275" t="str">
            <v>EA</v>
          </cell>
          <cell r="N6275">
            <v>400</v>
          </cell>
          <cell r="O6275" t="str">
            <v>INR</v>
          </cell>
        </row>
        <row r="6276">
          <cell r="A6276" t="str">
            <v>L003 Ankleshwar</v>
          </cell>
          <cell r="B6276">
            <v>726625</v>
          </cell>
          <cell r="C6276" t="str">
            <v>DANGER TAG (DO NOT OPERATE)</v>
          </cell>
          <cell r="D6276" t="str">
            <v>L0030151                       EnggStore</v>
          </cell>
          <cell r="E6276" t="str">
            <v>E42 E42</v>
          </cell>
          <cell r="F6276" t="str">
            <v>VB Manual reorder point planning</v>
          </cell>
          <cell r="G6276" t="str">
            <v>HIBE Operating supplies</v>
          </cell>
          <cell r="H6276" t="str">
            <v>EN040     Prinitng &amp;Stationery</v>
          </cell>
          <cell r="I6276" t="str">
            <v>L003 Ankleshwar</v>
          </cell>
          <cell r="J6276" t="str">
            <v>99 Input/Byprodt/Scrap</v>
          </cell>
          <cell r="K6276" t="str">
            <v>10.2012</v>
          </cell>
          <cell r="L6276">
            <v>1390</v>
          </cell>
          <cell r="M6276" t="str">
            <v>EA</v>
          </cell>
          <cell r="N6276">
            <v>1667.98</v>
          </cell>
          <cell r="O6276" t="str">
            <v>INR</v>
          </cell>
        </row>
        <row r="6277">
          <cell r="A6277" t="str">
            <v>L003 Ankleshwar</v>
          </cell>
          <cell r="B6277">
            <v>726625</v>
          </cell>
          <cell r="C6277" t="str">
            <v>DANGER TAG (DO NOT OPERATE)</v>
          </cell>
          <cell r="D6277" t="str">
            <v>L0030201                       Cons StoreKP</v>
          </cell>
          <cell r="E6277" t="str">
            <v>E42 E42</v>
          </cell>
          <cell r="F6277" t="str">
            <v>VB Manual reorder point planning</v>
          </cell>
          <cell r="G6277" t="str">
            <v>HIBE Operating supplies</v>
          </cell>
          <cell r="H6277" t="str">
            <v>EN040     Prinitng &amp;Stationery</v>
          </cell>
          <cell r="I6277" t="str">
            <v>L003 Ankleshwar</v>
          </cell>
          <cell r="J6277" t="str">
            <v>99 Input/Byprodt/Scrap</v>
          </cell>
          <cell r="K6277" t="str">
            <v>10.2012</v>
          </cell>
          <cell r="L6277">
            <v>74</v>
          </cell>
          <cell r="M6277" t="str">
            <v>EA</v>
          </cell>
          <cell r="N6277">
            <v>88.799999999999898</v>
          </cell>
          <cell r="O6277" t="str">
            <v>INR</v>
          </cell>
        </row>
        <row r="6278">
          <cell r="A6278" t="str">
            <v>L003 Ankleshwar</v>
          </cell>
          <cell r="B6278">
            <v>726675</v>
          </cell>
          <cell r="C6278" t="str">
            <v>RESIN COLUMN DETAILS 1X100 PAGE</v>
          </cell>
          <cell r="D6278" t="str">
            <v>L0030201                       Cons StoreKP</v>
          </cell>
          <cell r="E6278" t="str">
            <v>E01 E01</v>
          </cell>
          <cell r="F6278" t="str">
            <v>VB Manual reorder point planning</v>
          </cell>
          <cell r="G6278" t="str">
            <v>HIBE Operating supplies</v>
          </cell>
          <cell r="H6278" t="str">
            <v>EN040     Prinitng &amp;Stationery</v>
          </cell>
          <cell r="I6278" t="str">
            <v>L003 Ankleshwar</v>
          </cell>
          <cell r="J6278" t="str">
            <v>99 Input/Byprodt/Scrap</v>
          </cell>
          <cell r="K6278" t="str">
            <v>10.2012</v>
          </cell>
          <cell r="L6278">
            <v>2</v>
          </cell>
          <cell r="M6278" t="str">
            <v>EA</v>
          </cell>
          <cell r="N6278">
            <v>190</v>
          </cell>
          <cell r="O6278" t="str">
            <v>INR</v>
          </cell>
        </row>
        <row r="6279">
          <cell r="A6279" t="str">
            <v>L003 Ankleshwar</v>
          </cell>
          <cell r="B6279">
            <v>726686</v>
          </cell>
          <cell r="C6279" t="str">
            <v>CONTRACTOR SHIFT INCHARGE LOG BOOK 100P</v>
          </cell>
          <cell r="D6279" t="str">
            <v>L0030151                       EnggStore</v>
          </cell>
          <cell r="E6279" t="str">
            <v>E01 E01</v>
          </cell>
          <cell r="F6279" t="str">
            <v>VB Manual reorder point planning</v>
          </cell>
          <cell r="G6279" t="str">
            <v>HIBE Operating supplies</v>
          </cell>
          <cell r="H6279" t="str">
            <v>EN040     Prinitng &amp;Stationery</v>
          </cell>
          <cell r="I6279" t="str">
            <v>L003 Ankleshwar</v>
          </cell>
          <cell r="J6279" t="str">
            <v>99 Input/Byprodt/Scrap</v>
          </cell>
          <cell r="K6279" t="str">
            <v>10.2012</v>
          </cell>
          <cell r="L6279">
            <v>7</v>
          </cell>
          <cell r="M6279" t="str">
            <v>EA</v>
          </cell>
          <cell r="N6279">
            <v>1300</v>
          </cell>
          <cell r="O6279" t="str">
            <v>INR</v>
          </cell>
        </row>
        <row r="6280">
          <cell r="A6280" t="str">
            <v>L003 Ankleshwar</v>
          </cell>
          <cell r="B6280">
            <v>726717</v>
          </cell>
          <cell r="C6280" t="str">
            <v>CONTINUOUS ANNEXURE  10X12X4 (60 GSM)</v>
          </cell>
          <cell r="D6280" t="str">
            <v>L0030151                       EnggStore</v>
          </cell>
          <cell r="E6280" t="str">
            <v>E01 E01</v>
          </cell>
          <cell r="F6280" t="str">
            <v>ND No planning</v>
          </cell>
          <cell r="G6280" t="str">
            <v>HIBE Operating supplies</v>
          </cell>
          <cell r="H6280" t="str">
            <v>EN040     Prinitng &amp;Stationery</v>
          </cell>
          <cell r="I6280" t="str">
            <v>L003 Ankleshwar</v>
          </cell>
          <cell r="J6280" t="str">
            <v>99 Input/Byprodt/Scrap</v>
          </cell>
          <cell r="K6280" t="str">
            <v>10.2012</v>
          </cell>
          <cell r="L6280">
            <v>1</v>
          </cell>
          <cell r="M6280" t="str">
            <v>BOX</v>
          </cell>
          <cell r="N6280">
            <v>819</v>
          </cell>
          <cell r="O6280" t="str">
            <v>INR</v>
          </cell>
        </row>
        <row r="6281">
          <cell r="A6281" t="str">
            <v>L003 Ankleshwar</v>
          </cell>
          <cell r="B6281">
            <v>726718</v>
          </cell>
          <cell r="C6281" t="str">
            <v>PLAIN STICKER OF ETB HCL IP/BP/USP/EP</v>
          </cell>
          <cell r="D6281" t="str">
            <v>L0030151                       EnggStore</v>
          </cell>
          <cell r="E6281" t="str">
            <v>E01 E01</v>
          </cell>
          <cell r="F6281" t="str">
            <v>VB Manual reorder point planning</v>
          </cell>
          <cell r="G6281" t="str">
            <v>HIBE Operating supplies</v>
          </cell>
          <cell r="H6281" t="str">
            <v>EN040     Prinitng &amp;Stationery</v>
          </cell>
          <cell r="I6281" t="str">
            <v>L003 Ankleshwar</v>
          </cell>
          <cell r="J6281" t="str">
            <v>99 Input/Byprodt/Scrap</v>
          </cell>
          <cell r="K6281" t="str">
            <v>10.2012</v>
          </cell>
          <cell r="L6281">
            <v>2000</v>
          </cell>
          <cell r="M6281" t="str">
            <v>EA</v>
          </cell>
          <cell r="N6281">
            <v>2000</v>
          </cell>
          <cell r="O6281" t="str">
            <v>INR</v>
          </cell>
        </row>
        <row r="6282">
          <cell r="A6282" t="str">
            <v>L003 Ankleshwar</v>
          </cell>
          <cell r="B6282">
            <v>726726</v>
          </cell>
          <cell r="C6282" t="str">
            <v>DUNLOP CHEMICAL HOSE 3"</v>
          </cell>
          <cell r="D6282" t="str">
            <v>L0030151                       EnggStore</v>
          </cell>
          <cell r="E6282" t="str">
            <v>E01 E01</v>
          </cell>
          <cell r="F6282" t="str">
            <v>VB Manual reorder point planning</v>
          </cell>
          <cell r="G6282" t="str">
            <v>HIBE Operating supplies</v>
          </cell>
          <cell r="H6282" t="str">
            <v>EN027     Prod&amp;OtherConsumable</v>
          </cell>
          <cell r="I6282" t="str">
            <v>L003 Ankleshwar</v>
          </cell>
          <cell r="J6282" t="str">
            <v>99 Input/Byprodt/Scrap</v>
          </cell>
          <cell r="K6282" t="str">
            <v>10.2012</v>
          </cell>
          <cell r="L6282">
            <v>4</v>
          </cell>
          <cell r="M6282" t="str">
            <v>M</v>
          </cell>
          <cell r="N6282">
            <v>6676.8</v>
          </cell>
          <cell r="O6282" t="str">
            <v>INR</v>
          </cell>
        </row>
        <row r="6283">
          <cell r="A6283" t="str">
            <v>L003 Ankleshwar</v>
          </cell>
          <cell r="B6283">
            <v>726732</v>
          </cell>
          <cell r="C6283" t="str">
            <v>PRECIPITATION OF L2ABT BATCH SHEET 1X100</v>
          </cell>
          <cell r="D6283" t="str">
            <v>L0030151                       EnggStore</v>
          </cell>
          <cell r="E6283" t="str">
            <v>E01 E01</v>
          </cell>
          <cell r="F6283" t="str">
            <v>VB Manual reorder point planning</v>
          </cell>
          <cell r="G6283" t="str">
            <v>HIBE Operating supplies</v>
          </cell>
          <cell r="H6283" t="str">
            <v>EN040     Prinitng &amp;Stationery</v>
          </cell>
          <cell r="I6283" t="str">
            <v>L003 Ankleshwar</v>
          </cell>
          <cell r="J6283" t="str">
            <v>99 Input/Byprodt/Scrap</v>
          </cell>
          <cell r="K6283" t="str">
            <v>10.2012</v>
          </cell>
          <cell r="L6283">
            <v>10</v>
          </cell>
          <cell r="M6283" t="str">
            <v>EA</v>
          </cell>
          <cell r="N6283">
            <v>718.52999999999895</v>
          </cell>
          <cell r="O6283" t="str">
            <v>INR</v>
          </cell>
        </row>
        <row r="6284">
          <cell r="A6284" t="str">
            <v>L003 Ankleshwar</v>
          </cell>
          <cell r="B6284">
            <v>726738</v>
          </cell>
          <cell r="C6284" t="str">
            <v>LABEL FOR LOGBOOK ISSUANCE</v>
          </cell>
          <cell r="D6284" t="str">
            <v>L0030151                       EnggStore</v>
          </cell>
          <cell r="E6284" t="str">
            <v>E01 E01</v>
          </cell>
          <cell r="F6284" t="str">
            <v>VB Manual reorder point planning</v>
          </cell>
          <cell r="G6284" t="str">
            <v>HIBE Operating supplies</v>
          </cell>
          <cell r="H6284" t="str">
            <v>EN040     Prinitng &amp;Stationery</v>
          </cell>
          <cell r="I6284" t="str">
            <v>L003 Ankleshwar</v>
          </cell>
          <cell r="J6284" t="str">
            <v>99 Input/Byprodt/Scrap</v>
          </cell>
          <cell r="K6284" t="str">
            <v>10.2012</v>
          </cell>
          <cell r="L6284">
            <v>1200</v>
          </cell>
          <cell r="M6284" t="str">
            <v>EA</v>
          </cell>
          <cell r="N6284">
            <v>2161.25</v>
          </cell>
          <cell r="O6284" t="str">
            <v>INR</v>
          </cell>
        </row>
        <row r="6285">
          <cell r="A6285" t="str">
            <v>L003 Ankleshwar</v>
          </cell>
          <cell r="B6285">
            <v>726758</v>
          </cell>
          <cell r="C6285" t="str">
            <v>BHS OPERATION CHECK LIST 1X100PAGE</v>
          </cell>
          <cell r="D6285" t="str">
            <v>L0030201                       Cons StoreKP</v>
          </cell>
          <cell r="E6285" t="str">
            <v>E01 E01</v>
          </cell>
          <cell r="F6285" t="str">
            <v>VB Manual reorder point planning</v>
          </cell>
          <cell r="G6285" t="str">
            <v>HIBE Operating supplies</v>
          </cell>
          <cell r="H6285" t="str">
            <v>EN040     Prinitng &amp;Stationery</v>
          </cell>
          <cell r="I6285" t="str">
            <v>L003 Ankleshwar</v>
          </cell>
          <cell r="J6285" t="str">
            <v>99 Input/Byprodt/Scrap</v>
          </cell>
          <cell r="K6285" t="str">
            <v>10.2012</v>
          </cell>
          <cell r="L6285">
            <v>10</v>
          </cell>
          <cell r="M6285" t="str">
            <v>EA</v>
          </cell>
          <cell r="N6285">
            <v>800</v>
          </cell>
          <cell r="O6285" t="str">
            <v>INR</v>
          </cell>
        </row>
        <row r="6286">
          <cell r="A6286" t="str">
            <v>L003 Ankleshwar</v>
          </cell>
          <cell r="B6286">
            <v>726762</v>
          </cell>
          <cell r="C6286" t="str">
            <v>STICKER OF 7ACCA DRY/SIFTED/BLENDED</v>
          </cell>
          <cell r="D6286" t="str">
            <v>L0030201                       Cons StoreKP</v>
          </cell>
          <cell r="E6286" t="str">
            <v>E01 E01</v>
          </cell>
          <cell r="F6286" t="str">
            <v>VB Manual reorder point planning</v>
          </cell>
          <cell r="G6286" t="str">
            <v>HIBE Operating supplies</v>
          </cell>
          <cell r="H6286" t="str">
            <v>EN040     Prinitng &amp;Stationery</v>
          </cell>
          <cell r="I6286" t="str">
            <v>L003 Ankleshwar</v>
          </cell>
          <cell r="J6286" t="str">
            <v>99 Input/Byprodt/Scrap</v>
          </cell>
          <cell r="K6286" t="str">
            <v>10.2012</v>
          </cell>
          <cell r="L6286">
            <v>2000</v>
          </cell>
          <cell r="M6286" t="str">
            <v>EA</v>
          </cell>
          <cell r="N6286">
            <v>2000</v>
          </cell>
          <cell r="O6286" t="str">
            <v>INR</v>
          </cell>
        </row>
        <row r="6287">
          <cell r="A6287" t="str">
            <v>L003 Ankleshwar</v>
          </cell>
          <cell r="B6287">
            <v>726783</v>
          </cell>
          <cell r="C6287" t="str">
            <v>SS FUNNEL 8"</v>
          </cell>
          <cell r="D6287" t="str">
            <v>L0030151                       EnggStore</v>
          </cell>
          <cell r="E6287" t="str">
            <v>E01 E01</v>
          </cell>
          <cell r="F6287" t="str">
            <v>VB Manual reorder point planning</v>
          </cell>
          <cell r="G6287" t="str">
            <v>HIBE Operating supplies</v>
          </cell>
          <cell r="H6287" t="str">
            <v>EN024     EnggConsumables</v>
          </cell>
          <cell r="I6287" t="str">
            <v>L003 Ankleshwar</v>
          </cell>
          <cell r="J6287" t="str">
            <v>99 Input/Byprodt/Scrap</v>
          </cell>
          <cell r="K6287" t="str">
            <v>10.2012</v>
          </cell>
          <cell r="L6287">
            <v>6</v>
          </cell>
          <cell r="M6287" t="str">
            <v>EA</v>
          </cell>
          <cell r="N6287">
            <v>1683</v>
          </cell>
          <cell r="O6287" t="str">
            <v>INR</v>
          </cell>
        </row>
        <row r="6288">
          <cell r="A6288" t="str">
            <v>L003 Ankleshwar</v>
          </cell>
          <cell r="B6288">
            <v>726789</v>
          </cell>
          <cell r="C6288" t="str">
            <v>R-4501A/BCHLORO ML WASHING  BOOK 1+1X100</v>
          </cell>
          <cell r="D6288" t="str">
            <v>L0030151                       EnggStore</v>
          </cell>
          <cell r="E6288" t="str">
            <v>E01 E01</v>
          </cell>
          <cell r="F6288" t="str">
            <v>VB Manual reorder point planning</v>
          </cell>
          <cell r="G6288" t="str">
            <v>HIBE Operating supplies</v>
          </cell>
          <cell r="H6288" t="str">
            <v>EN040     Prinitng &amp;Stationery</v>
          </cell>
          <cell r="I6288" t="str">
            <v>L003 Ankleshwar</v>
          </cell>
          <cell r="J6288" t="str">
            <v>99 Input/Byprodt/Scrap</v>
          </cell>
          <cell r="K6288" t="str">
            <v>10.2012</v>
          </cell>
          <cell r="L6288">
            <v>12</v>
          </cell>
          <cell r="M6288" t="str">
            <v>EA</v>
          </cell>
          <cell r="N6288">
            <v>1008</v>
          </cell>
          <cell r="O6288" t="str">
            <v>INR</v>
          </cell>
        </row>
        <row r="6289">
          <cell r="A6289" t="str">
            <v>L003 Ankleshwar</v>
          </cell>
          <cell r="B6289">
            <v>726803</v>
          </cell>
          <cell r="C6289" t="str">
            <v>POLYSTER CLOTH FOR IRISH VALVE 19"x12"</v>
          </cell>
          <cell r="D6289" t="str">
            <v>L0030201                       Cons StoreKP</v>
          </cell>
          <cell r="E6289" t="str">
            <v>E42 E42</v>
          </cell>
          <cell r="F6289" t="str">
            <v>VB Manual reorder point planning</v>
          </cell>
          <cell r="G6289" t="str">
            <v>HIBE Operating supplies</v>
          </cell>
          <cell r="H6289" t="str">
            <v>EN040     Prinitng &amp;Stationery</v>
          </cell>
          <cell r="I6289" t="str">
            <v>L003 Ankleshwar</v>
          </cell>
          <cell r="J6289" t="str">
            <v>99 Input/Byprodt/Scrap</v>
          </cell>
          <cell r="K6289" t="str">
            <v>10.2012</v>
          </cell>
          <cell r="L6289">
            <v>10</v>
          </cell>
          <cell r="M6289" t="str">
            <v>EA</v>
          </cell>
          <cell r="N6289">
            <v>1980</v>
          </cell>
          <cell r="O6289" t="str">
            <v>INR</v>
          </cell>
        </row>
        <row r="6290">
          <cell r="A6290" t="str">
            <v>L003 Ankleshwar</v>
          </cell>
          <cell r="B6290">
            <v>726804</v>
          </cell>
          <cell r="C6290" t="str">
            <v>NANO FILTER  PLANT  BATCH SHEE 2X31 PAGE</v>
          </cell>
          <cell r="D6290" t="str">
            <v>L0030151                       EnggStore</v>
          </cell>
          <cell r="E6290" t="str">
            <v>E01 E01</v>
          </cell>
          <cell r="F6290" t="str">
            <v>VB Manual reorder point planning</v>
          </cell>
          <cell r="G6290" t="str">
            <v>HIBE Operating supplies</v>
          </cell>
          <cell r="H6290" t="str">
            <v>EN040     Prinitng &amp;Stationery</v>
          </cell>
          <cell r="I6290" t="str">
            <v>L003 Ankleshwar</v>
          </cell>
          <cell r="J6290" t="str">
            <v>99 Input/Byprodt/Scrap</v>
          </cell>
          <cell r="K6290" t="str">
            <v>10.2012</v>
          </cell>
          <cell r="L6290">
            <v>3</v>
          </cell>
          <cell r="M6290" t="str">
            <v>EA</v>
          </cell>
          <cell r="N6290">
            <v>1275</v>
          </cell>
          <cell r="O6290" t="str">
            <v>INR</v>
          </cell>
        </row>
        <row r="6291">
          <cell r="A6291" t="str">
            <v>L003 Ankleshwar</v>
          </cell>
          <cell r="B6291">
            <v>726805</v>
          </cell>
          <cell r="C6291" t="str">
            <v>RO PLANT FILTERARTION LOG BOOK1X100PAGE</v>
          </cell>
          <cell r="D6291" t="str">
            <v>L0030151                       EnggStore</v>
          </cell>
          <cell r="E6291" t="str">
            <v>E01 E01</v>
          </cell>
          <cell r="F6291" t="str">
            <v>VB Manual reorder point planning</v>
          </cell>
          <cell r="G6291" t="str">
            <v>HIBE Operating supplies</v>
          </cell>
          <cell r="H6291" t="str">
            <v>EN040     Prinitng &amp;Stationery</v>
          </cell>
          <cell r="I6291" t="str">
            <v>L003 Ankleshwar</v>
          </cell>
          <cell r="J6291" t="str">
            <v>99 Input/Byprodt/Scrap</v>
          </cell>
          <cell r="K6291" t="str">
            <v>10.2012</v>
          </cell>
          <cell r="L6291">
            <v>1</v>
          </cell>
          <cell r="M6291" t="str">
            <v>EA</v>
          </cell>
          <cell r="N6291">
            <v>375</v>
          </cell>
          <cell r="O6291" t="str">
            <v>INR</v>
          </cell>
        </row>
        <row r="6292">
          <cell r="A6292" t="str">
            <v>L003 Ankleshwar</v>
          </cell>
          <cell r="B6292">
            <v>726810</v>
          </cell>
          <cell r="C6292" t="str">
            <v>ETHYL ACETATE DIST.ATC-9602/R-96061+2X35</v>
          </cell>
          <cell r="D6292" t="str">
            <v>L0030151                       EnggStore</v>
          </cell>
          <cell r="E6292" t="str">
            <v>E01 E01</v>
          </cell>
          <cell r="F6292" t="str">
            <v>VB Manual reorder point planning</v>
          </cell>
          <cell r="G6292" t="str">
            <v>HIBE Operating supplies</v>
          </cell>
          <cell r="H6292" t="str">
            <v>EN040     Prinitng &amp;Stationery</v>
          </cell>
          <cell r="I6292" t="str">
            <v>L003 Ankleshwar</v>
          </cell>
          <cell r="J6292" t="str">
            <v>99 Input/Byprodt/Scrap</v>
          </cell>
          <cell r="K6292" t="str">
            <v>10.2012</v>
          </cell>
          <cell r="L6292">
            <v>10</v>
          </cell>
          <cell r="M6292" t="str">
            <v>EA</v>
          </cell>
          <cell r="N6292">
            <v>1155</v>
          </cell>
          <cell r="O6292" t="str">
            <v>INR</v>
          </cell>
        </row>
        <row r="6293">
          <cell r="A6293" t="str">
            <v>L003 Ankleshwar</v>
          </cell>
          <cell r="B6293">
            <v>726829</v>
          </cell>
          <cell r="C6293" t="str">
            <v>L2ABT RESIDUE CRACKING BATCH SHEET 1X100</v>
          </cell>
          <cell r="D6293" t="str">
            <v>L0030151                       EnggStore</v>
          </cell>
          <cell r="E6293" t="str">
            <v>E01 E01</v>
          </cell>
          <cell r="F6293" t="str">
            <v>VB Manual reorder point planning</v>
          </cell>
          <cell r="G6293" t="str">
            <v>HIBE Operating supplies</v>
          </cell>
          <cell r="H6293" t="str">
            <v>EN040     Prinitng &amp;Stationery</v>
          </cell>
          <cell r="I6293" t="str">
            <v>L003 Ankleshwar</v>
          </cell>
          <cell r="J6293" t="str">
            <v>99 Input/Byprodt/Scrap</v>
          </cell>
          <cell r="K6293" t="str">
            <v>10.2012</v>
          </cell>
          <cell r="L6293">
            <v>5</v>
          </cell>
          <cell r="M6293" t="str">
            <v>EA</v>
          </cell>
          <cell r="N6293">
            <v>484.27999999999901</v>
          </cell>
          <cell r="O6293" t="str">
            <v>INR</v>
          </cell>
        </row>
        <row r="6294">
          <cell r="A6294" t="str">
            <v>L003 Ankleshwar</v>
          </cell>
          <cell r="B6294">
            <v>726829</v>
          </cell>
          <cell r="C6294" t="str">
            <v>L2ABT RESIDUE CRACKING BATCH SHEET 1X100</v>
          </cell>
          <cell r="D6294" t="str">
            <v>L0030201                       Cons StoreKP</v>
          </cell>
          <cell r="E6294" t="str">
            <v>E01 E01</v>
          </cell>
          <cell r="F6294" t="str">
            <v>VB Manual reorder point planning</v>
          </cell>
          <cell r="G6294" t="str">
            <v>HIBE Operating supplies</v>
          </cell>
          <cell r="H6294" t="str">
            <v>EN040     Prinitng &amp;Stationery</v>
          </cell>
          <cell r="I6294" t="str">
            <v>L003 Ankleshwar</v>
          </cell>
          <cell r="J6294" t="str">
            <v>99 Input/Byprodt/Scrap</v>
          </cell>
          <cell r="K6294" t="str">
            <v>10.2012</v>
          </cell>
          <cell r="L6294">
            <v>3</v>
          </cell>
          <cell r="M6294" t="str">
            <v>EA</v>
          </cell>
          <cell r="N6294">
            <v>290.56999999999903</v>
          </cell>
          <cell r="O6294" t="str">
            <v>INR</v>
          </cell>
        </row>
        <row r="6295">
          <cell r="A6295" t="str">
            <v>L003 Ankleshwar</v>
          </cell>
          <cell r="B6295">
            <v>726830</v>
          </cell>
          <cell r="C6295" t="str">
            <v>MECL2 DISTILLATION C-4501 7ACCA 1X100P</v>
          </cell>
          <cell r="D6295" t="str">
            <v>L0030151                       EnggStore</v>
          </cell>
          <cell r="E6295" t="str">
            <v>E01 E01</v>
          </cell>
          <cell r="F6295" t="str">
            <v>VB Manual reorder point planning</v>
          </cell>
          <cell r="G6295" t="str">
            <v>HIBE Operating supplies</v>
          </cell>
          <cell r="H6295" t="str">
            <v>EN040     Prinitng &amp;Stationery</v>
          </cell>
          <cell r="I6295" t="str">
            <v>L003 Ankleshwar</v>
          </cell>
          <cell r="J6295" t="str">
            <v>99 Input/Byprodt/Scrap</v>
          </cell>
          <cell r="K6295" t="str">
            <v>10.2012</v>
          </cell>
          <cell r="L6295">
            <v>2</v>
          </cell>
          <cell r="M6295" t="str">
            <v>EA</v>
          </cell>
          <cell r="N6295">
            <v>157.88</v>
          </cell>
          <cell r="O6295" t="str">
            <v>INR</v>
          </cell>
        </row>
        <row r="6296">
          <cell r="A6296" t="str">
            <v>L003 Ankleshwar</v>
          </cell>
          <cell r="B6296">
            <v>726830</v>
          </cell>
          <cell r="C6296" t="str">
            <v>MECL2 DISTILLATION C-4501 7ACCA 1X100P</v>
          </cell>
          <cell r="D6296" t="str">
            <v>L0030201                       Cons StoreKP</v>
          </cell>
          <cell r="E6296" t="str">
            <v>E01 E01</v>
          </cell>
          <cell r="F6296" t="str">
            <v>VB Manual reorder point planning</v>
          </cell>
          <cell r="G6296" t="str">
            <v>HIBE Operating supplies</v>
          </cell>
          <cell r="H6296" t="str">
            <v>EN040     Prinitng &amp;Stationery</v>
          </cell>
          <cell r="I6296" t="str">
            <v>L003 Ankleshwar</v>
          </cell>
          <cell r="J6296" t="str">
            <v>99 Input/Byprodt/Scrap</v>
          </cell>
          <cell r="K6296" t="str">
            <v>10.2012</v>
          </cell>
          <cell r="L6296">
            <v>4</v>
          </cell>
          <cell r="M6296" t="str">
            <v>EA</v>
          </cell>
          <cell r="N6296">
            <v>315.76999999999902</v>
          </cell>
          <cell r="O6296" t="str">
            <v>INR</v>
          </cell>
        </row>
        <row r="6297">
          <cell r="A6297" t="str">
            <v>L003 Ankleshwar</v>
          </cell>
          <cell r="B6297">
            <v>726851</v>
          </cell>
          <cell r="C6297" t="str">
            <v>C-4402 INPROGRES REC.MECL2+MEOH E1X100P</v>
          </cell>
          <cell r="D6297" t="str">
            <v>L0030151                       EnggStore</v>
          </cell>
          <cell r="E6297" t="str">
            <v>E01 E01</v>
          </cell>
          <cell r="F6297" t="str">
            <v>VB Manual reorder point planning</v>
          </cell>
          <cell r="G6297" t="str">
            <v>HIBE Operating supplies</v>
          </cell>
          <cell r="H6297" t="str">
            <v>EN040     Prinitng &amp;Stationery</v>
          </cell>
          <cell r="I6297" t="str">
            <v>L003 Ankleshwar</v>
          </cell>
          <cell r="J6297" t="str">
            <v>99 Input/Byprodt/Scrap</v>
          </cell>
          <cell r="K6297" t="str">
            <v>10.2012</v>
          </cell>
          <cell r="L6297">
            <v>1</v>
          </cell>
          <cell r="M6297" t="str">
            <v>EA</v>
          </cell>
          <cell r="N6297">
            <v>79.1099999999999</v>
          </cell>
          <cell r="O6297" t="str">
            <v>INR</v>
          </cell>
        </row>
        <row r="6298">
          <cell r="A6298" t="str">
            <v>L003 Ankleshwar</v>
          </cell>
          <cell r="B6298">
            <v>726851</v>
          </cell>
          <cell r="C6298" t="str">
            <v>C-4402 INPROGRES REC.MECL2+MEOH E1X100P</v>
          </cell>
          <cell r="D6298" t="str">
            <v>L0030201                       Cons StoreKP</v>
          </cell>
          <cell r="E6298" t="str">
            <v>E01 E01</v>
          </cell>
          <cell r="F6298" t="str">
            <v>VB Manual reorder point planning</v>
          </cell>
          <cell r="G6298" t="str">
            <v>HIBE Operating supplies</v>
          </cell>
          <cell r="H6298" t="str">
            <v>EN040     Prinitng &amp;Stationery</v>
          </cell>
          <cell r="I6298" t="str">
            <v>L003 Ankleshwar</v>
          </cell>
          <cell r="J6298" t="str">
            <v>99 Input/Byprodt/Scrap</v>
          </cell>
          <cell r="K6298" t="str">
            <v>10.2012</v>
          </cell>
          <cell r="L6298">
            <v>5</v>
          </cell>
          <cell r="M6298" t="str">
            <v>EA</v>
          </cell>
          <cell r="N6298">
            <v>395.56</v>
          </cell>
          <cell r="O6298" t="str">
            <v>INR</v>
          </cell>
        </row>
        <row r="6299">
          <cell r="A6299" t="str">
            <v>L003 Ankleshwar</v>
          </cell>
          <cell r="B6299">
            <v>726852</v>
          </cell>
          <cell r="C6299" t="str">
            <v>HOURLY READING:DMA,CRUDE &amp; STRIP 1X100P</v>
          </cell>
          <cell r="D6299" t="str">
            <v>L0030151                       EnggStore</v>
          </cell>
          <cell r="E6299" t="str">
            <v>E01 E01</v>
          </cell>
          <cell r="F6299" t="str">
            <v>VB Manual reorder point planning</v>
          </cell>
          <cell r="G6299" t="str">
            <v>HIBE Operating supplies</v>
          </cell>
          <cell r="H6299" t="str">
            <v>EN040     Prinitng &amp;Stationery</v>
          </cell>
          <cell r="I6299" t="str">
            <v>L003 Ankleshwar</v>
          </cell>
          <cell r="J6299" t="str">
            <v>99 Input/Byprodt/Scrap</v>
          </cell>
          <cell r="K6299" t="str">
            <v>10.2012</v>
          </cell>
          <cell r="L6299">
            <v>3</v>
          </cell>
          <cell r="M6299" t="str">
            <v>EA</v>
          </cell>
          <cell r="N6299">
            <v>210</v>
          </cell>
          <cell r="O6299" t="str">
            <v>INR</v>
          </cell>
        </row>
        <row r="6300">
          <cell r="A6300" t="str">
            <v>L003 Ankleshwar</v>
          </cell>
          <cell r="B6300">
            <v>726852</v>
          </cell>
          <cell r="C6300" t="str">
            <v>HOURLY READING:DMA,CRUDE &amp; STRIP 1X100P</v>
          </cell>
          <cell r="D6300" t="str">
            <v>L0030201                       Cons StoreKP</v>
          </cell>
          <cell r="E6300" t="str">
            <v>E01 E01</v>
          </cell>
          <cell r="F6300" t="str">
            <v>VB Manual reorder point planning</v>
          </cell>
          <cell r="G6300" t="str">
            <v>HIBE Operating supplies</v>
          </cell>
          <cell r="H6300" t="str">
            <v>EN040     Prinitng &amp;Stationery</v>
          </cell>
          <cell r="I6300" t="str">
            <v>L003 Ankleshwar</v>
          </cell>
          <cell r="J6300" t="str">
            <v>99 Input/Byprodt/Scrap</v>
          </cell>
          <cell r="K6300" t="str">
            <v>10.2012</v>
          </cell>
          <cell r="L6300">
            <v>9</v>
          </cell>
          <cell r="M6300" t="str">
            <v>EA</v>
          </cell>
          <cell r="N6300">
            <v>630</v>
          </cell>
          <cell r="O6300" t="str">
            <v>INR</v>
          </cell>
        </row>
        <row r="6301">
          <cell r="A6301" t="str">
            <v>L003 Ankleshwar</v>
          </cell>
          <cell r="B6301">
            <v>726891</v>
          </cell>
          <cell r="C6301" t="str">
            <v>EQUIPMENT LOG BOOK OF PGESO 1X35SET</v>
          </cell>
          <cell r="D6301" t="str">
            <v>L0030201                       Cons StoreKP</v>
          </cell>
          <cell r="E6301" t="str">
            <v>E01 E01</v>
          </cell>
          <cell r="F6301" t="str">
            <v>VB Manual reorder point planning</v>
          </cell>
          <cell r="G6301" t="str">
            <v>HIBE Operating supplies</v>
          </cell>
          <cell r="H6301" t="str">
            <v>EN040     Prinitng &amp;Stationery</v>
          </cell>
          <cell r="I6301" t="str">
            <v>L003 Ankleshwar</v>
          </cell>
          <cell r="J6301" t="str">
            <v>99 Input/Byprodt/Scrap</v>
          </cell>
          <cell r="K6301" t="str">
            <v>10.2012</v>
          </cell>
          <cell r="L6301">
            <v>4</v>
          </cell>
          <cell r="M6301" t="str">
            <v>EA</v>
          </cell>
          <cell r="N6301">
            <v>1700</v>
          </cell>
          <cell r="O6301" t="str">
            <v>INR</v>
          </cell>
        </row>
        <row r="6302">
          <cell r="A6302" t="str">
            <v>L003 Ankleshwar</v>
          </cell>
          <cell r="B6302">
            <v>726930</v>
          </cell>
          <cell r="C6302" t="str">
            <v>STICKER OF RAW MATERIAL OF 7ADCA PLANT</v>
          </cell>
          <cell r="D6302" t="str">
            <v>L0030151                       EnggStore</v>
          </cell>
          <cell r="E6302" t="str">
            <v>E01 E01</v>
          </cell>
          <cell r="F6302" t="str">
            <v>VB Manual reorder point planning</v>
          </cell>
          <cell r="G6302" t="str">
            <v>HIBE Operating supplies</v>
          </cell>
          <cell r="H6302" t="str">
            <v>EN040     Prinitng &amp;Stationery</v>
          </cell>
          <cell r="I6302" t="str">
            <v>L003 Ankleshwar</v>
          </cell>
          <cell r="J6302" t="str">
            <v>99 Input/Byprodt/Scrap</v>
          </cell>
          <cell r="K6302" t="str">
            <v>10.2012</v>
          </cell>
          <cell r="L6302">
            <v>6000</v>
          </cell>
          <cell r="M6302" t="str">
            <v>EA</v>
          </cell>
          <cell r="N6302">
            <v>6000</v>
          </cell>
          <cell r="O6302" t="str">
            <v>INR</v>
          </cell>
        </row>
        <row r="6303">
          <cell r="A6303" t="str">
            <v>L003 Ankleshwar</v>
          </cell>
          <cell r="B6303">
            <v>726965</v>
          </cell>
          <cell r="C6303" t="str">
            <v>TANK LEVEL DETAILS OF SRP 1X30 PAGE</v>
          </cell>
          <cell r="D6303" t="str">
            <v>L0030201                       Cons StoreKP</v>
          </cell>
          <cell r="E6303" t="str">
            <v>E01 E01</v>
          </cell>
          <cell r="F6303" t="str">
            <v>VB Manual reorder point planning</v>
          </cell>
          <cell r="G6303" t="str">
            <v>HIBE Operating supplies</v>
          </cell>
          <cell r="H6303" t="str">
            <v>EN040     Prinitng &amp;Stationery</v>
          </cell>
          <cell r="I6303" t="str">
            <v>L003 Ankleshwar</v>
          </cell>
          <cell r="J6303" t="str">
            <v>99 Input/Byprodt/Scrap</v>
          </cell>
          <cell r="K6303" t="str">
            <v>10.2012</v>
          </cell>
          <cell r="L6303">
            <v>10</v>
          </cell>
          <cell r="M6303" t="str">
            <v>EA</v>
          </cell>
          <cell r="N6303">
            <v>682.5</v>
          </cell>
          <cell r="O6303" t="str">
            <v>INR</v>
          </cell>
        </row>
        <row r="6304">
          <cell r="A6304" t="str">
            <v>L003 Ankleshwar</v>
          </cell>
          <cell r="B6304">
            <v>726981</v>
          </cell>
          <cell r="C6304" t="str">
            <v>STICKER OF WET PGESO</v>
          </cell>
          <cell r="D6304" t="str">
            <v>L0030201                       Cons StoreKP</v>
          </cell>
          <cell r="E6304" t="str">
            <v>E01 E01</v>
          </cell>
          <cell r="F6304" t="str">
            <v>VB Manual reorder point planning</v>
          </cell>
          <cell r="G6304" t="str">
            <v>HIBE Operating supplies</v>
          </cell>
          <cell r="H6304" t="str">
            <v>EN040     Prinitng &amp;Stationery</v>
          </cell>
          <cell r="I6304" t="str">
            <v>L003 Ankleshwar</v>
          </cell>
          <cell r="J6304" t="str">
            <v>99 Input/Byprodt/Scrap</v>
          </cell>
          <cell r="K6304" t="str">
            <v>10.2012</v>
          </cell>
          <cell r="L6304">
            <v>5000</v>
          </cell>
          <cell r="M6304" t="str">
            <v>EA</v>
          </cell>
          <cell r="N6304">
            <v>5000</v>
          </cell>
          <cell r="O6304" t="str">
            <v>INR</v>
          </cell>
        </row>
        <row r="6305">
          <cell r="A6305" t="str">
            <v>L003 Ankleshwar</v>
          </cell>
          <cell r="B6305">
            <v>726983</v>
          </cell>
          <cell r="C6305" t="str">
            <v>STICKER OF WET CHS</v>
          </cell>
          <cell r="D6305" t="str">
            <v>L0030201                       Cons StoreKP</v>
          </cell>
          <cell r="E6305" t="str">
            <v>E01 E01</v>
          </cell>
          <cell r="F6305" t="str">
            <v>VB Manual reorder point planning</v>
          </cell>
          <cell r="G6305" t="str">
            <v>HIBE Operating supplies</v>
          </cell>
          <cell r="H6305" t="str">
            <v>EN040     Prinitng &amp;Stationery</v>
          </cell>
          <cell r="I6305" t="str">
            <v>L003 Ankleshwar</v>
          </cell>
          <cell r="J6305" t="str">
            <v>99 Input/Byprodt/Scrap</v>
          </cell>
          <cell r="K6305" t="str">
            <v>10.2012</v>
          </cell>
          <cell r="L6305">
            <v>3000</v>
          </cell>
          <cell r="M6305" t="str">
            <v>EA</v>
          </cell>
          <cell r="N6305">
            <v>3000</v>
          </cell>
          <cell r="O6305" t="str">
            <v>INR</v>
          </cell>
        </row>
        <row r="6306">
          <cell r="A6306" t="str">
            <v>L003 Ankleshwar</v>
          </cell>
          <cell r="B6306">
            <v>726984</v>
          </cell>
          <cell r="C6306" t="str">
            <v>STICKER OF DRY AEX</v>
          </cell>
          <cell r="D6306" t="str">
            <v>L0030201                       Cons StoreKP</v>
          </cell>
          <cell r="E6306" t="str">
            <v>E01 E01</v>
          </cell>
          <cell r="F6306" t="str">
            <v>VB Manual reorder point planning</v>
          </cell>
          <cell r="G6306" t="str">
            <v>HIBE Operating supplies</v>
          </cell>
          <cell r="H6306" t="str">
            <v>EN040     Prinitng &amp;Stationery</v>
          </cell>
          <cell r="I6306" t="str">
            <v>L003 Ankleshwar</v>
          </cell>
          <cell r="J6306" t="str">
            <v>99 Input/Byprodt/Scrap</v>
          </cell>
          <cell r="K6306" t="str">
            <v>10.2012</v>
          </cell>
          <cell r="L6306">
            <v>9000</v>
          </cell>
          <cell r="M6306" t="str">
            <v>EA</v>
          </cell>
          <cell r="N6306">
            <v>9000</v>
          </cell>
          <cell r="O6306" t="str">
            <v>INR</v>
          </cell>
        </row>
        <row r="6307">
          <cell r="A6307" t="str">
            <v>L003 Ankleshwar</v>
          </cell>
          <cell r="B6307">
            <v>726986</v>
          </cell>
          <cell r="C6307" t="str">
            <v>EQUIPMENT LOG BOOK OF AEX PLANT</v>
          </cell>
          <cell r="D6307" t="str">
            <v>L0030201                       Cons StoreKP</v>
          </cell>
          <cell r="E6307" t="str">
            <v>E01 E01</v>
          </cell>
          <cell r="F6307" t="str">
            <v>VB Manual reorder point planning</v>
          </cell>
          <cell r="G6307" t="str">
            <v>HIBE Operating supplies</v>
          </cell>
          <cell r="H6307" t="str">
            <v>EN040     Prinitng &amp;Stationery</v>
          </cell>
          <cell r="I6307" t="str">
            <v>L003 Ankleshwar</v>
          </cell>
          <cell r="J6307" t="str">
            <v>99 Input/Byprodt/Scrap</v>
          </cell>
          <cell r="K6307" t="str">
            <v>10.2012</v>
          </cell>
          <cell r="L6307">
            <v>3</v>
          </cell>
          <cell r="M6307" t="str">
            <v>EA</v>
          </cell>
          <cell r="N6307">
            <v>1350</v>
          </cell>
          <cell r="O6307" t="str">
            <v>INR</v>
          </cell>
        </row>
        <row r="6308">
          <cell r="A6308" t="str">
            <v>L003 Ankleshwar</v>
          </cell>
          <cell r="B6308">
            <v>727007</v>
          </cell>
          <cell r="C6308" t="str">
            <v>PLANT LOG BOOK OF CEFADOXYL 1X35SET</v>
          </cell>
          <cell r="D6308" t="str">
            <v>L0030201                       Cons StoreKP</v>
          </cell>
          <cell r="E6308" t="str">
            <v>E01 E01</v>
          </cell>
          <cell r="F6308" t="str">
            <v>VB Manual reorder point planning</v>
          </cell>
          <cell r="G6308" t="str">
            <v>HIBE Operating supplies</v>
          </cell>
          <cell r="H6308" t="str">
            <v>EN040     Prinitng &amp;Stationery</v>
          </cell>
          <cell r="I6308" t="str">
            <v>L003 Ankleshwar</v>
          </cell>
          <cell r="J6308" t="str">
            <v>99 Input/Byprodt/Scrap</v>
          </cell>
          <cell r="K6308" t="str">
            <v>10.2012</v>
          </cell>
          <cell r="L6308">
            <v>2</v>
          </cell>
          <cell r="M6308" t="str">
            <v>EA</v>
          </cell>
          <cell r="N6308">
            <v>900</v>
          </cell>
          <cell r="O6308" t="str">
            <v>INR</v>
          </cell>
        </row>
        <row r="6309">
          <cell r="A6309" t="str">
            <v>L003 Ankleshwar</v>
          </cell>
          <cell r="B6309">
            <v>727053</v>
          </cell>
          <cell r="C6309" t="str">
            <v>MATERIAL RETURN SLIP 1+1X50PAGE</v>
          </cell>
          <cell r="D6309" t="str">
            <v>L0030151                       EnggStore</v>
          </cell>
          <cell r="E6309" t="str">
            <v>E01 E01</v>
          </cell>
          <cell r="F6309" t="str">
            <v>VB Manual reorder point planning</v>
          </cell>
          <cell r="G6309" t="str">
            <v>HIBE Operating supplies</v>
          </cell>
          <cell r="H6309" t="str">
            <v>EN040     Prinitng &amp;Stationery</v>
          </cell>
          <cell r="I6309" t="str">
            <v>L003 Ankleshwar</v>
          </cell>
          <cell r="J6309" t="str">
            <v>99 Input/Byprodt/Scrap</v>
          </cell>
          <cell r="K6309" t="str">
            <v>10.2012</v>
          </cell>
          <cell r="L6309">
            <v>20</v>
          </cell>
          <cell r="M6309" t="str">
            <v>EA</v>
          </cell>
          <cell r="N6309">
            <v>819</v>
          </cell>
          <cell r="O6309" t="str">
            <v>INR</v>
          </cell>
        </row>
        <row r="6310">
          <cell r="A6310" t="str">
            <v>L003 Ankleshwar</v>
          </cell>
          <cell r="B6310">
            <v>727054</v>
          </cell>
          <cell r="C6310" t="str">
            <v>MATERIAL ISSUANCE SLIP 1+1X50PAGE</v>
          </cell>
          <cell r="D6310" t="str">
            <v>L0030201                       Cons StoreKP</v>
          </cell>
          <cell r="E6310" t="str">
            <v>E01 E01</v>
          </cell>
          <cell r="F6310" t="str">
            <v>VB Manual reorder point planning</v>
          </cell>
          <cell r="G6310" t="str">
            <v>HIBE Operating supplies</v>
          </cell>
          <cell r="H6310" t="str">
            <v>EN040     Prinitng &amp;Stationery</v>
          </cell>
          <cell r="I6310" t="str">
            <v>L003 Ankleshwar</v>
          </cell>
          <cell r="J6310" t="str">
            <v>99 Input/Byprodt/Scrap</v>
          </cell>
          <cell r="K6310" t="str">
            <v>10.2012</v>
          </cell>
          <cell r="L6310">
            <v>9</v>
          </cell>
          <cell r="M6310" t="str">
            <v>EA</v>
          </cell>
          <cell r="N6310">
            <v>529.20000000000005</v>
          </cell>
          <cell r="O6310" t="str">
            <v>INR</v>
          </cell>
        </row>
        <row r="6311">
          <cell r="A6311" t="str">
            <v>L003 Ankleshwar</v>
          </cell>
          <cell r="B6311">
            <v>727071</v>
          </cell>
          <cell r="C6311" t="str">
            <v>STICKER OF METHANE SULPHONIC ACID CEFA</v>
          </cell>
          <cell r="D6311" t="str">
            <v>L0030151                       EnggStore</v>
          </cell>
          <cell r="E6311" t="str">
            <v>E01 E01</v>
          </cell>
          <cell r="F6311" t="str">
            <v>VB Manual reorder point planning</v>
          </cell>
          <cell r="G6311" t="str">
            <v>HIBE Operating supplies</v>
          </cell>
          <cell r="H6311" t="str">
            <v>EN040     Prinitng &amp;Stationery</v>
          </cell>
          <cell r="I6311" t="str">
            <v>L003 Ankleshwar</v>
          </cell>
          <cell r="J6311" t="str">
            <v>99 Input/Byprodt/Scrap</v>
          </cell>
          <cell r="K6311" t="str">
            <v>10.2012</v>
          </cell>
          <cell r="L6311">
            <v>3000</v>
          </cell>
          <cell r="M6311" t="str">
            <v>EA</v>
          </cell>
          <cell r="N6311">
            <v>3000</v>
          </cell>
          <cell r="O6311" t="str">
            <v>INR</v>
          </cell>
        </row>
        <row r="6312">
          <cell r="A6312" t="str">
            <v>L003 Ankleshwar</v>
          </cell>
          <cell r="B6312">
            <v>727072</v>
          </cell>
          <cell r="C6312" t="str">
            <v>STICKER OF 7ADCA LOT FOR CEFA PLANT</v>
          </cell>
          <cell r="D6312" t="str">
            <v>L0030151                       EnggStore</v>
          </cell>
          <cell r="E6312" t="str">
            <v>E01 E01</v>
          </cell>
          <cell r="F6312" t="str">
            <v>VB Manual reorder point planning</v>
          </cell>
          <cell r="G6312" t="str">
            <v>HIBE Operating supplies</v>
          </cell>
          <cell r="H6312" t="str">
            <v>EN040     Prinitng &amp;Stationery</v>
          </cell>
          <cell r="I6312" t="str">
            <v>L003 Ankleshwar</v>
          </cell>
          <cell r="J6312" t="str">
            <v>99 Input/Byprodt/Scrap</v>
          </cell>
          <cell r="K6312" t="str">
            <v>10.2012</v>
          </cell>
          <cell r="L6312">
            <v>1000</v>
          </cell>
          <cell r="M6312" t="str">
            <v>EA</v>
          </cell>
          <cell r="N6312">
            <v>1000</v>
          </cell>
          <cell r="O6312" t="str">
            <v>INR</v>
          </cell>
        </row>
        <row r="6313">
          <cell r="A6313" t="str">
            <v>L003 Ankleshwar</v>
          </cell>
          <cell r="B6313">
            <v>727073</v>
          </cell>
          <cell r="C6313" t="str">
            <v>STICKER OF SODIUM SULPHITE CEFA PLANT</v>
          </cell>
          <cell r="D6313" t="str">
            <v>L0030151                       EnggStore</v>
          </cell>
          <cell r="E6313" t="str">
            <v>E01 E01</v>
          </cell>
          <cell r="F6313" t="str">
            <v>VB Manual reorder point planning</v>
          </cell>
          <cell r="G6313" t="str">
            <v>HIBE Operating supplies</v>
          </cell>
          <cell r="H6313" t="str">
            <v>EN040     Prinitng &amp;Stationery</v>
          </cell>
          <cell r="I6313" t="str">
            <v>L003 Ankleshwar</v>
          </cell>
          <cell r="J6313" t="str">
            <v>99 Input/Byprodt/Scrap</v>
          </cell>
          <cell r="K6313" t="str">
            <v>10.2012</v>
          </cell>
          <cell r="L6313">
            <v>3000</v>
          </cell>
          <cell r="M6313" t="str">
            <v>EA</v>
          </cell>
          <cell r="N6313">
            <v>3000</v>
          </cell>
          <cell r="O6313" t="str">
            <v>INR</v>
          </cell>
        </row>
        <row r="6314">
          <cell r="A6314" t="str">
            <v>L003 Ankleshwar</v>
          </cell>
          <cell r="B6314">
            <v>727074</v>
          </cell>
          <cell r="C6314" t="str">
            <v>STICKER OF EDTA DISODIUM CEFA PLANT</v>
          </cell>
          <cell r="D6314" t="str">
            <v>L0030151                       EnggStore</v>
          </cell>
          <cell r="E6314" t="str">
            <v>E01 E01</v>
          </cell>
          <cell r="F6314" t="str">
            <v>VB Manual reorder point planning</v>
          </cell>
          <cell r="G6314" t="str">
            <v>HIBE Operating supplies</v>
          </cell>
          <cell r="H6314" t="str">
            <v>EN040     Prinitng &amp;Stationery</v>
          </cell>
          <cell r="I6314" t="str">
            <v>L003 Ankleshwar</v>
          </cell>
          <cell r="J6314" t="str">
            <v>99 Input/Byprodt/Scrap</v>
          </cell>
          <cell r="K6314" t="str">
            <v>10.2012</v>
          </cell>
          <cell r="L6314">
            <v>3000</v>
          </cell>
          <cell r="M6314" t="str">
            <v>EA</v>
          </cell>
          <cell r="N6314">
            <v>3000</v>
          </cell>
          <cell r="O6314" t="str">
            <v>INR</v>
          </cell>
        </row>
        <row r="6315">
          <cell r="A6315" t="str">
            <v>L003 Ankleshwar</v>
          </cell>
          <cell r="B6315">
            <v>727075</v>
          </cell>
          <cell r="C6315" t="str">
            <v>STICKER OFHYFLO SUPERCELCELITECEFA PLANT</v>
          </cell>
          <cell r="D6315" t="str">
            <v>L0030151                       EnggStore</v>
          </cell>
          <cell r="E6315" t="str">
            <v>E01 E01</v>
          </cell>
          <cell r="F6315" t="str">
            <v>VB Manual reorder point planning</v>
          </cell>
          <cell r="G6315" t="str">
            <v>HIBE Operating supplies</v>
          </cell>
          <cell r="H6315" t="str">
            <v>EN040     Prinitng &amp;Stationery</v>
          </cell>
          <cell r="I6315" t="str">
            <v>L003 Ankleshwar</v>
          </cell>
          <cell r="J6315" t="str">
            <v>99 Input/Byprodt/Scrap</v>
          </cell>
          <cell r="K6315" t="str">
            <v>10.2012</v>
          </cell>
          <cell r="L6315">
            <v>3000</v>
          </cell>
          <cell r="M6315" t="str">
            <v>EA</v>
          </cell>
          <cell r="N6315">
            <v>3000</v>
          </cell>
          <cell r="O6315" t="str">
            <v>INR</v>
          </cell>
        </row>
        <row r="6316">
          <cell r="A6316" t="str">
            <v>L003 Ankleshwar</v>
          </cell>
          <cell r="B6316">
            <v>727076</v>
          </cell>
          <cell r="C6316" t="str">
            <v>STICKER OF N-METHYL MORPHOLINECEFA PLANT</v>
          </cell>
          <cell r="D6316" t="str">
            <v>L0030151                       EnggStore</v>
          </cell>
          <cell r="E6316" t="str">
            <v>E01 E01</v>
          </cell>
          <cell r="F6316" t="str">
            <v>VB Manual reorder point planning</v>
          </cell>
          <cell r="G6316" t="str">
            <v>HIBE Operating supplies</v>
          </cell>
          <cell r="H6316" t="str">
            <v>EN040     Prinitng &amp;Stationery</v>
          </cell>
          <cell r="I6316" t="str">
            <v>L003 Ankleshwar</v>
          </cell>
          <cell r="J6316" t="str">
            <v>99 Input/Byprodt/Scrap</v>
          </cell>
          <cell r="K6316" t="str">
            <v>10.2012</v>
          </cell>
          <cell r="L6316">
            <v>3000</v>
          </cell>
          <cell r="M6316" t="str">
            <v>EA</v>
          </cell>
          <cell r="N6316">
            <v>3000</v>
          </cell>
          <cell r="O6316" t="str">
            <v>INR</v>
          </cell>
        </row>
        <row r="6317">
          <cell r="A6317" t="str">
            <v>L003 Ankleshwar</v>
          </cell>
          <cell r="B6317">
            <v>727078</v>
          </cell>
          <cell r="C6317" t="str">
            <v>STICKER OF HEXA METHYL DISILAZANE CEFA</v>
          </cell>
          <cell r="D6317" t="str">
            <v>L0030151                       EnggStore</v>
          </cell>
          <cell r="E6317" t="str">
            <v>E01 E01</v>
          </cell>
          <cell r="F6317" t="str">
            <v>VB Manual reorder point planning</v>
          </cell>
          <cell r="G6317" t="str">
            <v>HIBE Operating supplies</v>
          </cell>
          <cell r="H6317" t="str">
            <v>EN040     Prinitng &amp;Stationery</v>
          </cell>
          <cell r="I6317" t="str">
            <v>L003 Ankleshwar</v>
          </cell>
          <cell r="J6317" t="str">
            <v>99 Input/Byprodt/Scrap</v>
          </cell>
          <cell r="K6317" t="str">
            <v>10.2012</v>
          </cell>
          <cell r="L6317">
            <v>5000</v>
          </cell>
          <cell r="M6317" t="str">
            <v>EA</v>
          </cell>
          <cell r="N6317">
            <v>5000</v>
          </cell>
          <cell r="O6317" t="str">
            <v>INR</v>
          </cell>
        </row>
        <row r="6318">
          <cell r="A6318" t="str">
            <v>L003 Ankleshwar</v>
          </cell>
          <cell r="B6318">
            <v>727079</v>
          </cell>
          <cell r="C6318" t="str">
            <v>STICKER OF TRI METHYL CHLORO SILANE CEFA</v>
          </cell>
          <cell r="D6318" t="str">
            <v>L0030151                       EnggStore</v>
          </cell>
          <cell r="E6318" t="str">
            <v>E01 E01</v>
          </cell>
          <cell r="F6318" t="str">
            <v>VB Manual reorder point planning</v>
          </cell>
          <cell r="G6318" t="str">
            <v>HIBE Operating supplies</v>
          </cell>
          <cell r="H6318" t="str">
            <v>EN040     Prinitng &amp;Stationery</v>
          </cell>
          <cell r="I6318" t="str">
            <v>L003 Ankleshwar</v>
          </cell>
          <cell r="J6318" t="str">
            <v>99 Input/Byprodt/Scrap</v>
          </cell>
          <cell r="K6318" t="str">
            <v>10.2012</v>
          </cell>
          <cell r="L6318">
            <v>5000</v>
          </cell>
          <cell r="M6318" t="str">
            <v>EA</v>
          </cell>
          <cell r="N6318">
            <v>5000</v>
          </cell>
          <cell r="O6318" t="str">
            <v>INR</v>
          </cell>
        </row>
        <row r="6319">
          <cell r="A6319" t="str">
            <v>L003 Ankleshwar</v>
          </cell>
          <cell r="B6319">
            <v>727080</v>
          </cell>
          <cell r="C6319" t="str">
            <v>STICKER OF BI SILYL ACETAMIDE CEFA PLANT</v>
          </cell>
          <cell r="D6319" t="str">
            <v>L0030151                       EnggStore</v>
          </cell>
          <cell r="E6319" t="str">
            <v>E01 E01</v>
          </cell>
          <cell r="F6319" t="str">
            <v>VB Manual reorder point planning</v>
          </cell>
          <cell r="G6319" t="str">
            <v>HIBE Operating supplies</v>
          </cell>
          <cell r="H6319" t="str">
            <v>EN040     Prinitng &amp;Stationery</v>
          </cell>
          <cell r="I6319" t="str">
            <v>L003 Ankleshwar</v>
          </cell>
          <cell r="J6319" t="str">
            <v>99 Input/Byprodt/Scrap</v>
          </cell>
          <cell r="K6319" t="str">
            <v>10.2012</v>
          </cell>
          <cell r="L6319">
            <v>4000</v>
          </cell>
          <cell r="M6319" t="str">
            <v>EA</v>
          </cell>
          <cell r="N6319">
            <v>4000</v>
          </cell>
          <cell r="O6319" t="str">
            <v>INR</v>
          </cell>
        </row>
        <row r="6320">
          <cell r="A6320" t="str">
            <v>L003 Ankleshwar</v>
          </cell>
          <cell r="B6320">
            <v>727081</v>
          </cell>
          <cell r="C6320" t="str">
            <v>STICKER OF DRY DMF SOLVATE CEFA PLANT</v>
          </cell>
          <cell r="D6320" t="str">
            <v>L0030201                       Cons StoreKP</v>
          </cell>
          <cell r="E6320" t="str">
            <v>E01 E01</v>
          </cell>
          <cell r="F6320" t="str">
            <v>VB Manual reorder point planning</v>
          </cell>
          <cell r="G6320" t="str">
            <v>HIBE Operating supplies</v>
          </cell>
          <cell r="H6320" t="str">
            <v>EN040     Prinitng &amp;Stationery</v>
          </cell>
          <cell r="I6320" t="str">
            <v>L003 Ankleshwar</v>
          </cell>
          <cell r="J6320" t="str">
            <v>99 Input/Byprodt/Scrap</v>
          </cell>
          <cell r="K6320" t="str">
            <v>10.2012</v>
          </cell>
          <cell r="L6320">
            <v>1800</v>
          </cell>
          <cell r="M6320" t="str">
            <v>EA</v>
          </cell>
          <cell r="N6320">
            <v>1800</v>
          </cell>
          <cell r="O6320" t="str">
            <v>INR</v>
          </cell>
        </row>
        <row r="6321">
          <cell r="A6321" t="str">
            <v>L003 Ankleshwar</v>
          </cell>
          <cell r="B6321">
            <v>727082</v>
          </cell>
          <cell r="C6321" t="str">
            <v>STICKER OF WET DMF SOLVATE CEFA PLANT</v>
          </cell>
          <cell r="D6321" t="str">
            <v>L0030151                       EnggStore</v>
          </cell>
          <cell r="E6321" t="str">
            <v>E01 E01</v>
          </cell>
          <cell r="F6321" t="str">
            <v>VB Manual reorder point planning</v>
          </cell>
          <cell r="G6321" t="str">
            <v>HIBE Operating supplies</v>
          </cell>
          <cell r="H6321" t="str">
            <v>EN040     Prinitng &amp;Stationery</v>
          </cell>
          <cell r="I6321" t="str">
            <v>L003 Ankleshwar</v>
          </cell>
          <cell r="J6321" t="str">
            <v>99 Input/Byprodt/Scrap</v>
          </cell>
          <cell r="K6321" t="str">
            <v>10.2012</v>
          </cell>
          <cell r="L6321">
            <v>2900</v>
          </cell>
          <cell r="M6321" t="str">
            <v>EA</v>
          </cell>
          <cell r="N6321">
            <v>2900</v>
          </cell>
          <cell r="O6321" t="str">
            <v>INR</v>
          </cell>
        </row>
        <row r="6322">
          <cell r="A6322" t="str">
            <v>L003 Ankleshwar</v>
          </cell>
          <cell r="B6322">
            <v>727153</v>
          </cell>
          <cell r="C6322" t="str">
            <v>EQUIPMENT LOG BOOK 7APCA 7STAR  1X35S</v>
          </cell>
          <cell r="D6322" t="str">
            <v>L0030151                       EnggStore</v>
          </cell>
          <cell r="E6322" t="str">
            <v>E01 E01</v>
          </cell>
          <cell r="F6322" t="str">
            <v>VB Manual reorder point planning</v>
          </cell>
          <cell r="G6322" t="str">
            <v>HIBE Operating supplies</v>
          </cell>
          <cell r="H6322" t="str">
            <v>EN040     Prinitng &amp;Stationery</v>
          </cell>
          <cell r="I6322" t="str">
            <v>L003 Ankleshwar</v>
          </cell>
          <cell r="J6322" t="str">
            <v>99 Input/Byprodt/Scrap</v>
          </cell>
          <cell r="K6322" t="str">
            <v>10.2012</v>
          </cell>
          <cell r="L6322">
            <v>4</v>
          </cell>
          <cell r="M6322" t="str">
            <v>EA</v>
          </cell>
          <cell r="N6322">
            <v>1275</v>
          </cell>
          <cell r="O6322" t="str">
            <v>INR</v>
          </cell>
        </row>
        <row r="6323">
          <cell r="A6323" t="str">
            <v>L003 Ankleshwar</v>
          </cell>
          <cell r="B6323">
            <v>727154</v>
          </cell>
          <cell r="C6323" t="str">
            <v>EQUIPMENT LOG BOOK  SRP 7STAR  1X35S</v>
          </cell>
          <cell r="D6323" t="str">
            <v>L0030201                       Cons StoreKP</v>
          </cell>
          <cell r="E6323" t="str">
            <v>E01 E01</v>
          </cell>
          <cell r="F6323" t="str">
            <v>VB Manual reorder point planning</v>
          </cell>
          <cell r="G6323" t="str">
            <v>HIBE Operating supplies</v>
          </cell>
          <cell r="H6323" t="str">
            <v>EN040     Prinitng &amp;Stationery</v>
          </cell>
          <cell r="I6323" t="str">
            <v>L003 Ankleshwar</v>
          </cell>
          <cell r="J6323" t="str">
            <v>99 Input/Byprodt/Scrap</v>
          </cell>
          <cell r="K6323" t="str">
            <v>10.2012</v>
          </cell>
          <cell r="L6323">
            <v>6</v>
          </cell>
          <cell r="M6323" t="str">
            <v>EA</v>
          </cell>
          <cell r="N6323">
            <v>3300</v>
          </cell>
          <cell r="O6323" t="str">
            <v>INR</v>
          </cell>
        </row>
        <row r="6324">
          <cell r="A6324" t="str">
            <v>L003 Ankleshwar</v>
          </cell>
          <cell r="B6324">
            <v>727155</v>
          </cell>
          <cell r="C6324" t="str">
            <v>HOURLY READING OF TANKFARM 2X33PAGE</v>
          </cell>
          <cell r="D6324" t="str">
            <v>L0030201                       Cons StoreKP</v>
          </cell>
          <cell r="E6324" t="str">
            <v>E01 E01</v>
          </cell>
          <cell r="F6324" t="str">
            <v>VB Manual reorder point planning</v>
          </cell>
          <cell r="G6324" t="str">
            <v>HIBE Operating supplies</v>
          </cell>
          <cell r="H6324" t="str">
            <v>EN040     Prinitng &amp;Stationery</v>
          </cell>
          <cell r="I6324" t="str">
            <v>L003 Ankleshwar</v>
          </cell>
          <cell r="J6324" t="str">
            <v>99 Input/Byprodt/Scrap</v>
          </cell>
          <cell r="K6324" t="str">
            <v>10.2012</v>
          </cell>
          <cell r="L6324">
            <v>5</v>
          </cell>
          <cell r="M6324" t="str">
            <v>EA</v>
          </cell>
          <cell r="N6324">
            <v>2750</v>
          </cell>
          <cell r="O6324" t="str">
            <v>INR</v>
          </cell>
        </row>
        <row r="6325">
          <cell r="A6325" t="str">
            <v>L003 Ankleshwar</v>
          </cell>
          <cell r="B6325">
            <v>727188</v>
          </cell>
          <cell r="C6325" t="str">
            <v>RO PLANT 7ADCA BATCH SHEET,NF UNIT 1X100</v>
          </cell>
          <cell r="D6325" t="str">
            <v>L0030201                       Cons StoreKP</v>
          </cell>
          <cell r="E6325" t="str">
            <v>E01 E01</v>
          </cell>
          <cell r="F6325" t="str">
            <v>VB Manual reorder point planning</v>
          </cell>
          <cell r="G6325" t="str">
            <v>HIBE Operating supplies</v>
          </cell>
          <cell r="H6325" t="str">
            <v>EN040     Prinitng &amp;Stationery</v>
          </cell>
          <cell r="I6325" t="str">
            <v>L003 Ankleshwar</v>
          </cell>
          <cell r="J6325" t="str">
            <v>99 Input/Byprodt/Scrap</v>
          </cell>
          <cell r="K6325" t="str">
            <v>10.2012</v>
          </cell>
          <cell r="L6325">
            <v>11</v>
          </cell>
          <cell r="M6325" t="str">
            <v>EA</v>
          </cell>
          <cell r="N6325">
            <v>1045</v>
          </cell>
          <cell r="O6325" t="str">
            <v>INR</v>
          </cell>
        </row>
        <row r="6326">
          <cell r="A6326" t="str">
            <v>L003 Ankleshwar</v>
          </cell>
          <cell r="B6326">
            <v>727195</v>
          </cell>
          <cell r="C6326" t="str">
            <v>MS DRUM SEAL 3/4" WITH LOGO</v>
          </cell>
          <cell r="D6326" t="str">
            <v>L0030151                       EnggStore</v>
          </cell>
          <cell r="E6326" t="str">
            <v>E01 E01</v>
          </cell>
          <cell r="F6326" t="str">
            <v>VB Manual reorder point planning</v>
          </cell>
          <cell r="G6326" t="str">
            <v>HIBE Operating supplies</v>
          </cell>
          <cell r="H6326" t="str">
            <v>EN040     Prinitng &amp;Stationery</v>
          </cell>
          <cell r="I6326" t="str">
            <v>L003 Ankleshwar</v>
          </cell>
          <cell r="J6326" t="str">
            <v>99 Input/Byprodt/Scrap</v>
          </cell>
          <cell r="K6326" t="str">
            <v>10.2012</v>
          </cell>
          <cell r="L6326">
            <v>285</v>
          </cell>
          <cell r="M6326" t="str">
            <v>EA</v>
          </cell>
          <cell r="N6326">
            <v>285</v>
          </cell>
          <cell r="O6326" t="str">
            <v>INR</v>
          </cell>
        </row>
        <row r="6327">
          <cell r="A6327" t="str">
            <v>L003 Ankleshwar</v>
          </cell>
          <cell r="B6327">
            <v>727196</v>
          </cell>
          <cell r="C6327" t="str">
            <v>MS DRUM SEAL 2"</v>
          </cell>
          <cell r="D6327" t="str">
            <v>L0030151                       EnggStore</v>
          </cell>
          <cell r="E6327" t="str">
            <v>E01 E01</v>
          </cell>
          <cell r="F6327" t="str">
            <v>VB Manual reorder point planning</v>
          </cell>
          <cell r="G6327" t="str">
            <v>HIBE Operating supplies</v>
          </cell>
          <cell r="H6327" t="str">
            <v>EN040     Prinitng &amp;Stationery</v>
          </cell>
          <cell r="I6327" t="str">
            <v>L003 Ankleshwar</v>
          </cell>
          <cell r="J6327" t="str">
            <v>99 Input/Byprodt/Scrap</v>
          </cell>
          <cell r="K6327" t="str">
            <v>10.2012</v>
          </cell>
          <cell r="L6327">
            <v>200</v>
          </cell>
          <cell r="M6327" t="str">
            <v>EA</v>
          </cell>
          <cell r="N6327">
            <v>703.24</v>
          </cell>
          <cell r="O6327" t="str">
            <v>INR</v>
          </cell>
        </row>
        <row r="6328">
          <cell r="A6328" t="str">
            <v>L003 Ankleshwar</v>
          </cell>
          <cell r="B6328">
            <v>727204</v>
          </cell>
          <cell r="C6328" t="str">
            <v>LOG BOOK OF NITROGEN COMPRESSOR PLOT:9</v>
          </cell>
          <cell r="D6328" t="str">
            <v>L0030151                       EnggStore</v>
          </cell>
          <cell r="E6328" t="str">
            <v>E01 E01</v>
          </cell>
          <cell r="F6328" t="str">
            <v>VB Manual reorder point planning</v>
          </cell>
          <cell r="G6328" t="str">
            <v>HIBE Operating supplies</v>
          </cell>
          <cell r="H6328" t="str">
            <v>EN040     Prinitng &amp;Stationery</v>
          </cell>
          <cell r="I6328" t="str">
            <v>L003 Ankleshwar</v>
          </cell>
          <cell r="J6328" t="str">
            <v>99 Input/Byprodt/Scrap</v>
          </cell>
          <cell r="K6328" t="str">
            <v>10.2012</v>
          </cell>
          <cell r="L6328">
            <v>3</v>
          </cell>
          <cell r="M6328" t="str">
            <v>EA</v>
          </cell>
          <cell r="N6328">
            <v>975</v>
          </cell>
          <cell r="O6328" t="str">
            <v>INR</v>
          </cell>
        </row>
        <row r="6329">
          <cell r="A6329" t="str">
            <v>L003 Ankleshwar</v>
          </cell>
          <cell r="B6329">
            <v>727205</v>
          </cell>
          <cell r="C6329" t="str">
            <v>LOG BOOK OFKC 63F BRINECOMP. PLOT:125</v>
          </cell>
          <cell r="D6329" t="str">
            <v>L0030151                       EnggStore</v>
          </cell>
          <cell r="E6329" t="str">
            <v>E01 E01</v>
          </cell>
          <cell r="F6329" t="str">
            <v>VB Manual reorder point planning</v>
          </cell>
          <cell r="G6329" t="str">
            <v>HIBE Operating supplies</v>
          </cell>
          <cell r="H6329" t="str">
            <v>EN040     Prinitng &amp;Stationery</v>
          </cell>
          <cell r="I6329" t="str">
            <v>L003 Ankleshwar</v>
          </cell>
          <cell r="J6329" t="str">
            <v>99 Input/Byprodt/Scrap</v>
          </cell>
          <cell r="K6329" t="str">
            <v>10.2012</v>
          </cell>
          <cell r="L6329">
            <v>1</v>
          </cell>
          <cell r="M6329" t="str">
            <v>EA</v>
          </cell>
          <cell r="N6329">
            <v>325</v>
          </cell>
          <cell r="O6329" t="str">
            <v>INR</v>
          </cell>
        </row>
        <row r="6330">
          <cell r="A6330" t="str">
            <v>L003 Ankleshwar</v>
          </cell>
          <cell r="B6330">
            <v>727205</v>
          </cell>
          <cell r="C6330" t="str">
            <v>LOG BOOK OFKC 63F BRINECOMP. PLOT:125</v>
          </cell>
          <cell r="D6330" t="str">
            <v>L0030201                       Cons StoreKP</v>
          </cell>
          <cell r="E6330" t="str">
            <v>E01 E01</v>
          </cell>
          <cell r="F6330" t="str">
            <v>VB Manual reorder point planning</v>
          </cell>
          <cell r="G6330" t="str">
            <v>HIBE Operating supplies</v>
          </cell>
          <cell r="H6330" t="str">
            <v>EN040     Prinitng &amp;Stationery</v>
          </cell>
          <cell r="I6330" t="str">
            <v>L003 Ankleshwar</v>
          </cell>
          <cell r="J6330" t="str">
            <v>99 Input/Byprodt/Scrap</v>
          </cell>
          <cell r="K6330" t="str">
            <v>10.2012</v>
          </cell>
          <cell r="L6330">
            <v>5</v>
          </cell>
          <cell r="M6330" t="str">
            <v>EA</v>
          </cell>
          <cell r="N6330">
            <v>1625</v>
          </cell>
          <cell r="O6330" t="str">
            <v>INR</v>
          </cell>
        </row>
        <row r="6331">
          <cell r="A6331" t="str">
            <v>L003 Ankleshwar</v>
          </cell>
          <cell r="B6331">
            <v>727206</v>
          </cell>
          <cell r="C6331" t="str">
            <v>STICKER OF CRUDE L2AB</v>
          </cell>
          <cell r="D6331" t="str">
            <v>L0030151                       EnggStore</v>
          </cell>
          <cell r="E6331" t="str">
            <v>E01 E01</v>
          </cell>
          <cell r="F6331" t="str">
            <v>VB Manual reorder point planning</v>
          </cell>
          <cell r="G6331" t="str">
            <v>HIBE Operating supplies</v>
          </cell>
          <cell r="H6331" t="str">
            <v>EN040     Prinitng &amp;Stationery</v>
          </cell>
          <cell r="I6331" t="str">
            <v>L003 Ankleshwar</v>
          </cell>
          <cell r="J6331" t="str">
            <v>99 Input/Byprodt/Scrap</v>
          </cell>
          <cell r="K6331" t="str">
            <v>10.2012</v>
          </cell>
          <cell r="L6331">
            <v>1350</v>
          </cell>
          <cell r="M6331" t="str">
            <v>EA</v>
          </cell>
          <cell r="N6331">
            <v>1350</v>
          </cell>
          <cell r="O6331" t="str">
            <v>INR</v>
          </cell>
        </row>
        <row r="6332">
          <cell r="A6332" t="str">
            <v>L003 Ankleshwar</v>
          </cell>
          <cell r="B6332">
            <v>727207</v>
          </cell>
          <cell r="C6332" t="str">
            <v>STICKER OF MESO FOR ETB PLANT</v>
          </cell>
          <cell r="D6332" t="str">
            <v>L0030151                       EnggStore</v>
          </cell>
          <cell r="E6332" t="str">
            <v>E01 E01</v>
          </cell>
          <cell r="F6332" t="str">
            <v>VB Manual reorder point planning</v>
          </cell>
          <cell r="G6332" t="str">
            <v>HIBE Operating supplies</v>
          </cell>
          <cell r="H6332" t="str">
            <v>EN040     Prinitng &amp;Stationery</v>
          </cell>
          <cell r="I6332" t="str">
            <v>L003 Ankleshwar</v>
          </cell>
          <cell r="J6332" t="str">
            <v>99 Input/Byprodt/Scrap</v>
          </cell>
          <cell r="K6332" t="str">
            <v>10.2012</v>
          </cell>
          <cell r="L6332">
            <v>2000</v>
          </cell>
          <cell r="M6332" t="str">
            <v>EA</v>
          </cell>
          <cell r="N6332">
            <v>2000</v>
          </cell>
          <cell r="O6332" t="str">
            <v>INR</v>
          </cell>
        </row>
        <row r="6333">
          <cell r="A6333" t="str">
            <v>L003 Ankleshwar</v>
          </cell>
          <cell r="B6333">
            <v>727208</v>
          </cell>
          <cell r="C6333" t="str">
            <v>STICKER OF DCE (LOT) FOR ETB PLANT</v>
          </cell>
          <cell r="D6333" t="str">
            <v>L0030151                       EnggStore</v>
          </cell>
          <cell r="E6333" t="str">
            <v>E01 E01</v>
          </cell>
          <cell r="F6333" t="str">
            <v>VB Manual reorder point planning</v>
          </cell>
          <cell r="G6333" t="str">
            <v>HIBE Operating supplies</v>
          </cell>
          <cell r="H6333" t="str">
            <v>EN040     Prinitng &amp;Stationery</v>
          </cell>
          <cell r="I6333" t="str">
            <v>L003 Ankleshwar</v>
          </cell>
          <cell r="J6333" t="str">
            <v>99 Input/Byprodt/Scrap</v>
          </cell>
          <cell r="K6333" t="str">
            <v>10.2012</v>
          </cell>
          <cell r="L6333">
            <v>3000</v>
          </cell>
          <cell r="M6333" t="str">
            <v>EA</v>
          </cell>
          <cell r="N6333">
            <v>3000</v>
          </cell>
          <cell r="O6333" t="str">
            <v>INR</v>
          </cell>
        </row>
        <row r="6334">
          <cell r="A6334" t="str">
            <v>L003 Ankleshwar</v>
          </cell>
          <cell r="B6334">
            <v>727209</v>
          </cell>
          <cell r="C6334" t="str">
            <v>REQUEST FOR RETURNABLE&amp; NON RETURNABLE</v>
          </cell>
          <cell r="D6334" t="str">
            <v>L0030151                       EnggStore</v>
          </cell>
          <cell r="E6334" t="str">
            <v>E01 E01</v>
          </cell>
          <cell r="F6334" t="str">
            <v>VB Manual reorder point planning</v>
          </cell>
          <cell r="G6334" t="str">
            <v>HIBE Operating supplies</v>
          </cell>
          <cell r="H6334" t="str">
            <v>EN040     Prinitng &amp;Stationery</v>
          </cell>
          <cell r="I6334" t="str">
            <v>L003 Ankleshwar</v>
          </cell>
          <cell r="J6334" t="str">
            <v>99 Input/Byprodt/Scrap</v>
          </cell>
          <cell r="K6334" t="str">
            <v>10.2012</v>
          </cell>
          <cell r="L6334">
            <v>39</v>
          </cell>
          <cell r="M6334" t="str">
            <v>EA</v>
          </cell>
          <cell r="N6334">
            <v>1366.89</v>
          </cell>
          <cell r="O6334" t="str">
            <v>INR</v>
          </cell>
        </row>
        <row r="6335">
          <cell r="A6335" t="str">
            <v>L003 Ankleshwar</v>
          </cell>
          <cell r="B6335">
            <v>727304</v>
          </cell>
          <cell r="C6335" t="str">
            <v>COOLING TOWER &amp; RAW WATER (PLOT NO:9)</v>
          </cell>
          <cell r="D6335" t="str">
            <v>L0030201                       Cons StoreKP</v>
          </cell>
          <cell r="E6335" t="str">
            <v>E01 E01</v>
          </cell>
          <cell r="F6335" t="str">
            <v>VB Manual reorder point planning</v>
          </cell>
          <cell r="G6335" t="str">
            <v>HIBE Operating supplies</v>
          </cell>
          <cell r="H6335" t="str">
            <v>EN040     Prinitng &amp;Stationery</v>
          </cell>
          <cell r="I6335" t="str">
            <v>L003 Ankleshwar</v>
          </cell>
          <cell r="J6335" t="str">
            <v>99 Input/Byprodt/Scrap</v>
          </cell>
          <cell r="K6335" t="str">
            <v>10.2012</v>
          </cell>
          <cell r="L6335">
            <v>2</v>
          </cell>
          <cell r="M6335" t="str">
            <v>EA</v>
          </cell>
          <cell r="N6335">
            <v>650</v>
          </cell>
          <cell r="O6335" t="str">
            <v>INR</v>
          </cell>
        </row>
        <row r="6336">
          <cell r="A6336" t="str">
            <v>L003 Ankleshwar</v>
          </cell>
          <cell r="B6336">
            <v>727322</v>
          </cell>
          <cell r="C6336" t="str">
            <v>FILTER CARTRIDGE 20"LONG 1MICRON PK-1</v>
          </cell>
          <cell r="D6336" t="str">
            <v>L0030151                       EnggStore</v>
          </cell>
          <cell r="E6336" t="str">
            <v>E01 E01</v>
          </cell>
          <cell r="F6336" t="str">
            <v>VB Manual reorder point planning</v>
          </cell>
          <cell r="G6336" t="str">
            <v>HIBE Operating supplies</v>
          </cell>
          <cell r="H6336" t="str">
            <v>EN027     Prod&amp;OtherConsumable</v>
          </cell>
          <cell r="I6336" t="str">
            <v>L003 Ankleshwar</v>
          </cell>
          <cell r="J6336" t="str">
            <v>99 Input/Byprodt/Scrap</v>
          </cell>
          <cell r="K6336" t="str">
            <v>10.2012</v>
          </cell>
          <cell r="L6336">
            <v>5</v>
          </cell>
          <cell r="M6336" t="str">
            <v>EA</v>
          </cell>
          <cell r="N6336">
            <v>3106.3699999999899</v>
          </cell>
          <cell r="O6336" t="str">
            <v>INR</v>
          </cell>
        </row>
        <row r="6337">
          <cell r="A6337" t="str">
            <v>L003 Ankleshwar</v>
          </cell>
          <cell r="B6337">
            <v>727334</v>
          </cell>
          <cell r="C6337" t="str">
            <v>LDPE BAG 18"X24"X250 GAUGE (10 kgs)</v>
          </cell>
          <cell r="D6337" t="str">
            <v>L0030151                       EnggStore</v>
          </cell>
          <cell r="E6337" t="str">
            <v>E01 E01</v>
          </cell>
          <cell r="F6337" t="str">
            <v>VB Manual reorder point planning</v>
          </cell>
          <cell r="G6337" t="str">
            <v>HIBE Operating supplies</v>
          </cell>
          <cell r="H6337" t="str">
            <v>EN027     Prod&amp;OtherConsumable</v>
          </cell>
          <cell r="I6337" t="str">
            <v>L003 Ankleshwar</v>
          </cell>
          <cell r="J6337" t="str">
            <v>99 Input/Byprodt/Scrap</v>
          </cell>
          <cell r="K6337" t="str">
            <v>10.2012</v>
          </cell>
          <cell r="L6337">
            <v>82.2</v>
          </cell>
          <cell r="M6337" t="str">
            <v>KGS</v>
          </cell>
          <cell r="N6337">
            <v>7860.1099999999897</v>
          </cell>
          <cell r="O6337" t="str">
            <v>INR</v>
          </cell>
        </row>
        <row r="6338">
          <cell r="A6338" t="str">
            <v>L003 Ankleshwar</v>
          </cell>
          <cell r="B6338">
            <v>727567</v>
          </cell>
          <cell r="C6338" t="str">
            <v>C18 BDS 250*4.6*5U</v>
          </cell>
          <cell r="D6338" t="str">
            <v>L0030301                       QCStores</v>
          </cell>
          <cell r="E6338">
            <v>0</v>
          </cell>
          <cell r="F6338" t="str">
            <v>ND No planning</v>
          </cell>
          <cell r="G6338" t="str">
            <v>HIBE Operating supplies</v>
          </cell>
          <cell r="H6338" t="str">
            <v>SPN03     PUN - Columns</v>
          </cell>
          <cell r="I6338" t="str">
            <v>L003 Ankleshwar</v>
          </cell>
          <cell r="J6338" t="str">
            <v>99 Input/Byprodt/Scrap</v>
          </cell>
          <cell r="K6338" t="str">
            <v>10.2012</v>
          </cell>
          <cell r="L6338">
            <v>2</v>
          </cell>
          <cell r="M6338" t="str">
            <v>EA</v>
          </cell>
          <cell r="N6338">
            <v>28581.48</v>
          </cell>
          <cell r="O6338" t="str">
            <v>INR</v>
          </cell>
        </row>
        <row r="6339">
          <cell r="A6339" t="str">
            <v>L003 Ankleshwar</v>
          </cell>
          <cell r="B6339">
            <v>727568</v>
          </cell>
          <cell r="C6339" t="str">
            <v>ODS 250.4.6*5U</v>
          </cell>
          <cell r="D6339" t="str">
            <v>L0030301                       QCStores</v>
          </cell>
          <cell r="E6339">
            <v>0</v>
          </cell>
          <cell r="F6339" t="str">
            <v>ND No planning</v>
          </cell>
          <cell r="G6339" t="str">
            <v>HIBE Operating supplies</v>
          </cell>
          <cell r="H6339" t="str">
            <v>SPN03     PUN - Columns</v>
          </cell>
          <cell r="I6339" t="str">
            <v>L003 Ankleshwar</v>
          </cell>
          <cell r="J6339" t="str">
            <v>99 Input/Byprodt/Scrap</v>
          </cell>
          <cell r="K6339" t="str">
            <v>10.2012</v>
          </cell>
          <cell r="L6339">
            <v>5</v>
          </cell>
          <cell r="M6339" t="str">
            <v>EA</v>
          </cell>
          <cell r="N6339">
            <v>50389.3</v>
          </cell>
          <cell r="O6339" t="str">
            <v>INR</v>
          </cell>
        </row>
        <row r="6340">
          <cell r="A6340" t="str">
            <v>L003 Ankleshwar</v>
          </cell>
          <cell r="B6340">
            <v>727578</v>
          </cell>
          <cell r="C6340" t="str">
            <v>ODS 125X4.6MM,5 U</v>
          </cell>
          <cell r="D6340" t="str">
            <v>L0030301                       QCStores</v>
          </cell>
          <cell r="E6340">
            <v>0</v>
          </cell>
          <cell r="F6340" t="str">
            <v>ND No planning</v>
          </cell>
          <cell r="G6340" t="str">
            <v>HIBE Operating supplies</v>
          </cell>
          <cell r="H6340" t="str">
            <v>SPN03     PUN - Columns</v>
          </cell>
          <cell r="I6340" t="str">
            <v>L003 Ankleshwar</v>
          </cell>
          <cell r="J6340" t="str">
            <v>99 Input/Byprodt/Scrap</v>
          </cell>
          <cell r="K6340" t="str">
            <v>10.2012</v>
          </cell>
          <cell r="L6340">
            <v>4</v>
          </cell>
          <cell r="M6340" t="str">
            <v>EA</v>
          </cell>
          <cell r="N6340">
            <v>44357.440000000002</v>
          </cell>
          <cell r="O6340" t="str">
            <v>INR</v>
          </cell>
        </row>
        <row r="6341">
          <cell r="A6341" t="str">
            <v>L003 Ankleshwar</v>
          </cell>
          <cell r="B6341">
            <v>727589</v>
          </cell>
          <cell r="C6341" t="str">
            <v>YMC Pack Silica, 300mm x 6.0mm x 5um</v>
          </cell>
          <cell r="D6341" t="str">
            <v>L0030301                       QCStores</v>
          </cell>
          <cell r="E6341">
            <v>0</v>
          </cell>
          <cell r="F6341" t="str">
            <v>ND No planning</v>
          </cell>
          <cell r="G6341" t="str">
            <v>HIBE Operating supplies</v>
          </cell>
          <cell r="H6341" t="str">
            <v>SPN03     PUN - Columns</v>
          </cell>
          <cell r="I6341" t="str">
            <v>L003 Ankleshwar</v>
          </cell>
          <cell r="J6341" t="str">
            <v>99 Input/Byprodt/Scrap</v>
          </cell>
          <cell r="K6341" t="str">
            <v>10.2012</v>
          </cell>
          <cell r="L6341">
            <v>1</v>
          </cell>
          <cell r="M6341" t="str">
            <v>EA</v>
          </cell>
          <cell r="N6341">
            <v>36605.739999999903</v>
          </cell>
          <cell r="O6341" t="str">
            <v>INR</v>
          </cell>
        </row>
        <row r="6342">
          <cell r="A6342" t="str">
            <v>L003 Ankleshwar</v>
          </cell>
          <cell r="B6342">
            <v>727590</v>
          </cell>
          <cell r="C6342" t="str">
            <v>C8-3 150*4.6*5U</v>
          </cell>
          <cell r="D6342" t="str">
            <v>L0030301                       QCStores</v>
          </cell>
          <cell r="E6342">
            <v>0</v>
          </cell>
          <cell r="F6342" t="str">
            <v>ND No planning</v>
          </cell>
          <cell r="G6342" t="str">
            <v>HIBE Operating supplies</v>
          </cell>
          <cell r="H6342" t="str">
            <v>SPN03     PUN - Columns</v>
          </cell>
          <cell r="I6342" t="str">
            <v>L003 Ankleshwar</v>
          </cell>
          <cell r="J6342" t="str">
            <v>99 Input/Byprodt/Scrap</v>
          </cell>
          <cell r="K6342" t="str">
            <v>10.2012</v>
          </cell>
          <cell r="L6342">
            <v>5</v>
          </cell>
          <cell r="M6342" t="str">
            <v>EA</v>
          </cell>
          <cell r="N6342">
            <v>98202.85</v>
          </cell>
          <cell r="O6342" t="str">
            <v>INR</v>
          </cell>
        </row>
        <row r="6343">
          <cell r="A6343" t="str">
            <v>L003 Ankleshwar</v>
          </cell>
          <cell r="B6343">
            <v>727591</v>
          </cell>
          <cell r="C6343" t="str">
            <v>ODS 3V 150*4.6*5U</v>
          </cell>
          <cell r="D6343" t="str">
            <v>L0030301                       QCStores</v>
          </cell>
          <cell r="E6343">
            <v>0</v>
          </cell>
          <cell r="F6343" t="str">
            <v>ND No planning</v>
          </cell>
          <cell r="G6343" t="str">
            <v>HIBE Operating supplies</v>
          </cell>
          <cell r="H6343" t="str">
            <v>SPN03     PUN - Columns</v>
          </cell>
          <cell r="I6343" t="str">
            <v>L003 Ankleshwar</v>
          </cell>
          <cell r="J6343" t="str">
            <v>99 Input/Byprodt/Scrap</v>
          </cell>
          <cell r="K6343" t="str">
            <v>10.2012</v>
          </cell>
          <cell r="L6343">
            <v>1</v>
          </cell>
          <cell r="M6343" t="str">
            <v>EA</v>
          </cell>
          <cell r="N6343">
            <v>23425.63</v>
          </cell>
          <cell r="O6343" t="str">
            <v>INR</v>
          </cell>
        </row>
        <row r="6344">
          <cell r="A6344" t="str">
            <v>L003 Ankleshwar</v>
          </cell>
          <cell r="B6344">
            <v>727594</v>
          </cell>
          <cell r="C6344" t="str">
            <v>PH-3 250*4.6*5U</v>
          </cell>
          <cell r="D6344" t="str">
            <v>L0030301                       QCStores</v>
          </cell>
          <cell r="E6344">
            <v>0</v>
          </cell>
          <cell r="F6344" t="str">
            <v>ND No planning</v>
          </cell>
          <cell r="G6344" t="str">
            <v>HIBE Operating supplies</v>
          </cell>
          <cell r="H6344" t="str">
            <v>SPN03     PUN - Columns</v>
          </cell>
          <cell r="I6344" t="str">
            <v>L003 Ankleshwar</v>
          </cell>
          <cell r="J6344" t="str">
            <v>99 Input/Byprodt/Scrap</v>
          </cell>
          <cell r="K6344" t="str">
            <v>10.2012</v>
          </cell>
          <cell r="L6344">
            <v>7</v>
          </cell>
          <cell r="M6344" t="str">
            <v>EA</v>
          </cell>
          <cell r="N6344">
            <v>148427.09</v>
          </cell>
          <cell r="O6344" t="str">
            <v>INR</v>
          </cell>
        </row>
        <row r="6345">
          <cell r="A6345" t="str">
            <v>L003 Ankleshwar</v>
          </cell>
          <cell r="B6345">
            <v>727598</v>
          </cell>
          <cell r="C6345" t="str">
            <v>C8-3 150 X 4.6MM,3µ</v>
          </cell>
          <cell r="D6345" t="str">
            <v>L0030301                       QCStores</v>
          </cell>
          <cell r="E6345">
            <v>0</v>
          </cell>
          <cell r="F6345" t="str">
            <v>ND No planning</v>
          </cell>
          <cell r="G6345" t="str">
            <v>HIBE Operating supplies</v>
          </cell>
          <cell r="H6345" t="str">
            <v>SPN03     PUN - Columns</v>
          </cell>
          <cell r="I6345" t="str">
            <v>L003 Ankleshwar</v>
          </cell>
          <cell r="J6345" t="str">
            <v>99 Input/Byprodt/Scrap</v>
          </cell>
          <cell r="K6345" t="str">
            <v>10.2012</v>
          </cell>
          <cell r="L6345">
            <v>6</v>
          </cell>
          <cell r="M6345" t="str">
            <v>EA</v>
          </cell>
          <cell r="N6345">
            <v>122171.88</v>
          </cell>
          <cell r="O6345" t="str">
            <v>INR</v>
          </cell>
        </row>
        <row r="6346">
          <cell r="A6346" t="str">
            <v>L003 Ankleshwar</v>
          </cell>
          <cell r="B6346">
            <v>727599</v>
          </cell>
          <cell r="C6346" t="str">
            <v>ODS 100X4.0MM,3 U</v>
          </cell>
          <cell r="D6346" t="str">
            <v>L0030301                       QCStores</v>
          </cell>
          <cell r="E6346">
            <v>0</v>
          </cell>
          <cell r="F6346" t="str">
            <v>ND No planning</v>
          </cell>
          <cell r="G6346" t="str">
            <v>HIBE Operating supplies</v>
          </cell>
          <cell r="H6346" t="str">
            <v>SPN03     PUN - Columns</v>
          </cell>
          <cell r="I6346" t="str">
            <v>L003 Ankleshwar</v>
          </cell>
          <cell r="J6346" t="str">
            <v>99 Input/Byprodt/Scrap</v>
          </cell>
          <cell r="K6346" t="str">
            <v>10.2012</v>
          </cell>
          <cell r="L6346">
            <v>5</v>
          </cell>
          <cell r="M6346" t="str">
            <v>EA</v>
          </cell>
          <cell r="N6346">
            <v>104977.11</v>
          </cell>
          <cell r="O6346" t="str">
            <v>INR</v>
          </cell>
        </row>
        <row r="6347">
          <cell r="A6347" t="str">
            <v>L003 Ankleshwar</v>
          </cell>
          <cell r="B6347">
            <v>727609</v>
          </cell>
          <cell r="C6347" t="str">
            <v>8421C8 100*4.6*5U</v>
          </cell>
          <cell r="D6347" t="str">
            <v>L0030301                       QCStores</v>
          </cell>
          <cell r="E6347">
            <v>0</v>
          </cell>
          <cell r="F6347" t="str">
            <v>ND No planning</v>
          </cell>
          <cell r="G6347" t="str">
            <v>HIBE Operating supplies</v>
          </cell>
          <cell r="H6347" t="str">
            <v>SPN03     PUN - Columns</v>
          </cell>
          <cell r="I6347" t="str">
            <v>L003 Ankleshwar</v>
          </cell>
          <cell r="J6347" t="str">
            <v>99 Input/Byprodt/Scrap</v>
          </cell>
          <cell r="K6347" t="str">
            <v>10.2012</v>
          </cell>
          <cell r="L6347">
            <v>2</v>
          </cell>
          <cell r="M6347" t="str">
            <v>EA</v>
          </cell>
          <cell r="N6347">
            <v>26165.040000000001</v>
          </cell>
          <cell r="O6347" t="str">
            <v>INR</v>
          </cell>
        </row>
        <row r="6348">
          <cell r="A6348" t="str">
            <v>L003 Ankleshwar</v>
          </cell>
          <cell r="B6348">
            <v>727613</v>
          </cell>
          <cell r="C6348" t="str">
            <v>KROMASIL 100-5 C8 250 X 4.0 MM, 5µM</v>
          </cell>
          <cell r="D6348" t="str">
            <v>L0030301                       QCStores</v>
          </cell>
          <cell r="E6348">
            <v>0</v>
          </cell>
          <cell r="F6348" t="str">
            <v>ND No planning</v>
          </cell>
          <cell r="G6348" t="str">
            <v>HIBE Operating supplies</v>
          </cell>
          <cell r="H6348" t="str">
            <v>SPN03     PUN - Columns</v>
          </cell>
          <cell r="I6348" t="str">
            <v>L003 Ankleshwar</v>
          </cell>
          <cell r="J6348" t="str">
            <v>99 Input/Byprodt/Scrap</v>
          </cell>
          <cell r="K6348" t="str">
            <v>10.2012</v>
          </cell>
          <cell r="L6348">
            <v>3</v>
          </cell>
          <cell r="M6348" t="str">
            <v>EA</v>
          </cell>
          <cell r="N6348">
            <v>60086.16</v>
          </cell>
          <cell r="O6348" t="str">
            <v>INR</v>
          </cell>
        </row>
        <row r="6349">
          <cell r="A6349" t="str">
            <v>L003 Ankleshwar</v>
          </cell>
          <cell r="B6349">
            <v>727615</v>
          </cell>
          <cell r="C6349" t="str">
            <v>KROMASIL 100-5C8 200 X 4.6 MM, 5µM</v>
          </cell>
          <cell r="D6349" t="str">
            <v>L0030301                       QCStores</v>
          </cell>
          <cell r="E6349">
            <v>0</v>
          </cell>
          <cell r="F6349" t="str">
            <v>ND No planning</v>
          </cell>
          <cell r="G6349" t="str">
            <v>HIBE Operating supplies</v>
          </cell>
          <cell r="H6349" t="str">
            <v>SPN03     PUN - Columns</v>
          </cell>
          <cell r="I6349" t="str">
            <v>L003 Ankleshwar</v>
          </cell>
          <cell r="J6349" t="str">
            <v>99 Input/Byprodt/Scrap</v>
          </cell>
          <cell r="K6349" t="str">
            <v>10.2012</v>
          </cell>
          <cell r="L6349">
            <v>3</v>
          </cell>
          <cell r="M6349" t="str">
            <v>EA</v>
          </cell>
          <cell r="N6349">
            <v>58641.839999999902</v>
          </cell>
          <cell r="O6349" t="str">
            <v>INR</v>
          </cell>
        </row>
        <row r="6350">
          <cell r="A6350" t="str">
            <v>L003 Ankleshwar</v>
          </cell>
          <cell r="B6350">
            <v>727617</v>
          </cell>
          <cell r="C6350" t="str">
            <v>KROMASIL 100 C8 100 X 4.6MM, 5UM</v>
          </cell>
          <cell r="D6350" t="str">
            <v>L0030301                       QCStores</v>
          </cell>
          <cell r="E6350">
            <v>0</v>
          </cell>
          <cell r="F6350" t="str">
            <v>ND No planning</v>
          </cell>
          <cell r="G6350" t="str">
            <v>HIBE Operating supplies</v>
          </cell>
          <cell r="H6350" t="str">
            <v>SPN03     PUN - Columns</v>
          </cell>
          <cell r="I6350" t="str">
            <v>L003 Ankleshwar</v>
          </cell>
          <cell r="J6350" t="str">
            <v>99 Input/Byprodt/Scrap</v>
          </cell>
          <cell r="K6350" t="str">
            <v>10.2012</v>
          </cell>
          <cell r="L6350">
            <v>3</v>
          </cell>
          <cell r="M6350" t="str">
            <v>EA</v>
          </cell>
          <cell r="N6350">
            <v>39584.160000000003</v>
          </cell>
          <cell r="O6350" t="str">
            <v>INR</v>
          </cell>
        </row>
        <row r="6351">
          <cell r="A6351" t="str">
            <v>L003 Ankleshwar</v>
          </cell>
          <cell r="B6351">
            <v>727623</v>
          </cell>
          <cell r="C6351" t="str">
            <v>OD-H 250*4.6*5U</v>
          </cell>
          <cell r="D6351" t="str">
            <v>L0030301                       QCStores</v>
          </cell>
          <cell r="E6351">
            <v>0</v>
          </cell>
          <cell r="F6351" t="str">
            <v>ND No planning</v>
          </cell>
          <cell r="G6351" t="str">
            <v>HIBE Operating supplies</v>
          </cell>
          <cell r="H6351" t="str">
            <v>SPN03     PUN - Columns</v>
          </cell>
          <cell r="I6351" t="str">
            <v>L003 Ankleshwar</v>
          </cell>
          <cell r="J6351" t="str">
            <v>99 Input/Byprodt/Scrap</v>
          </cell>
          <cell r="K6351" t="str">
            <v>10.2012</v>
          </cell>
          <cell r="L6351">
            <v>1</v>
          </cell>
          <cell r="M6351" t="str">
            <v>EA</v>
          </cell>
          <cell r="N6351">
            <v>106888.5</v>
          </cell>
          <cell r="O6351" t="str">
            <v>INR</v>
          </cell>
        </row>
        <row r="6352">
          <cell r="A6352" t="str">
            <v>L003 Ankleshwar</v>
          </cell>
          <cell r="B6352">
            <v>727643</v>
          </cell>
          <cell r="C6352" t="str">
            <v>RP 18 250 X 4.6 MM,5µ - 1.01886.0008</v>
          </cell>
          <cell r="D6352" t="str">
            <v>L0030301                       QCStores</v>
          </cell>
          <cell r="E6352">
            <v>0</v>
          </cell>
          <cell r="F6352" t="str">
            <v>ND No planning</v>
          </cell>
          <cell r="G6352" t="str">
            <v>HIBE Operating supplies</v>
          </cell>
          <cell r="H6352" t="str">
            <v>SPN03     PUN - Columns</v>
          </cell>
          <cell r="I6352" t="str">
            <v>L003 Ankleshwar</v>
          </cell>
          <cell r="J6352" t="str">
            <v>99 Input/Byprodt/Scrap</v>
          </cell>
          <cell r="K6352" t="str">
            <v>10.2012</v>
          </cell>
          <cell r="L6352">
            <v>1</v>
          </cell>
          <cell r="M6352" t="str">
            <v>EA</v>
          </cell>
          <cell r="N6352">
            <v>10680.52</v>
          </cell>
          <cell r="O6352" t="str">
            <v>INR</v>
          </cell>
        </row>
        <row r="6353">
          <cell r="A6353" t="str">
            <v>L003 Ankleshwar</v>
          </cell>
          <cell r="B6353">
            <v>727656</v>
          </cell>
          <cell r="C6353" t="str">
            <v>HPLC COLUMN ZORBAX SB-PHENYL,4.6X250MM</v>
          </cell>
          <cell r="D6353" t="str">
            <v>L0030301                       QCStores</v>
          </cell>
          <cell r="E6353">
            <v>0</v>
          </cell>
          <cell r="F6353" t="str">
            <v>ND No planning</v>
          </cell>
          <cell r="G6353" t="str">
            <v>HIBE Operating supplies</v>
          </cell>
          <cell r="H6353" t="str">
            <v>SPN03     PUN - Columns</v>
          </cell>
          <cell r="I6353" t="str">
            <v>L003 Ankleshwar</v>
          </cell>
          <cell r="J6353" t="str">
            <v>99 Input/Byprodt/Scrap</v>
          </cell>
          <cell r="K6353" t="str">
            <v>10.2012</v>
          </cell>
          <cell r="L6353">
            <v>2</v>
          </cell>
          <cell r="M6353" t="str">
            <v>EA</v>
          </cell>
          <cell r="N6353">
            <v>54804</v>
          </cell>
          <cell r="O6353" t="str">
            <v>INR</v>
          </cell>
        </row>
        <row r="6354">
          <cell r="A6354" t="str">
            <v>L003 Ankleshwar</v>
          </cell>
          <cell r="B6354">
            <v>727666</v>
          </cell>
          <cell r="C6354" t="str">
            <v>XDB PHENYL 150X 4.6MM,5µ</v>
          </cell>
          <cell r="D6354" t="str">
            <v>L0030301                       QCStores</v>
          </cell>
          <cell r="E6354">
            <v>0</v>
          </cell>
          <cell r="F6354" t="str">
            <v>ND No planning</v>
          </cell>
          <cell r="G6354" t="str">
            <v>HIBE Operating supplies</v>
          </cell>
          <cell r="H6354" t="str">
            <v>SPN03     PUN - Columns</v>
          </cell>
          <cell r="I6354" t="str">
            <v>L003 Ankleshwar</v>
          </cell>
          <cell r="J6354" t="str">
            <v>99 Input/Byprodt/Scrap</v>
          </cell>
          <cell r="K6354" t="str">
            <v>10.2012</v>
          </cell>
          <cell r="L6354">
            <v>2</v>
          </cell>
          <cell r="M6354" t="str">
            <v>EA</v>
          </cell>
          <cell r="N6354">
            <v>49224</v>
          </cell>
          <cell r="O6354" t="str">
            <v>INR</v>
          </cell>
        </row>
        <row r="6355">
          <cell r="A6355" t="str">
            <v>L003 Ankleshwar</v>
          </cell>
          <cell r="B6355">
            <v>727669</v>
          </cell>
          <cell r="C6355" t="str">
            <v>C18*150*3.9*4U  - WAT086344</v>
          </cell>
          <cell r="D6355" t="str">
            <v>L0030301                       QCStores</v>
          </cell>
          <cell r="E6355">
            <v>0</v>
          </cell>
          <cell r="F6355" t="str">
            <v>ND No planning</v>
          </cell>
          <cell r="G6355" t="str">
            <v>HIBE Operating supplies</v>
          </cell>
          <cell r="H6355" t="str">
            <v>SPN03     PUN - Columns</v>
          </cell>
          <cell r="I6355" t="str">
            <v>L003 Ankleshwar</v>
          </cell>
          <cell r="J6355" t="str">
            <v>99 Input/Byprodt/Scrap</v>
          </cell>
          <cell r="K6355" t="str">
            <v>10.2012</v>
          </cell>
          <cell r="L6355">
            <v>2</v>
          </cell>
          <cell r="M6355" t="str">
            <v>EA</v>
          </cell>
          <cell r="N6355">
            <v>39565.68</v>
          </cell>
          <cell r="O6355" t="str">
            <v>INR</v>
          </cell>
        </row>
        <row r="6356">
          <cell r="A6356" t="str">
            <v>L003 Ankleshwar</v>
          </cell>
          <cell r="B6356">
            <v>727672</v>
          </cell>
          <cell r="C6356" t="str">
            <v>C18 150*4.6*5U - WAT045905</v>
          </cell>
          <cell r="D6356" t="str">
            <v>L0030301                       QCStores</v>
          </cell>
          <cell r="E6356">
            <v>0</v>
          </cell>
          <cell r="F6356" t="str">
            <v>ND No planning</v>
          </cell>
          <cell r="G6356" t="str">
            <v>HIBE Operating supplies</v>
          </cell>
          <cell r="H6356" t="str">
            <v>SPN03     PUN - Columns</v>
          </cell>
          <cell r="I6356" t="str">
            <v>L003 Ankleshwar</v>
          </cell>
          <cell r="J6356" t="str">
            <v>99 Input/Byprodt/Scrap</v>
          </cell>
          <cell r="K6356" t="str">
            <v>10.2012</v>
          </cell>
          <cell r="L6356">
            <v>4</v>
          </cell>
          <cell r="M6356" t="str">
            <v>EA</v>
          </cell>
          <cell r="N6356">
            <v>86955.679999999906</v>
          </cell>
          <cell r="O6356" t="str">
            <v>INR</v>
          </cell>
        </row>
        <row r="6357">
          <cell r="A6357" t="str">
            <v>L003 Ankleshwar</v>
          </cell>
          <cell r="B6357">
            <v>727675</v>
          </cell>
          <cell r="C6357" t="str">
            <v>C18 250* 4.6* 5U - 186003117</v>
          </cell>
          <cell r="D6357" t="str">
            <v>L0030301                       QCStores</v>
          </cell>
          <cell r="E6357">
            <v>0</v>
          </cell>
          <cell r="F6357" t="str">
            <v>ND No planning</v>
          </cell>
          <cell r="G6357" t="str">
            <v>HIBE Operating supplies</v>
          </cell>
          <cell r="H6357" t="str">
            <v>SPN03     PUN - Columns</v>
          </cell>
          <cell r="I6357" t="str">
            <v>L003 Ankleshwar</v>
          </cell>
          <cell r="J6357" t="str">
            <v>99 Input/Byprodt/Scrap</v>
          </cell>
          <cell r="K6357" t="str">
            <v>10.2012</v>
          </cell>
          <cell r="L6357">
            <v>5</v>
          </cell>
          <cell r="M6357" t="str">
            <v>EA</v>
          </cell>
          <cell r="N6357">
            <v>188432.56</v>
          </cell>
          <cell r="O6357" t="str">
            <v>INR</v>
          </cell>
        </row>
        <row r="6358">
          <cell r="A6358" t="str">
            <v>L003 Ankleshwar</v>
          </cell>
          <cell r="B6358">
            <v>727678</v>
          </cell>
          <cell r="C6358" t="str">
            <v>HPLC COLUMN 300X3.9X10U MICROBONDAPACK -</v>
          </cell>
          <cell r="D6358" t="str">
            <v>L0030301                       QCStores</v>
          </cell>
          <cell r="E6358">
            <v>0</v>
          </cell>
          <cell r="F6358" t="str">
            <v>ND No planning</v>
          </cell>
          <cell r="G6358" t="str">
            <v>HIBE Operating supplies</v>
          </cell>
          <cell r="H6358" t="str">
            <v>SPN03     PUN - Columns</v>
          </cell>
          <cell r="I6358" t="str">
            <v>L003 Ankleshwar</v>
          </cell>
          <cell r="J6358" t="str">
            <v>99 Input/Byprodt/Scrap</v>
          </cell>
          <cell r="K6358" t="str">
            <v>10.2012</v>
          </cell>
          <cell r="L6358">
            <v>4</v>
          </cell>
          <cell r="M6358" t="str">
            <v>EA</v>
          </cell>
          <cell r="N6358">
            <v>74102.52</v>
          </cell>
          <cell r="O6358" t="str">
            <v>INR</v>
          </cell>
        </row>
        <row r="6359">
          <cell r="A6359" t="str">
            <v>L003 Ankleshwar</v>
          </cell>
          <cell r="B6359">
            <v>727686</v>
          </cell>
          <cell r="C6359" t="str">
            <v>4.6X250MM, 5µM CN - PSS830915</v>
          </cell>
          <cell r="D6359" t="str">
            <v>L0030301                       QCStores</v>
          </cell>
          <cell r="E6359">
            <v>0</v>
          </cell>
          <cell r="F6359" t="str">
            <v>ND No planning</v>
          </cell>
          <cell r="G6359" t="str">
            <v>HIBE Operating supplies</v>
          </cell>
          <cell r="H6359" t="str">
            <v>SPN03     PUN - Columns</v>
          </cell>
          <cell r="I6359" t="str">
            <v>L003 Ankleshwar</v>
          </cell>
          <cell r="J6359" t="str">
            <v>99 Input/Byprodt/Scrap</v>
          </cell>
          <cell r="K6359" t="str">
            <v>10.2012</v>
          </cell>
          <cell r="L6359">
            <v>1</v>
          </cell>
          <cell r="M6359" t="str">
            <v>EA</v>
          </cell>
          <cell r="N6359">
            <v>15403.29</v>
          </cell>
          <cell r="O6359" t="str">
            <v>INR</v>
          </cell>
        </row>
        <row r="6360">
          <cell r="A6360" t="str">
            <v>L003 Ankleshwar</v>
          </cell>
          <cell r="B6360">
            <v>727740</v>
          </cell>
          <cell r="C6360" t="str">
            <v>SAMPLING ADVICE SHEET OF FINISHED</v>
          </cell>
          <cell r="D6360" t="str">
            <v>L0030151                       EnggStore</v>
          </cell>
          <cell r="E6360" t="str">
            <v>E01 E01</v>
          </cell>
          <cell r="F6360" t="str">
            <v>VB Manual reorder point planning</v>
          </cell>
          <cell r="G6360" t="str">
            <v>HIBE Operating supplies</v>
          </cell>
          <cell r="H6360" t="str">
            <v>EN040     Prinitng &amp;Stationery</v>
          </cell>
          <cell r="I6360" t="str">
            <v>L003 Ankleshwar</v>
          </cell>
          <cell r="J6360" t="str">
            <v>99 Input/Byprodt/Scrap</v>
          </cell>
          <cell r="K6360" t="str">
            <v>10.2012</v>
          </cell>
          <cell r="L6360">
            <v>8</v>
          </cell>
          <cell r="M6360" t="str">
            <v>EA</v>
          </cell>
          <cell r="N6360">
            <v>772.79999999999905</v>
          </cell>
          <cell r="O6360" t="str">
            <v>INR</v>
          </cell>
        </row>
        <row r="6361">
          <cell r="A6361" t="str">
            <v>L003 Ankleshwar</v>
          </cell>
          <cell r="B6361">
            <v>727740</v>
          </cell>
          <cell r="C6361" t="str">
            <v>SAMPLING ADVICE SHEET OF FINISHED</v>
          </cell>
          <cell r="D6361" t="str">
            <v>L0030201                       Cons StoreKP</v>
          </cell>
          <cell r="E6361" t="str">
            <v>E01 E01</v>
          </cell>
          <cell r="F6361" t="str">
            <v>VB Manual reorder point planning</v>
          </cell>
          <cell r="G6361" t="str">
            <v>HIBE Operating supplies</v>
          </cell>
          <cell r="H6361" t="str">
            <v>EN040     Prinitng &amp;Stationery</v>
          </cell>
          <cell r="I6361" t="str">
            <v>L003 Ankleshwar</v>
          </cell>
          <cell r="J6361" t="str">
            <v>99 Input/Byprodt/Scrap</v>
          </cell>
          <cell r="K6361" t="str">
            <v>10.2012</v>
          </cell>
          <cell r="L6361">
            <v>2</v>
          </cell>
          <cell r="M6361" t="str">
            <v>EA</v>
          </cell>
          <cell r="N6361">
            <v>193.19999999999899</v>
          </cell>
          <cell r="O6361" t="str">
            <v>INR</v>
          </cell>
        </row>
        <row r="6362">
          <cell r="A6362" t="str">
            <v>L003 Ankleshwar</v>
          </cell>
          <cell r="B6362">
            <v>727746</v>
          </cell>
          <cell r="C6362" t="str">
            <v>STICKER OF R.M.OF 7STAR PLANT</v>
          </cell>
          <cell r="D6362" t="str">
            <v>L0030201                       Cons StoreKP</v>
          </cell>
          <cell r="E6362" t="str">
            <v>E01 E01</v>
          </cell>
          <cell r="F6362" t="str">
            <v>VB Manual reorder point planning</v>
          </cell>
          <cell r="G6362" t="str">
            <v>HIBE Operating supplies</v>
          </cell>
          <cell r="H6362" t="str">
            <v>EN040     Prinitng &amp;Stationery</v>
          </cell>
          <cell r="I6362" t="str">
            <v>L003 Ankleshwar</v>
          </cell>
          <cell r="J6362" t="str">
            <v>99 Input/Byprodt/Scrap</v>
          </cell>
          <cell r="K6362" t="str">
            <v>10.2012</v>
          </cell>
          <cell r="L6362">
            <v>4500</v>
          </cell>
          <cell r="M6362" t="str">
            <v>EA</v>
          </cell>
          <cell r="N6362">
            <v>4500</v>
          </cell>
          <cell r="O6362" t="str">
            <v>INR</v>
          </cell>
        </row>
        <row r="6363">
          <cell r="A6363" t="str">
            <v>L003 Ankleshwar</v>
          </cell>
          <cell r="B6363">
            <v>727747</v>
          </cell>
          <cell r="C6363" t="str">
            <v>VEHICLE IN &amp; OUT REGISTER 400 PAGE</v>
          </cell>
          <cell r="D6363" t="str">
            <v>L0030151                       EnggStore</v>
          </cell>
          <cell r="E6363" t="str">
            <v>E01 E01</v>
          </cell>
          <cell r="F6363" t="str">
            <v>VB Manual reorder point planning</v>
          </cell>
          <cell r="G6363" t="str">
            <v>HIBE Operating supplies</v>
          </cell>
          <cell r="H6363" t="str">
            <v>EN040     Prinitng &amp;Stationery</v>
          </cell>
          <cell r="I6363" t="str">
            <v>L003 Ankleshwar</v>
          </cell>
          <cell r="J6363" t="str">
            <v>99 Input/Byprodt/Scrap</v>
          </cell>
          <cell r="K6363" t="str">
            <v>10.2012</v>
          </cell>
          <cell r="L6363">
            <v>1</v>
          </cell>
          <cell r="M6363" t="str">
            <v>EA</v>
          </cell>
          <cell r="N6363">
            <v>400</v>
          </cell>
          <cell r="O6363" t="str">
            <v>INR</v>
          </cell>
        </row>
        <row r="6364">
          <cell r="A6364" t="str">
            <v>L003 Ankleshwar</v>
          </cell>
          <cell r="B6364">
            <v>727758</v>
          </cell>
          <cell r="C6364" t="str">
            <v>ADDITIVE 5514 SILICON DEFORMER</v>
          </cell>
          <cell r="D6364" t="str">
            <v>L0030151                       EnggStore</v>
          </cell>
          <cell r="E6364" t="str">
            <v>E01 E01</v>
          </cell>
          <cell r="F6364" t="str">
            <v>VB Manual reorder point planning</v>
          </cell>
          <cell r="G6364" t="str">
            <v>HIBE Operating supplies</v>
          </cell>
          <cell r="H6364" t="str">
            <v>EN027     Prod&amp;OtherConsumable</v>
          </cell>
          <cell r="I6364" t="str">
            <v>L003 Ankleshwar</v>
          </cell>
          <cell r="J6364" t="str">
            <v>99 Input/Byprodt/Scrap</v>
          </cell>
          <cell r="K6364" t="str">
            <v>10.2012</v>
          </cell>
          <cell r="L6364">
            <v>50</v>
          </cell>
          <cell r="M6364" t="str">
            <v>KG</v>
          </cell>
          <cell r="N6364">
            <v>2600</v>
          </cell>
          <cell r="O6364" t="str">
            <v>INR</v>
          </cell>
        </row>
        <row r="6365">
          <cell r="A6365" t="str">
            <v>L003 Ankleshwar</v>
          </cell>
          <cell r="B6365">
            <v>727803</v>
          </cell>
          <cell r="C6365" t="str">
            <v>DECLARATION FORM 402 1+2X50</v>
          </cell>
          <cell r="D6365" t="str">
            <v>L0030151                       EnggStore</v>
          </cell>
          <cell r="E6365" t="str">
            <v>E01 E01</v>
          </cell>
          <cell r="F6365" t="str">
            <v>VB Manual reorder point planning</v>
          </cell>
          <cell r="G6365" t="str">
            <v>HIBE Operating supplies</v>
          </cell>
          <cell r="H6365" t="str">
            <v>EN040     Prinitng &amp;Stationery</v>
          </cell>
          <cell r="I6365" t="str">
            <v>L003 Ankleshwar</v>
          </cell>
          <cell r="J6365" t="str">
            <v>99 Input/Byprodt/Scrap</v>
          </cell>
          <cell r="K6365" t="str">
            <v>10.2012</v>
          </cell>
          <cell r="L6365">
            <v>23</v>
          </cell>
          <cell r="M6365" t="str">
            <v>EA</v>
          </cell>
          <cell r="N6365">
            <v>2172.34</v>
          </cell>
          <cell r="O6365" t="str">
            <v>INR</v>
          </cell>
        </row>
        <row r="6366">
          <cell r="A6366" t="str">
            <v>L003 Ankleshwar</v>
          </cell>
          <cell r="B6366">
            <v>727859</v>
          </cell>
          <cell r="C6366" t="str">
            <v>STICKER OF 2ND CROP ETB HCL</v>
          </cell>
          <cell r="D6366" t="str">
            <v>L0030151                       EnggStore</v>
          </cell>
          <cell r="E6366" t="str">
            <v>E01 E01</v>
          </cell>
          <cell r="F6366" t="str">
            <v>VB Manual reorder point planning</v>
          </cell>
          <cell r="G6366" t="str">
            <v>HIBE Operating supplies</v>
          </cell>
          <cell r="H6366" t="str">
            <v>EN040     Prinitng &amp;Stationery</v>
          </cell>
          <cell r="I6366" t="str">
            <v>L003 Ankleshwar</v>
          </cell>
          <cell r="J6366" t="str">
            <v>99 Input/Byprodt/Scrap</v>
          </cell>
          <cell r="K6366" t="str">
            <v>10.2012</v>
          </cell>
          <cell r="L6366">
            <v>2500</v>
          </cell>
          <cell r="M6366" t="str">
            <v>EA</v>
          </cell>
          <cell r="N6366">
            <v>2500</v>
          </cell>
          <cell r="O6366" t="str">
            <v>INR</v>
          </cell>
        </row>
        <row r="6367">
          <cell r="A6367" t="str">
            <v>L003 Ankleshwar</v>
          </cell>
          <cell r="B6367">
            <v>727864</v>
          </cell>
          <cell r="C6367" t="str">
            <v>STICKER OF WET AEN</v>
          </cell>
          <cell r="D6367" t="str">
            <v>L0030201                       Cons StoreKP</v>
          </cell>
          <cell r="E6367" t="str">
            <v>E01 E01</v>
          </cell>
          <cell r="F6367" t="str">
            <v>VB Manual reorder point planning</v>
          </cell>
          <cell r="G6367" t="str">
            <v>HIBE Operating supplies</v>
          </cell>
          <cell r="H6367" t="str">
            <v>EN040     Prinitng &amp;Stationery</v>
          </cell>
          <cell r="I6367" t="str">
            <v>L003 Ankleshwar</v>
          </cell>
          <cell r="J6367" t="str">
            <v>99 Input/Byprodt/Scrap</v>
          </cell>
          <cell r="K6367" t="str">
            <v>10.2012</v>
          </cell>
          <cell r="L6367">
            <v>2400</v>
          </cell>
          <cell r="M6367" t="str">
            <v>EA</v>
          </cell>
          <cell r="N6367">
            <v>2400</v>
          </cell>
          <cell r="O6367" t="str">
            <v>INR</v>
          </cell>
        </row>
        <row r="6368">
          <cell r="A6368" t="str">
            <v>L003 Ankleshwar</v>
          </cell>
          <cell r="B6368">
            <v>727865</v>
          </cell>
          <cell r="C6368" t="str">
            <v>CASH EXPENSE  REIMBU VOUCHER 100P</v>
          </cell>
          <cell r="D6368" t="str">
            <v>L0030151                       EnggStore</v>
          </cell>
          <cell r="E6368" t="str">
            <v>E01 E01</v>
          </cell>
          <cell r="F6368" t="str">
            <v>VB Manual reorder point planning</v>
          </cell>
          <cell r="G6368" t="str">
            <v>HIBE Operating supplies</v>
          </cell>
          <cell r="H6368" t="str">
            <v>EN040     Prinitng &amp;Stationery</v>
          </cell>
          <cell r="I6368" t="str">
            <v>L003 Ankleshwar</v>
          </cell>
          <cell r="J6368" t="str">
            <v>99 Input/Byprodt/Scrap</v>
          </cell>
          <cell r="K6368" t="str">
            <v>10.2012</v>
          </cell>
          <cell r="L6368">
            <v>23</v>
          </cell>
          <cell r="M6368" t="str">
            <v>EA</v>
          </cell>
          <cell r="N6368">
            <v>1570.04</v>
          </cell>
          <cell r="O6368" t="str">
            <v>INR</v>
          </cell>
        </row>
        <row r="6369">
          <cell r="A6369" t="str">
            <v>L003 Ankleshwar</v>
          </cell>
          <cell r="B6369">
            <v>727873</v>
          </cell>
          <cell r="C6369" t="str">
            <v>FILTER ELEMENT SINTERED:SS316,15µX20"LG</v>
          </cell>
          <cell r="D6369" t="str">
            <v>L0030151                       EnggStore</v>
          </cell>
          <cell r="E6369" t="str">
            <v>E01 E01</v>
          </cell>
          <cell r="F6369" t="str">
            <v>VB Manual reorder point planning</v>
          </cell>
          <cell r="G6369" t="str">
            <v>HIBE Operating supplies</v>
          </cell>
          <cell r="H6369" t="str">
            <v>EN040     Prinitng &amp;Stationery</v>
          </cell>
          <cell r="I6369" t="str">
            <v>L003 Ankleshwar</v>
          </cell>
          <cell r="J6369" t="str">
            <v>99 Input/Byprodt/Scrap</v>
          </cell>
          <cell r="K6369" t="str">
            <v>10.2012</v>
          </cell>
          <cell r="L6369">
            <v>1</v>
          </cell>
          <cell r="M6369" t="str">
            <v>EA</v>
          </cell>
          <cell r="N6369">
            <v>11148.6</v>
          </cell>
          <cell r="O6369" t="str">
            <v>INR</v>
          </cell>
        </row>
        <row r="6370">
          <cell r="A6370" t="str">
            <v>L003 Ankleshwar</v>
          </cell>
          <cell r="B6370">
            <v>727876</v>
          </cell>
          <cell r="C6370" t="str">
            <v>DISTILLATION OF 2ND FRACTION D2AB 1X100</v>
          </cell>
          <cell r="D6370" t="str">
            <v>L0030151                       EnggStore</v>
          </cell>
          <cell r="E6370" t="str">
            <v>E01 E01</v>
          </cell>
          <cell r="F6370" t="str">
            <v>VB Manual reorder point planning</v>
          </cell>
          <cell r="G6370" t="str">
            <v>HIBE Operating supplies</v>
          </cell>
          <cell r="H6370" t="str">
            <v>EN040     Prinitng &amp;Stationery</v>
          </cell>
          <cell r="I6370" t="str">
            <v>L003 Ankleshwar</v>
          </cell>
          <cell r="J6370" t="str">
            <v>99 Input/Byprodt/Scrap</v>
          </cell>
          <cell r="K6370" t="str">
            <v>10.2012</v>
          </cell>
          <cell r="L6370">
            <v>12</v>
          </cell>
          <cell r="M6370" t="str">
            <v>EA</v>
          </cell>
          <cell r="N6370">
            <v>1344</v>
          </cell>
          <cell r="O6370" t="str">
            <v>INR</v>
          </cell>
        </row>
        <row r="6371">
          <cell r="A6371" t="str">
            <v>L003 Ankleshwar</v>
          </cell>
          <cell r="B6371">
            <v>727886</v>
          </cell>
          <cell r="C6371" t="str">
            <v>PYRIDINE ISOLATION &amp;TOLUENE WASHING100P</v>
          </cell>
          <cell r="D6371" t="str">
            <v>L0030151                       EnggStore</v>
          </cell>
          <cell r="E6371" t="str">
            <v>E01 E01</v>
          </cell>
          <cell r="F6371" t="str">
            <v>VB Manual reorder point planning</v>
          </cell>
          <cell r="G6371" t="str">
            <v>HIBE Operating supplies</v>
          </cell>
          <cell r="H6371" t="str">
            <v>EN040     Prinitng &amp;Stationery</v>
          </cell>
          <cell r="I6371" t="str">
            <v>L003 Ankleshwar</v>
          </cell>
          <cell r="J6371" t="str">
            <v>99 Input/Byprodt/Scrap</v>
          </cell>
          <cell r="K6371" t="str">
            <v>10.2012</v>
          </cell>
          <cell r="L6371">
            <v>12</v>
          </cell>
          <cell r="M6371" t="str">
            <v>EA</v>
          </cell>
          <cell r="N6371">
            <v>780</v>
          </cell>
          <cell r="O6371" t="str">
            <v>INR</v>
          </cell>
        </row>
        <row r="6372">
          <cell r="A6372" t="str">
            <v>L003 Ankleshwar</v>
          </cell>
          <cell r="B6372">
            <v>727888</v>
          </cell>
          <cell r="C6372" t="str">
            <v>HMDS DATA &amp; TIME REGISTER BOOK</v>
          </cell>
          <cell r="D6372" t="str">
            <v>L0030151                       EnggStore</v>
          </cell>
          <cell r="E6372" t="str">
            <v>E01 E01</v>
          </cell>
          <cell r="F6372" t="str">
            <v>VB Manual reorder point planning</v>
          </cell>
          <cell r="G6372" t="str">
            <v>HIBE Operating supplies</v>
          </cell>
          <cell r="H6372" t="str">
            <v>EN040     Prinitng &amp;Stationery</v>
          </cell>
          <cell r="I6372" t="str">
            <v>L003 Ankleshwar</v>
          </cell>
          <cell r="J6372" t="str">
            <v>99 Input/Byprodt/Scrap</v>
          </cell>
          <cell r="K6372" t="str">
            <v>10.2012</v>
          </cell>
          <cell r="L6372">
            <v>6</v>
          </cell>
          <cell r="M6372" t="str">
            <v>EA</v>
          </cell>
          <cell r="N6372">
            <v>1890</v>
          </cell>
          <cell r="O6372" t="str">
            <v>INR</v>
          </cell>
        </row>
        <row r="6373">
          <cell r="A6373" t="str">
            <v>L003 Ankleshwar</v>
          </cell>
          <cell r="B6373">
            <v>727890</v>
          </cell>
          <cell r="C6373" t="str">
            <v>RE DOWN TIME&amp; PROCESS DATA REGISTER</v>
          </cell>
          <cell r="D6373" t="str">
            <v>L0030201                       Cons StoreKP</v>
          </cell>
          <cell r="E6373" t="str">
            <v>E01 E01</v>
          </cell>
          <cell r="F6373" t="str">
            <v>VB Manual reorder point planning</v>
          </cell>
          <cell r="G6373" t="str">
            <v>HIBE Operating supplies</v>
          </cell>
          <cell r="H6373" t="str">
            <v>EN040     Prinitng &amp;Stationery</v>
          </cell>
          <cell r="I6373" t="str">
            <v>L003 Ankleshwar</v>
          </cell>
          <cell r="J6373" t="str">
            <v>99 Input/Byprodt/Scrap</v>
          </cell>
          <cell r="K6373" t="str">
            <v>10.2012</v>
          </cell>
          <cell r="L6373">
            <v>3</v>
          </cell>
          <cell r="M6373" t="str">
            <v>EA</v>
          </cell>
          <cell r="N6373">
            <v>1020</v>
          </cell>
          <cell r="O6373" t="str">
            <v>INR</v>
          </cell>
        </row>
        <row r="6374">
          <cell r="A6374" t="str">
            <v>L003 Ankleshwar</v>
          </cell>
          <cell r="B6374">
            <v>727934</v>
          </cell>
          <cell r="C6374" t="str">
            <v>FOOD GRADE PVC HOSE WITH SS WIRE SIZE:2"</v>
          </cell>
          <cell r="D6374" t="str">
            <v>L0030151                       EnggStore</v>
          </cell>
          <cell r="E6374" t="str">
            <v>E01 E01</v>
          </cell>
          <cell r="F6374" t="str">
            <v>ND No planning</v>
          </cell>
          <cell r="G6374" t="str">
            <v>HIBE Operating supplies</v>
          </cell>
          <cell r="H6374" t="str">
            <v>EN027     Prod&amp;OtherConsumable</v>
          </cell>
          <cell r="I6374" t="str">
            <v>L003 Ankleshwar</v>
          </cell>
          <cell r="J6374" t="str">
            <v>99 Input/Byprodt/Scrap</v>
          </cell>
          <cell r="K6374" t="str">
            <v>10.2012</v>
          </cell>
          <cell r="L6374">
            <v>18</v>
          </cell>
          <cell r="M6374" t="str">
            <v>MTR</v>
          </cell>
          <cell r="N6374">
            <v>6192</v>
          </cell>
          <cell r="O6374" t="str">
            <v>INR</v>
          </cell>
        </row>
        <row r="6375">
          <cell r="A6375" t="str">
            <v>L003 Ankleshwar</v>
          </cell>
          <cell r="B6375">
            <v>727954</v>
          </cell>
          <cell r="C6375" t="str">
            <v>EVAPO OF MEOH+WATER R-7905A&amp;B OF 7ADCA</v>
          </cell>
          <cell r="D6375" t="str">
            <v>L0030151                       EnggStore</v>
          </cell>
          <cell r="E6375" t="str">
            <v>E01 E01</v>
          </cell>
          <cell r="F6375" t="str">
            <v>VB Manual reorder point planning</v>
          </cell>
          <cell r="G6375" t="str">
            <v>HIBE Operating supplies</v>
          </cell>
          <cell r="H6375" t="str">
            <v>EN040     Prinitng &amp;Stationery</v>
          </cell>
          <cell r="I6375" t="str">
            <v>L003 Ankleshwar</v>
          </cell>
          <cell r="J6375" t="str">
            <v>99 Input/Byprodt/Scrap</v>
          </cell>
          <cell r="K6375" t="str">
            <v>10.2012</v>
          </cell>
          <cell r="L6375">
            <v>2</v>
          </cell>
          <cell r="M6375" t="str">
            <v>EA</v>
          </cell>
          <cell r="N6375">
            <v>166.58</v>
          </cell>
          <cell r="O6375" t="str">
            <v>INR</v>
          </cell>
        </row>
        <row r="6376">
          <cell r="A6376" t="str">
            <v>L003 Ankleshwar</v>
          </cell>
          <cell r="B6376">
            <v>727954</v>
          </cell>
          <cell r="C6376" t="str">
            <v>EVAPO OF MEOH+WATER R-7905A&amp;B OF 7ADCA</v>
          </cell>
          <cell r="D6376" t="str">
            <v>L0030201                       Cons StoreKP</v>
          </cell>
          <cell r="E6376" t="str">
            <v>E01 E01</v>
          </cell>
          <cell r="F6376" t="str">
            <v>VB Manual reorder point planning</v>
          </cell>
          <cell r="G6376" t="str">
            <v>HIBE Operating supplies</v>
          </cell>
          <cell r="H6376" t="str">
            <v>EN040     Prinitng &amp;Stationery</v>
          </cell>
          <cell r="I6376" t="str">
            <v>L003 Ankleshwar</v>
          </cell>
          <cell r="J6376" t="str">
            <v>99 Input/Byprodt/Scrap</v>
          </cell>
          <cell r="K6376" t="str">
            <v>10.2012</v>
          </cell>
          <cell r="L6376">
            <v>10</v>
          </cell>
          <cell r="M6376" t="str">
            <v>EA</v>
          </cell>
          <cell r="N6376">
            <v>832.91999999999905</v>
          </cell>
          <cell r="O6376" t="str">
            <v>INR</v>
          </cell>
        </row>
        <row r="6377">
          <cell r="A6377" t="str">
            <v>L003 Ankleshwar</v>
          </cell>
          <cell r="B6377">
            <v>727955</v>
          </cell>
          <cell r="C6377" t="str">
            <v>MEOH DISTILATION FOR C-7903 OF 7ADCA</v>
          </cell>
          <cell r="D6377" t="str">
            <v>L0030201                       Cons StoreKP</v>
          </cell>
          <cell r="E6377" t="str">
            <v>E01 E01</v>
          </cell>
          <cell r="F6377" t="str">
            <v>VB Manual reorder point planning</v>
          </cell>
          <cell r="G6377" t="str">
            <v>HIBE Operating supplies</v>
          </cell>
          <cell r="H6377" t="str">
            <v>EN040     Prinitng &amp;Stationery</v>
          </cell>
          <cell r="I6377" t="str">
            <v>L003 Ankleshwar</v>
          </cell>
          <cell r="J6377" t="str">
            <v>99 Input/Byprodt/Scrap</v>
          </cell>
          <cell r="K6377" t="str">
            <v>10.2012</v>
          </cell>
          <cell r="L6377">
            <v>6</v>
          </cell>
          <cell r="M6377" t="str">
            <v>EA</v>
          </cell>
          <cell r="N6377">
            <v>630</v>
          </cell>
          <cell r="O6377" t="str">
            <v>INR</v>
          </cell>
        </row>
        <row r="6378">
          <cell r="A6378" t="str">
            <v>L003 Ankleshwar</v>
          </cell>
          <cell r="B6378">
            <v>727956</v>
          </cell>
          <cell r="C6378" t="str">
            <v>AMMONIA CON SHEET FOR SPLITTER OF 7ADCA</v>
          </cell>
          <cell r="D6378" t="str">
            <v>L0030201                       Cons StoreKP</v>
          </cell>
          <cell r="E6378" t="str">
            <v>E01 E01</v>
          </cell>
          <cell r="F6378" t="str">
            <v>VB Manual reorder point planning</v>
          </cell>
          <cell r="G6378" t="str">
            <v>HIBE Operating supplies</v>
          </cell>
          <cell r="H6378" t="str">
            <v>EN040     Prinitng &amp;Stationery</v>
          </cell>
          <cell r="I6378" t="str">
            <v>L003 Ankleshwar</v>
          </cell>
          <cell r="J6378" t="str">
            <v>99 Input/Byprodt/Scrap</v>
          </cell>
          <cell r="K6378" t="str">
            <v>10.2012</v>
          </cell>
          <cell r="L6378">
            <v>10</v>
          </cell>
          <cell r="M6378" t="str">
            <v>EA</v>
          </cell>
          <cell r="N6378">
            <v>1100</v>
          </cell>
          <cell r="O6378" t="str">
            <v>INR</v>
          </cell>
        </row>
        <row r="6379">
          <cell r="A6379" t="str">
            <v>L003 Ankleshwar</v>
          </cell>
          <cell r="B6379">
            <v>727957</v>
          </cell>
          <cell r="C6379" t="str">
            <v>7APDCA TO 7ADCA DETAILS REGISTER</v>
          </cell>
          <cell r="D6379" t="str">
            <v>L0030151                       EnggStore</v>
          </cell>
          <cell r="E6379" t="str">
            <v>E01 E01</v>
          </cell>
          <cell r="F6379" t="str">
            <v>VB Manual reorder point planning</v>
          </cell>
          <cell r="G6379" t="str">
            <v>HIBE Operating supplies</v>
          </cell>
          <cell r="H6379" t="str">
            <v>EN040     Prinitng &amp;Stationery</v>
          </cell>
          <cell r="I6379" t="str">
            <v>L003 Ankleshwar</v>
          </cell>
          <cell r="J6379" t="str">
            <v>99 Input/Byprodt/Scrap</v>
          </cell>
          <cell r="K6379" t="str">
            <v>10.2012</v>
          </cell>
          <cell r="L6379">
            <v>5</v>
          </cell>
          <cell r="M6379" t="str">
            <v>EA</v>
          </cell>
          <cell r="N6379">
            <v>1137.5</v>
          </cell>
          <cell r="O6379" t="str">
            <v>INR</v>
          </cell>
        </row>
        <row r="6380">
          <cell r="A6380" t="str">
            <v>L003 Ankleshwar</v>
          </cell>
          <cell r="B6380">
            <v>727958</v>
          </cell>
          <cell r="C6380" t="str">
            <v>MIX BATCH OF RE-PACKING REGISTER OF ETB</v>
          </cell>
          <cell r="D6380" t="str">
            <v>L0030151                       EnggStore</v>
          </cell>
          <cell r="E6380" t="str">
            <v>E01 E01</v>
          </cell>
          <cell r="F6380" t="str">
            <v>VB Manual reorder point planning</v>
          </cell>
          <cell r="G6380" t="str">
            <v>HIBE Operating supplies</v>
          </cell>
          <cell r="H6380" t="str">
            <v>EN040     Prinitng &amp;Stationery</v>
          </cell>
          <cell r="I6380" t="str">
            <v>L003 Ankleshwar</v>
          </cell>
          <cell r="J6380" t="str">
            <v>99 Input/Byprodt/Scrap</v>
          </cell>
          <cell r="K6380" t="str">
            <v>10.2012</v>
          </cell>
          <cell r="L6380">
            <v>2</v>
          </cell>
          <cell r="M6380" t="str">
            <v>EA</v>
          </cell>
          <cell r="N6380">
            <v>700</v>
          </cell>
          <cell r="O6380" t="str">
            <v>INR</v>
          </cell>
        </row>
        <row r="6381">
          <cell r="A6381" t="str">
            <v>L003 Ankleshwar</v>
          </cell>
          <cell r="B6381">
            <v>727960</v>
          </cell>
          <cell r="C6381" t="str">
            <v>MIX BATCH OF RE-LABLING REGISTER OF ETB</v>
          </cell>
          <cell r="D6381" t="str">
            <v>L0030151                       EnggStore</v>
          </cell>
          <cell r="E6381" t="str">
            <v>E01 E01</v>
          </cell>
          <cell r="F6381" t="str">
            <v>VB Manual reorder point planning</v>
          </cell>
          <cell r="G6381" t="str">
            <v>HIBE Operating supplies</v>
          </cell>
          <cell r="H6381" t="str">
            <v>EN040     Prinitng &amp;Stationery</v>
          </cell>
          <cell r="I6381" t="str">
            <v>L003 Ankleshwar</v>
          </cell>
          <cell r="J6381" t="str">
            <v>99 Input/Byprodt/Scrap</v>
          </cell>
          <cell r="K6381" t="str">
            <v>10.2012</v>
          </cell>
          <cell r="L6381">
            <v>3</v>
          </cell>
          <cell r="M6381" t="str">
            <v>EA</v>
          </cell>
          <cell r="N6381">
            <v>1050</v>
          </cell>
          <cell r="O6381" t="str">
            <v>INR</v>
          </cell>
        </row>
        <row r="6382">
          <cell r="A6382" t="str">
            <v>L003 Ankleshwar</v>
          </cell>
          <cell r="B6382">
            <v>727971</v>
          </cell>
          <cell r="C6382" t="str">
            <v>SO DOWN TIME&amp;PROCESS DATA REGISTER</v>
          </cell>
          <cell r="D6382" t="str">
            <v>L0030151                       EnggStore</v>
          </cell>
          <cell r="E6382" t="str">
            <v>E01 E01</v>
          </cell>
          <cell r="F6382" t="str">
            <v>VB Manual reorder point planning</v>
          </cell>
          <cell r="G6382" t="str">
            <v>HIBE Operating supplies</v>
          </cell>
          <cell r="H6382" t="str">
            <v>EN040     Prinitng &amp;Stationery</v>
          </cell>
          <cell r="I6382" t="str">
            <v>L003 Ankleshwar</v>
          </cell>
          <cell r="J6382" t="str">
            <v>99 Input/Byprodt/Scrap</v>
          </cell>
          <cell r="K6382" t="str">
            <v>10.2012</v>
          </cell>
          <cell r="L6382">
            <v>6</v>
          </cell>
          <cell r="M6382" t="str">
            <v>EA</v>
          </cell>
          <cell r="N6382">
            <v>1890</v>
          </cell>
          <cell r="O6382" t="str">
            <v>INR</v>
          </cell>
        </row>
        <row r="6383">
          <cell r="A6383" t="str">
            <v>L003 Ankleshwar</v>
          </cell>
          <cell r="B6383">
            <v>728005</v>
          </cell>
          <cell r="C6383" t="str">
            <v>DIST. MECL2 WASHING OF 7AE 1X100 PAGE</v>
          </cell>
          <cell r="D6383" t="str">
            <v>L0030151                       EnggStore</v>
          </cell>
          <cell r="E6383" t="str">
            <v>E01 E01</v>
          </cell>
          <cell r="F6383" t="str">
            <v>VB Manual reorder point planning</v>
          </cell>
          <cell r="G6383" t="str">
            <v>HIBE Operating supplies</v>
          </cell>
          <cell r="H6383" t="str">
            <v>EN040     Prinitng &amp;Stationery</v>
          </cell>
          <cell r="I6383" t="str">
            <v>L003 Ankleshwar</v>
          </cell>
          <cell r="J6383" t="str">
            <v>99 Input/Byprodt/Scrap</v>
          </cell>
          <cell r="K6383" t="str">
            <v>10.2012</v>
          </cell>
          <cell r="L6383">
            <v>5</v>
          </cell>
          <cell r="M6383" t="str">
            <v>EA</v>
          </cell>
          <cell r="N6383">
            <v>393.75</v>
          </cell>
          <cell r="O6383" t="str">
            <v>INR</v>
          </cell>
        </row>
        <row r="6384">
          <cell r="A6384" t="str">
            <v>L003 Ankleshwar</v>
          </cell>
          <cell r="B6384">
            <v>728006</v>
          </cell>
          <cell r="C6384" t="str">
            <v>MECL2 WASHING &amp; DIST OF 7AE 1X100 PAGE</v>
          </cell>
          <cell r="D6384" t="str">
            <v>L0030151                       EnggStore</v>
          </cell>
          <cell r="E6384" t="str">
            <v>E01 E01</v>
          </cell>
          <cell r="F6384" t="str">
            <v>VB Manual reorder point planning</v>
          </cell>
          <cell r="G6384" t="str">
            <v>HIBE Operating supplies</v>
          </cell>
          <cell r="H6384" t="str">
            <v>EN040     Prinitng &amp;Stationery</v>
          </cell>
          <cell r="I6384" t="str">
            <v>L003 Ankleshwar</v>
          </cell>
          <cell r="J6384" t="str">
            <v>99 Input/Byprodt/Scrap</v>
          </cell>
          <cell r="K6384" t="str">
            <v>10.2012</v>
          </cell>
          <cell r="L6384">
            <v>5</v>
          </cell>
          <cell r="M6384" t="str">
            <v>EA</v>
          </cell>
          <cell r="N6384">
            <v>472.5</v>
          </cell>
          <cell r="O6384" t="str">
            <v>INR</v>
          </cell>
        </row>
        <row r="6385">
          <cell r="A6385" t="str">
            <v>L003 Ankleshwar</v>
          </cell>
          <cell r="B6385">
            <v>728009</v>
          </cell>
          <cell r="C6385" t="str">
            <v>AEX PRODUCTION REGISTER</v>
          </cell>
          <cell r="D6385" t="str">
            <v>L0030151                       EnggStore</v>
          </cell>
          <cell r="E6385" t="str">
            <v>E01 E01</v>
          </cell>
          <cell r="F6385" t="str">
            <v>VB Manual reorder point planning</v>
          </cell>
          <cell r="G6385" t="str">
            <v>HIBE Operating supplies</v>
          </cell>
          <cell r="H6385" t="str">
            <v>EN010     Fire&amp;safety</v>
          </cell>
          <cell r="I6385" t="str">
            <v>L003 Ankleshwar</v>
          </cell>
          <cell r="J6385" t="str">
            <v>99 Input/Byprodt/Scrap</v>
          </cell>
          <cell r="K6385" t="str">
            <v>10.2012</v>
          </cell>
          <cell r="L6385">
            <v>1</v>
          </cell>
          <cell r="M6385" t="str">
            <v>EA</v>
          </cell>
          <cell r="N6385">
            <v>275</v>
          </cell>
          <cell r="O6385" t="str">
            <v>INR</v>
          </cell>
        </row>
        <row r="6386">
          <cell r="A6386" t="str">
            <v>L003 Ankleshwar</v>
          </cell>
          <cell r="B6386">
            <v>728009</v>
          </cell>
          <cell r="C6386" t="str">
            <v>AEX PRODUCTION REGISTER</v>
          </cell>
          <cell r="D6386" t="str">
            <v>L0030201                       Cons StoreKP</v>
          </cell>
          <cell r="E6386" t="str">
            <v>E01 E01</v>
          </cell>
          <cell r="F6386" t="str">
            <v>VB Manual reorder point planning</v>
          </cell>
          <cell r="G6386" t="str">
            <v>HIBE Operating supplies</v>
          </cell>
          <cell r="H6386" t="str">
            <v>EN010     Fire&amp;safety</v>
          </cell>
          <cell r="I6386" t="str">
            <v>L003 Ankleshwar</v>
          </cell>
          <cell r="J6386" t="str">
            <v>99 Input/Byprodt/Scrap</v>
          </cell>
          <cell r="K6386" t="str">
            <v>10.2012</v>
          </cell>
          <cell r="L6386">
            <v>4</v>
          </cell>
          <cell r="M6386" t="str">
            <v>EA</v>
          </cell>
          <cell r="N6386">
            <v>1100</v>
          </cell>
          <cell r="O6386" t="str">
            <v>INR</v>
          </cell>
        </row>
        <row r="6387">
          <cell r="A6387" t="str">
            <v>L003 Ankleshwar</v>
          </cell>
          <cell r="B6387">
            <v>728025</v>
          </cell>
          <cell r="C6387" t="str">
            <v>AEXANFCRUDE/PUREAEX FILT &amp;WASHING BOOK</v>
          </cell>
          <cell r="D6387" t="str">
            <v>L0030151                       EnggStore</v>
          </cell>
          <cell r="E6387" t="str">
            <v>E01 E01</v>
          </cell>
          <cell r="F6387" t="str">
            <v>VB Manual reorder point planning</v>
          </cell>
          <cell r="G6387" t="str">
            <v>HIBE Operating supplies</v>
          </cell>
          <cell r="H6387" t="str">
            <v>EN040     Prinitng &amp;Stationery</v>
          </cell>
          <cell r="I6387" t="str">
            <v>L003 Ankleshwar</v>
          </cell>
          <cell r="J6387" t="str">
            <v>99 Input/Byprodt/Scrap</v>
          </cell>
          <cell r="K6387" t="str">
            <v>10.2012</v>
          </cell>
          <cell r="L6387">
            <v>1</v>
          </cell>
          <cell r="M6387" t="str">
            <v>EA</v>
          </cell>
          <cell r="N6387">
            <v>83.329999999999899</v>
          </cell>
          <cell r="O6387" t="str">
            <v>INR</v>
          </cell>
        </row>
        <row r="6388">
          <cell r="A6388" t="str">
            <v>L003 Ankleshwar</v>
          </cell>
          <cell r="B6388">
            <v>728025</v>
          </cell>
          <cell r="C6388" t="str">
            <v>AEXANFCRUDE/PUREAEX FILT &amp;WASHING BOOK</v>
          </cell>
          <cell r="D6388" t="str">
            <v>L0030201                       Cons StoreKP</v>
          </cell>
          <cell r="E6388" t="str">
            <v>E01 E01</v>
          </cell>
          <cell r="F6388" t="str">
            <v>VB Manual reorder point planning</v>
          </cell>
          <cell r="G6388" t="str">
            <v>HIBE Operating supplies</v>
          </cell>
          <cell r="H6388" t="str">
            <v>EN040     Prinitng &amp;Stationery</v>
          </cell>
          <cell r="I6388" t="str">
            <v>L003 Ankleshwar</v>
          </cell>
          <cell r="J6388" t="str">
            <v>99 Input/Byprodt/Scrap</v>
          </cell>
          <cell r="K6388" t="str">
            <v>10.2012</v>
          </cell>
          <cell r="L6388">
            <v>8</v>
          </cell>
          <cell r="M6388" t="str">
            <v>EA</v>
          </cell>
          <cell r="N6388">
            <v>666.66999999999905</v>
          </cell>
          <cell r="O6388" t="str">
            <v>INR</v>
          </cell>
        </row>
        <row r="6389">
          <cell r="A6389" t="str">
            <v>L003 Ankleshwar</v>
          </cell>
          <cell r="B6389">
            <v>728026</v>
          </cell>
          <cell r="C6389" t="str">
            <v>PTSA RECOVERY OF 7ACCA  100 PAGE BOOK</v>
          </cell>
          <cell r="D6389" t="str">
            <v>L0030201                       Cons StoreKP</v>
          </cell>
          <cell r="E6389" t="str">
            <v>E01 E01</v>
          </cell>
          <cell r="F6389" t="str">
            <v>VB Manual reorder point planning</v>
          </cell>
          <cell r="G6389" t="str">
            <v>HIBE Operating supplies</v>
          </cell>
          <cell r="H6389" t="str">
            <v>EN040     Prinitng &amp;Stationery</v>
          </cell>
          <cell r="I6389" t="str">
            <v>L003 Ankleshwar</v>
          </cell>
          <cell r="J6389" t="str">
            <v>99 Input/Byprodt/Scrap</v>
          </cell>
          <cell r="K6389" t="str">
            <v>10.2012</v>
          </cell>
          <cell r="L6389">
            <v>2</v>
          </cell>
          <cell r="M6389" t="str">
            <v>EA</v>
          </cell>
          <cell r="N6389">
            <v>210</v>
          </cell>
          <cell r="O6389" t="str">
            <v>INR</v>
          </cell>
        </row>
        <row r="6390">
          <cell r="A6390" t="str">
            <v>L003 Ankleshwar</v>
          </cell>
          <cell r="B6390">
            <v>728027</v>
          </cell>
          <cell r="C6390" t="str">
            <v>ETHYL ACETATE FRACTION BOOK 2X100 BOOK</v>
          </cell>
          <cell r="D6390" t="str">
            <v>L0030201                       Cons StoreKP</v>
          </cell>
          <cell r="E6390" t="str">
            <v>E01 E01</v>
          </cell>
          <cell r="F6390" t="str">
            <v>VB Manual reorder point planning</v>
          </cell>
          <cell r="G6390" t="str">
            <v>HIBE Operating supplies</v>
          </cell>
          <cell r="H6390" t="str">
            <v>EN040     Prinitng &amp;Stationery</v>
          </cell>
          <cell r="I6390" t="str">
            <v>L003 Ankleshwar</v>
          </cell>
          <cell r="J6390" t="str">
            <v>99 Input/Byprodt/Scrap</v>
          </cell>
          <cell r="K6390" t="str">
            <v>10.2012</v>
          </cell>
          <cell r="L6390">
            <v>10</v>
          </cell>
          <cell r="M6390" t="str">
            <v>EA</v>
          </cell>
          <cell r="N6390">
            <v>1102.5</v>
          </cell>
          <cell r="O6390" t="str">
            <v>INR</v>
          </cell>
        </row>
        <row r="6391">
          <cell r="A6391" t="str">
            <v>L003 Ankleshwar</v>
          </cell>
          <cell r="B6391">
            <v>728028</v>
          </cell>
          <cell r="C6391" t="str">
            <v>MONITO.RECORDOFOZONE GENERATOR BOOK</v>
          </cell>
          <cell r="D6391" t="str">
            <v>L0030201                       Cons StoreKP</v>
          </cell>
          <cell r="E6391" t="str">
            <v>E01 E01</v>
          </cell>
          <cell r="F6391" t="str">
            <v>ND No planning</v>
          </cell>
          <cell r="G6391" t="str">
            <v>HIBE Operating supplies</v>
          </cell>
          <cell r="H6391" t="str">
            <v>EN040     Prinitng &amp;Stationery</v>
          </cell>
          <cell r="I6391" t="str">
            <v>L003 Ankleshwar</v>
          </cell>
          <cell r="J6391" t="str">
            <v>99 Input/Byprodt/Scrap</v>
          </cell>
          <cell r="K6391" t="str">
            <v>10.2012</v>
          </cell>
          <cell r="L6391">
            <v>5</v>
          </cell>
          <cell r="M6391" t="str">
            <v>EA</v>
          </cell>
          <cell r="N6391">
            <v>400</v>
          </cell>
          <cell r="O6391" t="str">
            <v>INR</v>
          </cell>
        </row>
        <row r="6392">
          <cell r="A6392" t="str">
            <v>L003 Ankleshwar</v>
          </cell>
          <cell r="B6392">
            <v>728029</v>
          </cell>
          <cell r="C6392" t="str">
            <v>PGESOANF3101 ESTERMASS KBR SLURRYBOOK</v>
          </cell>
          <cell r="D6392" t="str">
            <v>L0030151                       EnggStore</v>
          </cell>
          <cell r="E6392" t="str">
            <v>E01 E01</v>
          </cell>
          <cell r="F6392" t="str">
            <v>VB Manual reorder point planning</v>
          </cell>
          <cell r="G6392" t="str">
            <v>HIBE Operating supplies</v>
          </cell>
          <cell r="H6392" t="str">
            <v>EN040     Prinitng &amp;Stationery</v>
          </cell>
          <cell r="I6392" t="str">
            <v>L003 Ankleshwar</v>
          </cell>
          <cell r="J6392" t="str">
            <v>99 Input/Byprodt/Scrap</v>
          </cell>
          <cell r="K6392" t="str">
            <v>10.2012</v>
          </cell>
          <cell r="L6392">
            <v>2</v>
          </cell>
          <cell r="M6392" t="str">
            <v>EA</v>
          </cell>
          <cell r="N6392">
            <v>160</v>
          </cell>
          <cell r="O6392" t="str">
            <v>INR</v>
          </cell>
        </row>
        <row r="6393">
          <cell r="A6393" t="str">
            <v>L003 Ankleshwar</v>
          </cell>
          <cell r="B6393">
            <v>728054</v>
          </cell>
          <cell r="C6393" t="str">
            <v>RUBBER BEND MEDIUM SIZE</v>
          </cell>
          <cell r="D6393" t="str">
            <v>L0030151                       EnggStore</v>
          </cell>
          <cell r="E6393" t="str">
            <v>E42 E42</v>
          </cell>
          <cell r="F6393" t="str">
            <v>VB Manual reorder point planning</v>
          </cell>
          <cell r="G6393" t="str">
            <v>HIBE Operating supplies</v>
          </cell>
          <cell r="H6393" t="str">
            <v>EN040     Prinitng &amp;Stationery</v>
          </cell>
          <cell r="I6393" t="str">
            <v>L003 Ankleshwar</v>
          </cell>
          <cell r="J6393" t="str">
            <v>99 Input/Byprodt/Scrap</v>
          </cell>
          <cell r="K6393" t="str">
            <v>10.2012</v>
          </cell>
          <cell r="L6393">
            <v>12.1</v>
          </cell>
          <cell r="M6393" t="str">
            <v>KG</v>
          </cell>
          <cell r="N6393">
            <v>3176.25</v>
          </cell>
          <cell r="O6393" t="str">
            <v>INR</v>
          </cell>
        </row>
        <row r="6394">
          <cell r="A6394" t="str">
            <v>L003 Ankleshwar</v>
          </cell>
          <cell r="B6394">
            <v>728054</v>
          </cell>
          <cell r="C6394" t="str">
            <v>RUBBER BEND MEDIUM SIZE</v>
          </cell>
          <cell r="D6394" t="str">
            <v>L0030201                       Cons StoreKP</v>
          </cell>
          <cell r="E6394" t="str">
            <v>E42 E42</v>
          </cell>
          <cell r="F6394" t="str">
            <v>VB Manual reorder point planning</v>
          </cell>
          <cell r="G6394" t="str">
            <v>HIBE Operating supplies</v>
          </cell>
          <cell r="H6394" t="str">
            <v>EN040     Prinitng &amp;Stationery</v>
          </cell>
          <cell r="I6394" t="str">
            <v>L003 Ankleshwar</v>
          </cell>
          <cell r="J6394" t="str">
            <v>99 Input/Byprodt/Scrap</v>
          </cell>
          <cell r="K6394" t="str">
            <v>10.2012</v>
          </cell>
          <cell r="L6394">
            <v>3</v>
          </cell>
          <cell r="M6394" t="str">
            <v>KG</v>
          </cell>
          <cell r="N6394">
            <v>787.5</v>
          </cell>
          <cell r="O6394" t="str">
            <v>INR</v>
          </cell>
        </row>
        <row r="6395">
          <cell r="A6395" t="str">
            <v>L003 Ankleshwar</v>
          </cell>
          <cell r="B6395">
            <v>728062</v>
          </cell>
          <cell r="C6395" t="str">
            <v>BSU BATCH  CHECK LIST book 1X100 PAGE</v>
          </cell>
          <cell r="D6395" t="str">
            <v>L0030151                       EnggStore</v>
          </cell>
          <cell r="E6395" t="str">
            <v>E01 E01</v>
          </cell>
          <cell r="F6395" t="str">
            <v>VB Manual reorder point planning</v>
          </cell>
          <cell r="G6395" t="str">
            <v>HIBE Operating supplies</v>
          </cell>
          <cell r="H6395" t="str">
            <v>EN040     Prinitng &amp;Stationery</v>
          </cell>
          <cell r="I6395" t="str">
            <v>L003 Ankleshwar</v>
          </cell>
          <cell r="J6395" t="str">
            <v>99 Input/Byprodt/Scrap</v>
          </cell>
          <cell r="K6395" t="str">
            <v>10.2012</v>
          </cell>
          <cell r="L6395">
            <v>6</v>
          </cell>
          <cell r="M6395" t="str">
            <v>EA</v>
          </cell>
          <cell r="N6395">
            <v>390</v>
          </cell>
          <cell r="O6395" t="str">
            <v>INR</v>
          </cell>
        </row>
        <row r="6396">
          <cell r="A6396" t="str">
            <v>L003 Ankleshwar</v>
          </cell>
          <cell r="B6396">
            <v>728063</v>
          </cell>
          <cell r="C6396" t="str">
            <v>PACKING DETAILS WEIGHT OBSERVATION BOOK</v>
          </cell>
          <cell r="D6396" t="str">
            <v>L0030151                       EnggStore</v>
          </cell>
          <cell r="E6396" t="str">
            <v>E01 E01</v>
          </cell>
          <cell r="F6396" t="str">
            <v>VB Manual reorder point planning</v>
          </cell>
          <cell r="G6396" t="str">
            <v>HIBE Operating supplies</v>
          </cell>
          <cell r="H6396" t="str">
            <v>EN040     Prinitng &amp;Stationery</v>
          </cell>
          <cell r="I6396" t="str">
            <v>L003 Ankleshwar</v>
          </cell>
          <cell r="J6396" t="str">
            <v>99 Input/Byprodt/Scrap</v>
          </cell>
          <cell r="K6396" t="str">
            <v>10.2012</v>
          </cell>
          <cell r="L6396">
            <v>2</v>
          </cell>
          <cell r="M6396" t="str">
            <v>EA</v>
          </cell>
          <cell r="N6396">
            <v>159.44</v>
          </cell>
          <cell r="O6396" t="str">
            <v>INR</v>
          </cell>
        </row>
        <row r="6397">
          <cell r="A6397" t="str">
            <v>L003 Ankleshwar</v>
          </cell>
          <cell r="B6397">
            <v>728063</v>
          </cell>
          <cell r="C6397" t="str">
            <v>PACKING DETAILS WEIGHT OBSERVATION BOOK</v>
          </cell>
          <cell r="D6397" t="str">
            <v>L0030201                       Cons StoreKP</v>
          </cell>
          <cell r="E6397" t="str">
            <v>E01 E01</v>
          </cell>
          <cell r="F6397" t="str">
            <v>VB Manual reorder point planning</v>
          </cell>
          <cell r="G6397" t="str">
            <v>HIBE Operating supplies</v>
          </cell>
          <cell r="H6397" t="str">
            <v>EN040     Prinitng &amp;Stationery</v>
          </cell>
          <cell r="I6397" t="str">
            <v>L003 Ankleshwar</v>
          </cell>
          <cell r="J6397" t="str">
            <v>99 Input/Byprodt/Scrap</v>
          </cell>
          <cell r="K6397" t="str">
            <v>10.2012</v>
          </cell>
          <cell r="L6397">
            <v>7</v>
          </cell>
          <cell r="M6397" t="str">
            <v>EA</v>
          </cell>
          <cell r="N6397">
            <v>558.05999999999904</v>
          </cell>
          <cell r="O6397" t="str">
            <v>INR</v>
          </cell>
        </row>
        <row r="6398">
          <cell r="A6398" t="str">
            <v>L003 Ankleshwar</v>
          </cell>
          <cell r="B6398">
            <v>728064</v>
          </cell>
          <cell r="C6398" t="str">
            <v>PUMP CHECK LIST (ASSESMENT SHEET)1X100</v>
          </cell>
          <cell r="D6398" t="str">
            <v>L0030151                       EnggStore</v>
          </cell>
          <cell r="E6398" t="str">
            <v>E01 E01</v>
          </cell>
          <cell r="F6398" t="str">
            <v>VB Manual reorder point planning</v>
          </cell>
          <cell r="G6398" t="str">
            <v>HIBE Operating supplies</v>
          </cell>
          <cell r="H6398" t="str">
            <v>EN027     Prod&amp;OtherConsumable</v>
          </cell>
          <cell r="I6398" t="str">
            <v>L003 Ankleshwar</v>
          </cell>
          <cell r="J6398" t="str">
            <v>99 Input/Byprodt/Scrap</v>
          </cell>
          <cell r="K6398" t="str">
            <v>10.2012</v>
          </cell>
          <cell r="L6398">
            <v>7</v>
          </cell>
          <cell r="M6398" t="str">
            <v>EA</v>
          </cell>
          <cell r="N6398">
            <v>385</v>
          </cell>
          <cell r="O6398" t="str">
            <v>INR</v>
          </cell>
        </row>
        <row r="6399">
          <cell r="A6399" t="str">
            <v>L003 Ankleshwar</v>
          </cell>
          <cell r="B6399">
            <v>728158</v>
          </cell>
          <cell r="C6399" t="str">
            <v>RULLED ROUGH PAD 1/4 " SIZE 1X80 PAGE</v>
          </cell>
          <cell r="D6399" t="str">
            <v>L0030151                       EnggStore</v>
          </cell>
          <cell r="E6399" t="str">
            <v>E42 E42</v>
          </cell>
          <cell r="F6399" t="str">
            <v>VB Manual reorder point planning</v>
          </cell>
          <cell r="G6399" t="str">
            <v>HIBE Operating supplies</v>
          </cell>
          <cell r="H6399" t="str">
            <v>EN040     Prinitng &amp;Stationery</v>
          </cell>
          <cell r="I6399" t="str">
            <v>L003 Ankleshwar</v>
          </cell>
          <cell r="J6399" t="str">
            <v>99 Input/Byprodt/Scrap</v>
          </cell>
          <cell r="K6399" t="str">
            <v>10.2012</v>
          </cell>
          <cell r="L6399">
            <v>8</v>
          </cell>
          <cell r="M6399" t="str">
            <v>EA</v>
          </cell>
          <cell r="N6399">
            <v>251.74</v>
          </cell>
          <cell r="O6399" t="str">
            <v>INR</v>
          </cell>
        </row>
        <row r="6400">
          <cell r="A6400" t="str">
            <v>L003 Ankleshwar</v>
          </cell>
          <cell r="B6400">
            <v>728158</v>
          </cell>
          <cell r="C6400" t="str">
            <v>RULLED ROUGH PAD 1/4 " SIZE 1X80 PAGE</v>
          </cell>
          <cell r="D6400" t="str">
            <v>L0030201                       Cons StoreKP</v>
          </cell>
          <cell r="E6400" t="str">
            <v>E42 E42</v>
          </cell>
          <cell r="F6400" t="str">
            <v>VB Manual reorder point planning</v>
          </cell>
          <cell r="G6400" t="str">
            <v>HIBE Operating supplies</v>
          </cell>
          <cell r="H6400" t="str">
            <v>EN040     Prinitng &amp;Stationery</v>
          </cell>
          <cell r="I6400" t="str">
            <v>L003 Ankleshwar</v>
          </cell>
          <cell r="J6400" t="str">
            <v>99 Input/Byprodt/Scrap</v>
          </cell>
          <cell r="K6400" t="str">
            <v>10.2012</v>
          </cell>
          <cell r="L6400">
            <v>6</v>
          </cell>
          <cell r="M6400" t="str">
            <v>EA</v>
          </cell>
          <cell r="N6400">
            <v>188.8</v>
          </cell>
          <cell r="O6400" t="str">
            <v>INR</v>
          </cell>
        </row>
        <row r="6401">
          <cell r="A6401" t="str">
            <v>L003 Ankleshwar</v>
          </cell>
          <cell r="B6401">
            <v>728180</v>
          </cell>
          <cell r="C6401" t="str">
            <v>PLAIN COMPUTOR STICKER 4"X2"(1pktx1200)</v>
          </cell>
          <cell r="D6401" t="str">
            <v>L0030151                       EnggStore</v>
          </cell>
          <cell r="E6401" t="str">
            <v>E01 E01</v>
          </cell>
          <cell r="F6401" t="str">
            <v>VB Manual reorder point planning</v>
          </cell>
          <cell r="G6401" t="str">
            <v>HIBE Operating supplies</v>
          </cell>
          <cell r="H6401" t="str">
            <v>EN040     Prinitng &amp;Stationery</v>
          </cell>
          <cell r="I6401" t="str">
            <v>L003 Ankleshwar</v>
          </cell>
          <cell r="J6401" t="str">
            <v>99 Input/Byprodt/Scrap</v>
          </cell>
          <cell r="K6401" t="str">
            <v>10.2012</v>
          </cell>
          <cell r="L6401">
            <v>7</v>
          </cell>
          <cell r="M6401" t="str">
            <v>EA</v>
          </cell>
          <cell r="N6401">
            <v>3378.44</v>
          </cell>
          <cell r="O6401" t="str">
            <v>INR</v>
          </cell>
        </row>
        <row r="6402">
          <cell r="A6402" t="str">
            <v>L003 Ankleshwar</v>
          </cell>
          <cell r="B6402">
            <v>728219</v>
          </cell>
          <cell r="C6402" t="str">
            <v>NEUTRALIZATION OF ETB HCL ML+W.ML 1X100P</v>
          </cell>
          <cell r="D6402" t="str">
            <v>L0030151                       EnggStore</v>
          </cell>
          <cell r="E6402" t="str">
            <v>E01 E01</v>
          </cell>
          <cell r="F6402" t="str">
            <v>VB Manual reorder point planning</v>
          </cell>
          <cell r="G6402" t="str">
            <v>HIBE Operating supplies</v>
          </cell>
          <cell r="H6402" t="str">
            <v>EN040     Prinitng &amp;Stationery</v>
          </cell>
          <cell r="I6402" t="str">
            <v>L003 Ankleshwar</v>
          </cell>
          <cell r="J6402" t="str">
            <v>99 Input/Byprodt/Scrap</v>
          </cell>
          <cell r="K6402" t="str">
            <v>10.2012</v>
          </cell>
          <cell r="L6402">
            <v>6</v>
          </cell>
          <cell r="M6402" t="str">
            <v>EA</v>
          </cell>
          <cell r="N6402">
            <v>431.77999999999901</v>
          </cell>
          <cell r="O6402" t="str">
            <v>INR</v>
          </cell>
        </row>
        <row r="6403">
          <cell r="A6403" t="str">
            <v>L003 Ankleshwar</v>
          </cell>
          <cell r="B6403">
            <v>728220</v>
          </cell>
          <cell r="C6403" t="str">
            <v>MEOH+H2O RECOVERY OF R5 1X100 PAGE</v>
          </cell>
          <cell r="D6403" t="str">
            <v>L0030151                       EnggStore</v>
          </cell>
          <cell r="E6403" t="str">
            <v>E01 E01</v>
          </cell>
          <cell r="F6403" t="str">
            <v>VB Manual reorder point planning</v>
          </cell>
          <cell r="G6403" t="str">
            <v>HIBE Operating supplies</v>
          </cell>
          <cell r="H6403" t="str">
            <v>EN040     Prinitng &amp;Stationery</v>
          </cell>
          <cell r="I6403" t="str">
            <v>L003 Ankleshwar</v>
          </cell>
          <cell r="J6403" t="str">
            <v>99 Input/Byprodt/Scrap</v>
          </cell>
          <cell r="K6403" t="str">
            <v>10.2012</v>
          </cell>
          <cell r="L6403">
            <v>6</v>
          </cell>
          <cell r="M6403" t="str">
            <v>EA</v>
          </cell>
          <cell r="N6403">
            <v>701.15999999999894</v>
          </cell>
          <cell r="O6403" t="str">
            <v>INR</v>
          </cell>
        </row>
        <row r="6404">
          <cell r="A6404" t="str">
            <v>L003 Ankleshwar</v>
          </cell>
          <cell r="B6404">
            <v>728431</v>
          </cell>
          <cell r="C6404" t="str">
            <v>RUBBER BUCH WITH WOODEN HANDLE</v>
          </cell>
          <cell r="D6404" t="str">
            <v>L0030151                       EnggStore</v>
          </cell>
          <cell r="E6404" t="str">
            <v>E01 E01</v>
          </cell>
          <cell r="F6404" t="str">
            <v>VB Manual reorder point planning</v>
          </cell>
          <cell r="G6404" t="str">
            <v>HIBE Operating supplies</v>
          </cell>
          <cell r="H6404" t="str">
            <v>EN014     Housekeeping</v>
          </cell>
          <cell r="I6404" t="str">
            <v>L003 Ankleshwar</v>
          </cell>
          <cell r="J6404" t="str">
            <v>99 Input/Byprodt/Scrap</v>
          </cell>
          <cell r="K6404" t="str">
            <v>10.2012</v>
          </cell>
          <cell r="L6404">
            <v>4</v>
          </cell>
          <cell r="M6404" t="str">
            <v>EA</v>
          </cell>
          <cell r="N6404">
            <v>84</v>
          </cell>
          <cell r="O6404" t="str">
            <v>INR</v>
          </cell>
        </row>
        <row r="6405">
          <cell r="A6405" t="str">
            <v>L003 Ankleshwar</v>
          </cell>
          <cell r="B6405">
            <v>728432</v>
          </cell>
          <cell r="C6405" t="str">
            <v>TOILET BRUSH</v>
          </cell>
          <cell r="D6405" t="str">
            <v>L0030151                       EnggStore</v>
          </cell>
          <cell r="E6405" t="str">
            <v>E01 E01</v>
          </cell>
          <cell r="F6405" t="str">
            <v>VB Manual reorder point planning</v>
          </cell>
          <cell r="G6405" t="str">
            <v>HIBE Operating supplies</v>
          </cell>
          <cell r="H6405" t="str">
            <v>EN014     Housekeeping</v>
          </cell>
          <cell r="I6405" t="str">
            <v>L003 Ankleshwar</v>
          </cell>
          <cell r="J6405" t="str">
            <v>99 Input/Byprodt/Scrap</v>
          </cell>
          <cell r="K6405" t="str">
            <v>10.2012</v>
          </cell>
          <cell r="L6405">
            <v>14</v>
          </cell>
          <cell r="M6405" t="str">
            <v>EA</v>
          </cell>
          <cell r="N6405">
            <v>351.87</v>
          </cell>
          <cell r="O6405" t="str">
            <v>INR</v>
          </cell>
        </row>
        <row r="6406">
          <cell r="A6406" t="str">
            <v>L003 Ankleshwar</v>
          </cell>
          <cell r="B6406">
            <v>728436</v>
          </cell>
          <cell r="C6406" t="str">
            <v>WORKMEN GATE PASS BOOK 1X100 PAGE</v>
          </cell>
          <cell r="D6406" t="str">
            <v>L0030151                       EnggStore</v>
          </cell>
          <cell r="E6406" t="str">
            <v>E01 E01</v>
          </cell>
          <cell r="F6406" t="str">
            <v>VB Manual reorder point planning</v>
          </cell>
          <cell r="G6406" t="str">
            <v>HIBE Operating supplies</v>
          </cell>
          <cell r="H6406" t="str">
            <v>EN040     Prinitng &amp;Stationery</v>
          </cell>
          <cell r="I6406" t="str">
            <v>L003 Ankleshwar</v>
          </cell>
          <cell r="J6406" t="str">
            <v>99 Input/Byprodt/Scrap</v>
          </cell>
          <cell r="K6406" t="str">
            <v>10.2012</v>
          </cell>
          <cell r="L6406">
            <v>48</v>
          </cell>
          <cell r="M6406" t="str">
            <v>EA</v>
          </cell>
          <cell r="N6406">
            <v>1108.8</v>
          </cell>
          <cell r="O6406" t="str">
            <v>INR</v>
          </cell>
        </row>
        <row r="6407">
          <cell r="A6407" t="str">
            <v>L003 Ankleshwar</v>
          </cell>
          <cell r="B6407">
            <v>728436</v>
          </cell>
          <cell r="C6407" t="str">
            <v>WORKMEN GATE PASS BOOK 1X100 PAGE</v>
          </cell>
          <cell r="D6407" t="str">
            <v>L0030201                       Cons StoreKP</v>
          </cell>
          <cell r="E6407" t="str">
            <v>E01 E01</v>
          </cell>
          <cell r="F6407" t="str">
            <v>VB Manual reorder point planning</v>
          </cell>
          <cell r="G6407" t="str">
            <v>HIBE Operating supplies</v>
          </cell>
          <cell r="H6407" t="str">
            <v>EN040     Prinitng &amp;Stationery</v>
          </cell>
          <cell r="I6407" t="str">
            <v>L003 Ankleshwar</v>
          </cell>
          <cell r="J6407" t="str">
            <v>99 Input/Byprodt/Scrap</v>
          </cell>
          <cell r="K6407" t="str">
            <v>10.2012</v>
          </cell>
          <cell r="L6407">
            <v>1</v>
          </cell>
          <cell r="M6407" t="str">
            <v>EA</v>
          </cell>
          <cell r="N6407">
            <v>23.1</v>
          </cell>
          <cell r="O6407" t="str">
            <v>INR</v>
          </cell>
        </row>
        <row r="6408">
          <cell r="A6408" t="str">
            <v>L003 Ankleshwar</v>
          </cell>
          <cell r="B6408">
            <v>728482</v>
          </cell>
          <cell r="C6408" t="str">
            <v>DRYING BATCH SHEET OF CEFADROXIL</v>
          </cell>
          <cell r="D6408" t="str">
            <v>L0030151                       EnggStore</v>
          </cell>
          <cell r="E6408" t="str">
            <v>E01 E01</v>
          </cell>
          <cell r="F6408" t="str">
            <v>VB Manual reorder point planning</v>
          </cell>
          <cell r="G6408" t="str">
            <v>HIBE Operating supplies</v>
          </cell>
          <cell r="H6408" t="str">
            <v>EN040     Prinitng &amp;Stationery</v>
          </cell>
          <cell r="I6408" t="str">
            <v>L003 Ankleshwar</v>
          </cell>
          <cell r="J6408" t="str">
            <v>99 Input/Byprodt/Scrap</v>
          </cell>
          <cell r="K6408" t="str">
            <v>10.2012</v>
          </cell>
          <cell r="L6408">
            <v>2</v>
          </cell>
          <cell r="M6408" t="str">
            <v>EA</v>
          </cell>
          <cell r="N6408">
            <v>176.71</v>
          </cell>
          <cell r="O6408" t="str">
            <v>INR</v>
          </cell>
        </row>
        <row r="6409">
          <cell r="A6409" t="str">
            <v>L003 Ankleshwar</v>
          </cell>
          <cell r="B6409">
            <v>728482</v>
          </cell>
          <cell r="C6409" t="str">
            <v>DRYING BATCH SHEET OF CEFADROXIL</v>
          </cell>
          <cell r="D6409" t="str">
            <v>L0030201                       Cons StoreKP</v>
          </cell>
          <cell r="E6409" t="str">
            <v>E01 E01</v>
          </cell>
          <cell r="F6409" t="str">
            <v>VB Manual reorder point planning</v>
          </cell>
          <cell r="G6409" t="str">
            <v>HIBE Operating supplies</v>
          </cell>
          <cell r="H6409" t="str">
            <v>EN040     Prinitng &amp;Stationery</v>
          </cell>
          <cell r="I6409" t="str">
            <v>L003 Ankleshwar</v>
          </cell>
          <cell r="J6409" t="str">
            <v>99 Input/Byprodt/Scrap</v>
          </cell>
          <cell r="K6409" t="str">
            <v>10.2012</v>
          </cell>
          <cell r="L6409">
            <v>3</v>
          </cell>
          <cell r="M6409" t="str">
            <v>EA</v>
          </cell>
          <cell r="N6409">
            <v>265.06999999999903</v>
          </cell>
          <cell r="O6409" t="str">
            <v>INR</v>
          </cell>
        </row>
        <row r="6410">
          <cell r="A6410" t="str">
            <v>L003 Ankleshwar</v>
          </cell>
          <cell r="B6410">
            <v>728484</v>
          </cell>
          <cell r="C6410" t="str">
            <v>SIFTER BATCH SHEET AFTER BLENDING</v>
          </cell>
          <cell r="D6410" t="str">
            <v>L0030151                       EnggStore</v>
          </cell>
          <cell r="E6410" t="str">
            <v>E01 E01</v>
          </cell>
          <cell r="F6410" t="str">
            <v>VB Manual reorder point planning</v>
          </cell>
          <cell r="G6410" t="str">
            <v>HIBE Operating supplies</v>
          </cell>
          <cell r="H6410" t="str">
            <v>EN040     Prinitng &amp;Stationery</v>
          </cell>
          <cell r="I6410" t="str">
            <v>L003 Ankleshwar</v>
          </cell>
          <cell r="J6410" t="str">
            <v>99 Input/Byprodt/Scrap</v>
          </cell>
          <cell r="K6410" t="str">
            <v>10.2012</v>
          </cell>
          <cell r="L6410">
            <v>5</v>
          </cell>
          <cell r="M6410" t="str">
            <v>EA</v>
          </cell>
          <cell r="N6410">
            <v>656.25</v>
          </cell>
          <cell r="O6410" t="str">
            <v>INR</v>
          </cell>
        </row>
        <row r="6411">
          <cell r="A6411" t="str">
            <v>L003 Ankleshwar</v>
          </cell>
          <cell r="B6411">
            <v>728485</v>
          </cell>
          <cell r="C6411" t="str">
            <v>SIFTER BATCH SHEET  OF CEFADROXIL PLANT</v>
          </cell>
          <cell r="D6411" t="str">
            <v>L0030201                       Cons StoreKP</v>
          </cell>
          <cell r="E6411" t="str">
            <v>E01 E01</v>
          </cell>
          <cell r="F6411" t="str">
            <v>VB Manual reorder point planning</v>
          </cell>
          <cell r="G6411" t="str">
            <v>HIBE Operating supplies</v>
          </cell>
          <cell r="H6411" t="str">
            <v>EN040     Prinitng &amp;Stationery</v>
          </cell>
          <cell r="I6411" t="str">
            <v>L003 Ankleshwar</v>
          </cell>
          <cell r="J6411" t="str">
            <v>99 Input/Byprodt/Scrap</v>
          </cell>
          <cell r="K6411" t="str">
            <v>10.2012</v>
          </cell>
          <cell r="L6411">
            <v>6</v>
          </cell>
          <cell r="M6411" t="str">
            <v>EA</v>
          </cell>
          <cell r="N6411">
            <v>2550</v>
          </cell>
          <cell r="O6411" t="str">
            <v>INR</v>
          </cell>
        </row>
        <row r="6412">
          <cell r="A6412" t="str">
            <v>L003 Ankleshwar</v>
          </cell>
          <cell r="B6412">
            <v>728565</v>
          </cell>
          <cell r="C6412" t="str">
            <v>FOR REMOVAL OF EXCISABLE GOODS 1+3 PAGE</v>
          </cell>
          <cell r="D6412" t="str">
            <v>L0030151                       EnggStore</v>
          </cell>
          <cell r="E6412" t="str">
            <v>E42 E42</v>
          </cell>
          <cell r="F6412" t="str">
            <v>VB Manual reorder point planning</v>
          </cell>
          <cell r="G6412" t="str">
            <v>HIBE Operating supplies</v>
          </cell>
          <cell r="H6412" t="str">
            <v>EN040     Prinitng &amp;Stationery</v>
          </cell>
          <cell r="I6412" t="str">
            <v>L003 Ankleshwar</v>
          </cell>
          <cell r="J6412" t="str">
            <v>99 Input/Byprodt/Scrap</v>
          </cell>
          <cell r="K6412" t="str">
            <v>10.2012</v>
          </cell>
          <cell r="L6412">
            <v>7</v>
          </cell>
          <cell r="M6412" t="str">
            <v>BOX</v>
          </cell>
          <cell r="N6412">
            <v>21866.25</v>
          </cell>
          <cell r="O6412" t="str">
            <v>INR</v>
          </cell>
        </row>
        <row r="6413">
          <cell r="A6413" t="str">
            <v>L003 Ankleshwar</v>
          </cell>
          <cell r="B6413">
            <v>728694</v>
          </cell>
          <cell r="C6413" t="str">
            <v>Q105 NF 3502 FILTER BAG 91" DIA</v>
          </cell>
          <cell r="D6413" t="str">
            <v>L0030151                       EnggStore</v>
          </cell>
          <cell r="E6413" t="str">
            <v>E42 E42</v>
          </cell>
          <cell r="F6413" t="str">
            <v>VB Manual reorder point planning</v>
          </cell>
          <cell r="G6413" t="str">
            <v>HIBE Operating supplies</v>
          </cell>
          <cell r="H6413" t="str">
            <v>EN027     Prod&amp;OtherConsumable</v>
          </cell>
          <cell r="I6413" t="str">
            <v>L003 Ankleshwar</v>
          </cell>
          <cell r="J6413" t="str">
            <v>99 Input/Byprodt/Scrap</v>
          </cell>
          <cell r="K6413" t="str">
            <v>10.2012</v>
          </cell>
          <cell r="L6413">
            <v>1</v>
          </cell>
          <cell r="M6413" t="str">
            <v>EA</v>
          </cell>
          <cell r="N6413">
            <v>909.62</v>
          </cell>
          <cell r="O6413" t="str">
            <v>INR</v>
          </cell>
        </row>
        <row r="6414">
          <cell r="A6414" t="str">
            <v>L003 Ankleshwar</v>
          </cell>
          <cell r="B6414">
            <v>728694</v>
          </cell>
          <cell r="C6414" t="str">
            <v>Q105 NF 3502 FILTER BAG 91" DIA</v>
          </cell>
          <cell r="D6414" t="str">
            <v>L0030201                       Cons StoreKP</v>
          </cell>
          <cell r="E6414" t="str">
            <v>E42 E42</v>
          </cell>
          <cell r="F6414" t="str">
            <v>VB Manual reorder point planning</v>
          </cell>
          <cell r="G6414" t="str">
            <v>HIBE Operating supplies</v>
          </cell>
          <cell r="H6414" t="str">
            <v>EN027     Prod&amp;OtherConsumable</v>
          </cell>
          <cell r="I6414" t="str">
            <v>L003 Ankleshwar</v>
          </cell>
          <cell r="J6414" t="str">
            <v>99 Input/Byprodt/Scrap</v>
          </cell>
          <cell r="K6414" t="str">
            <v>10.2012</v>
          </cell>
          <cell r="L6414">
            <v>3</v>
          </cell>
          <cell r="M6414" t="str">
            <v>EA</v>
          </cell>
          <cell r="N6414">
            <v>2728.8499999999899</v>
          </cell>
          <cell r="O6414" t="str">
            <v>INR</v>
          </cell>
        </row>
        <row r="6415">
          <cell r="A6415" t="str">
            <v>L003 Ankleshwar</v>
          </cell>
          <cell r="B6415">
            <v>728700</v>
          </cell>
          <cell r="C6415" t="str">
            <v>STERILLIUM DISINFECTANT</v>
          </cell>
          <cell r="D6415" t="str">
            <v>L0030151                       EnggStore</v>
          </cell>
          <cell r="E6415" t="str">
            <v>E01 E01</v>
          </cell>
          <cell r="F6415" t="str">
            <v>ND No planning</v>
          </cell>
          <cell r="G6415" t="str">
            <v>HIBE Operating supplies</v>
          </cell>
          <cell r="H6415" t="str">
            <v>EN014     Housekeeping</v>
          </cell>
          <cell r="I6415" t="str">
            <v>L003 Ankleshwar</v>
          </cell>
          <cell r="J6415" t="str">
            <v>99 Input/Byprodt/Scrap</v>
          </cell>
          <cell r="K6415" t="str">
            <v>10.2012</v>
          </cell>
          <cell r="L6415">
            <v>2</v>
          </cell>
          <cell r="M6415" t="str">
            <v>EA</v>
          </cell>
          <cell r="N6415">
            <v>679.98</v>
          </cell>
          <cell r="O6415" t="str">
            <v>INR</v>
          </cell>
        </row>
        <row r="6416">
          <cell r="A6416" t="str">
            <v>L003 Ankleshwar</v>
          </cell>
          <cell r="B6416">
            <v>728726</v>
          </cell>
          <cell r="C6416" t="str">
            <v>COMMON MATERIAL</v>
          </cell>
          <cell r="D6416" t="str">
            <v>L0030151                       EnggStore</v>
          </cell>
          <cell r="E6416">
            <v>0</v>
          </cell>
          <cell r="F6416" t="str">
            <v>ND No planning</v>
          </cell>
          <cell r="G6416" t="str">
            <v>HIBE Operating supplies</v>
          </cell>
          <cell r="H6416" t="str">
            <v>EN027     Prod&amp;OtherConsumable</v>
          </cell>
          <cell r="I6416" t="str">
            <v>L003 Ankleshwar</v>
          </cell>
          <cell r="J6416" t="str">
            <v>99 Input/Byprodt/Scrap</v>
          </cell>
          <cell r="K6416" t="str">
            <v>10.2012</v>
          </cell>
          <cell r="L6416">
            <v>1</v>
          </cell>
          <cell r="M6416" t="str">
            <v>EA</v>
          </cell>
          <cell r="N6416">
            <v>3103.25</v>
          </cell>
          <cell r="O6416" t="str">
            <v>INR</v>
          </cell>
        </row>
        <row r="6417">
          <cell r="A6417" t="str">
            <v>L003 Ankleshwar</v>
          </cell>
          <cell r="B6417">
            <v>728756</v>
          </cell>
          <cell r="C6417" t="str">
            <v>HMDS AMMONIA CONSU DETAILS 1X100PAGE</v>
          </cell>
          <cell r="D6417" t="str">
            <v>L0030151                       EnggStore</v>
          </cell>
          <cell r="E6417" t="str">
            <v>E01 E01</v>
          </cell>
          <cell r="F6417" t="str">
            <v>VB Manual reorder point planning</v>
          </cell>
          <cell r="G6417" t="str">
            <v>HIBE Operating supplies</v>
          </cell>
          <cell r="H6417" t="str">
            <v>EN040     Prinitng &amp;Stationery</v>
          </cell>
          <cell r="I6417" t="str">
            <v>L003 Ankleshwar</v>
          </cell>
          <cell r="J6417" t="str">
            <v>99 Input/Byprodt/Scrap</v>
          </cell>
          <cell r="K6417" t="str">
            <v>10.2012</v>
          </cell>
          <cell r="L6417">
            <v>6</v>
          </cell>
          <cell r="M6417" t="str">
            <v>EA</v>
          </cell>
          <cell r="N6417">
            <v>428.39999999999901</v>
          </cell>
          <cell r="O6417" t="str">
            <v>INR</v>
          </cell>
        </row>
        <row r="6418">
          <cell r="A6418" t="str">
            <v>L003 Ankleshwar</v>
          </cell>
          <cell r="B6418">
            <v>728757</v>
          </cell>
          <cell r="C6418" t="str">
            <v>CHECK LIST FOR SO DEHYDRATION 1X100PAGE</v>
          </cell>
          <cell r="D6418" t="str">
            <v>L0030151                       EnggStore</v>
          </cell>
          <cell r="E6418" t="str">
            <v>E01 E01</v>
          </cell>
          <cell r="F6418" t="str">
            <v>VB Manual reorder point planning</v>
          </cell>
          <cell r="G6418" t="str">
            <v>HIBE Operating supplies</v>
          </cell>
          <cell r="H6418" t="str">
            <v>EN040     Prinitng &amp;Stationery</v>
          </cell>
          <cell r="I6418" t="str">
            <v>L003 Ankleshwar</v>
          </cell>
          <cell r="J6418" t="str">
            <v>99 Input/Byprodt/Scrap</v>
          </cell>
          <cell r="K6418" t="str">
            <v>10.2012</v>
          </cell>
          <cell r="L6418">
            <v>4</v>
          </cell>
          <cell r="M6418" t="str">
            <v>EA</v>
          </cell>
          <cell r="N6418">
            <v>324.69</v>
          </cell>
          <cell r="O6418" t="str">
            <v>INR</v>
          </cell>
        </row>
        <row r="6419">
          <cell r="A6419" t="str">
            <v>L003 Ankleshwar</v>
          </cell>
          <cell r="B6419">
            <v>728761</v>
          </cell>
          <cell r="C6419" t="str">
            <v>PAINT MARKER PEN</v>
          </cell>
          <cell r="D6419" t="str">
            <v>L0030151                       EnggStore</v>
          </cell>
          <cell r="E6419" t="str">
            <v>E01 E01</v>
          </cell>
          <cell r="F6419" t="str">
            <v>ND No planning</v>
          </cell>
          <cell r="G6419" t="str">
            <v>HIBE Operating supplies</v>
          </cell>
          <cell r="H6419" t="str">
            <v>EN040     Prinitng &amp;Stationery</v>
          </cell>
          <cell r="I6419" t="str">
            <v>L003 Ankleshwar</v>
          </cell>
          <cell r="J6419" t="str">
            <v>99 Input/Byprodt/Scrap</v>
          </cell>
          <cell r="K6419" t="str">
            <v>10.2012</v>
          </cell>
          <cell r="L6419">
            <v>7</v>
          </cell>
          <cell r="M6419" t="str">
            <v>EA</v>
          </cell>
          <cell r="N6419">
            <v>321.76999999999902</v>
          </cell>
          <cell r="O6419" t="str">
            <v>INR</v>
          </cell>
        </row>
        <row r="6420">
          <cell r="A6420" t="str">
            <v>L003 Ankleshwar</v>
          </cell>
          <cell r="B6420">
            <v>728908</v>
          </cell>
          <cell r="C6420" t="str">
            <v>SIFTER CHUTE,DT-105 13"X19"TERELYNE CLO.</v>
          </cell>
          <cell r="D6420" t="str">
            <v>L0030151                       EnggStore</v>
          </cell>
          <cell r="E6420" t="str">
            <v>E01 E01</v>
          </cell>
          <cell r="F6420" t="str">
            <v>VB Manual reorder point planning</v>
          </cell>
          <cell r="G6420" t="str">
            <v>HIBE Operating supplies</v>
          </cell>
          <cell r="H6420" t="str">
            <v>EN027     Prod&amp;OtherConsumable</v>
          </cell>
          <cell r="I6420" t="str">
            <v>L003 Ankleshwar</v>
          </cell>
          <cell r="J6420" t="str">
            <v>99 Input/Byprodt/Scrap</v>
          </cell>
          <cell r="K6420" t="str">
            <v>10.2012</v>
          </cell>
          <cell r="L6420">
            <v>2</v>
          </cell>
          <cell r="M6420" t="str">
            <v>EA</v>
          </cell>
          <cell r="N6420">
            <v>294</v>
          </cell>
          <cell r="O6420" t="str">
            <v>INR</v>
          </cell>
        </row>
        <row r="6421">
          <cell r="A6421" t="str">
            <v>L003 Ankleshwar</v>
          </cell>
          <cell r="B6421">
            <v>728921</v>
          </cell>
          <cell r="C6421" t="str">
            <v>ISSUANCE AND CONTROL LOG BOOKS 1X50PAGE</v>
          </cell>
          <cell r="D6421" t="str">
            <v>L0030151                       EnggStore</v>
          </cell>
          <cell r="E6421" t="str">
            <v>E01 E01</v>
          </cell>
          <cell r="F6421" t="str">
            <v>VB Manual reorder point planning</v>
          </cell>
          <cell r="G6421" t="str">
            <v>HIBE Operating supplies</v>
          </cell>
          <cell r="H6421" t="str">
            <v>EN040     Prinitng &amp;Stationery</v>
          </cell>
          <cell r="I6421" t="str">
            <v>L003 Ankleshwar</v>
          </cell>
          <cell r="J6421" t="str">
            <v>99 Input/Byprodt/Scrap</v>
          </cell>
          <cell r="K6421" t="str">
            <v>10.2012</v>
          </cell>
          <cell r="L6421">
            <v>19</v>
          </cell>
          <cell r="M6421" t="str">
            <v>EA</v>
          </cell>
          <cell r="N6421">
            <v>3402.8299999999899</v>
          </cell>
          <cell r="O6421" t="str">
            <v>INR</v>
          </cell>
        </row>
        <row r="6422">
          <cell r="A6422" t="str">
            <v>L003 Ankleshwar</v>
          </cell>
          <cell r="B6422">
            <v>728922</v>
          </cell>
          <cell r="C6422" t="str">
            <v>BPR OF ROTOCONE DRYER 1X100 PAGE</v>
          </cell>
          <cell r="D6422" t="str">
            <v>L0030151                       EnggStore</v>
          </cell>
          <cell r="E6422" t="str">
            <v>E01 E01</v>
          </cell>
          <cell r="F6422" t="str">
            <v>VB Manual reorder point planning</v>
          </cell>
          <cell r="G6422" t="str">
            <v>HIBE Operating supplies</v>
          </cell>
          <cell r="H6422" t="str">
            <v>EN040     Prinitng &amp;Stationery</v>
          </cell>
          <cell r="I6422" t="str">
            <v>L003 Ankleshwar</v>
          </cell>
          <cell r="J6422" t="str">
            <v>99 Input/Byprodt/Scrap</v>
          </cell>
          <cell r="K6422" t="str">
            <v>10.2012</v>
          </cell>
          <cell r="L6422">
            <v>14</v>
          </cell>
          <cell r="M6422" t="str">
            <v>EA</v>
          </cell>
          <cell r="N6422">
            <v>1297.5</v>
          </cell>
          <cell r="O6422" t="str">
            <v>INR</v>
          </cell>
        </row>
        <row r="6423">
          <cell r="A6423" t="str">
            <v>L003 Ankleshwar</v>
          </cell>
          <cell r="B6423">
            <v>728923</v>
          </cell>
          <cell r="C6423" t="str">
            <v>DAILY REPORT OF RO &amp; SRP 1X100 PAGE</v>
          </cell>
          <cell r="D6423" t="str">
            <v>L0030151                       EnggStore</v>
          </cell>
          <cell r="E6423" t="str">
            <v>E01 E01</v>
          </cell>
          <cell r="F6423" t="str">
            <v>VB Manual reorder point planning</v>
          </cell>
          <cell r="G6423" t="str">
            <v>HIBE Operating supplies</v>
          </cell>
          <cell r="H6423" t="str">
            <v>EN040     Prinitng &amp;Stationery</v>
          </cell>
          <cell r="I6423" t="str">
            <v>L003 Ankleshwar</v>
          </cell>
          <cell r="J6423" t="str">
            <v>99 Input/Byprodt/Scrap</v>
          </cell>
          <cell r="K6423" t="str">
            <v>10.2012</v>
          </cell>
          <cell r="L6423">
            <v>9</v>
          </cell>
          <cell r="M6423" t="str">
            <v>EA</v>
          </cell>
          <cell r="N6423">
            <v>850.5</v>
          </cell>
          <cell r="O6423" t="str">
            <v>INR</v>
          </cell>
        </row>
        <row r="6424">
          <cell r="A6424" t="str">
            <v>L003 Ankleshwar</v>
          </cell>
          <cell r="B6424">
            <v>728924</v>
          </cell>
          <cell r="C6424" t="str">
            <v>BATCH SHEET FOR POWDER PROCESS AREA</v>
          </cell>
          <cell r="D6424" t="str">
            <v>L0030201                       Cons StoreKP</v>
          </cell>
          <cell r="E6424" t="str">
            <v>E01 E01</v>
          </cell>
          <cell r="F6424" t="str">
            <v>VB Manual reorder point planning</v>
          </cell>
          <cell r="G6424" t="str">
            <v>HIBE Operating supplies</v>
          </cell>
          <cell r="H6424" t="str">
            <v>EN040     Prinitng &amp;Stationery</v>
          </cell>
          <cell r="I6424" t="str">
            <v>L003 Ankleshwar</v>
          </cell>
          <cell r="J6424" t="str">
            <v>99 Input/Byprodt/Scrap</v>
          </cell>
          <cell r="K6424" t="str">
            <v>10.2012</v>
          </cell>
          <cell r="L6424">
            <v>10</v>
          </cell>
          <cell r="M6424" t="str">
            <v>EA</v>
          </cell>
          <cell r="N6424">
            <v>1100</v>
          </cell>
          <cell r="O6424" t="str">
            <v>INR</v>
          </cell>
        </row>
        <row r="6425">
          <cell r="A6425" t="str">
            <v>L003 Ankleshwar</v>
          </cell>
          <cell r="B6425">
            <v>729041</v>
          </cell>
          <cell r="C6425" t="str">
            <v>D.G.SET LOG SHEET 1 X 200 PAGE</v>
          </cell>
          <cell r="D6425" t="str">
            <v>L0030151                       EnggStore</v>
          </cell>
          <cell r="E6425" t="str">
            <v>E01 E01</v>
          </cell>
          <cell r="F6425" t="str">
            <v>VB Manual reorder point planning</v>
          </cell>
          <cell r="G6425" t="str">
            <v>HIBE Operating supplies</v>
          </cell>
          <cell r="H6425" t="str">
            <v>EN040     Prinitng &amp;Stationery</v>
          </cell>
          <cell r="I6425" t="str">
            <v>L003 Ankleshwar</v>
          </cell>
          <cell r="J6425" t="str">
            <v>99 Input/Byprodt/Scrap</v>
          </cell>
          <cell r="K6425" t="str">
            <v>10.2012</v>
          </cell>
          <cell r="L6425">
            <v>4</v>
          </cell>
          <cell r="M6425" t="str">
            <v>EA</v>
          </cell>
          <cell r="N6425">
            <v>1300</v>
          </cell>
          <cell r="O6425" t="str">
            <v>INR</v>
          </cell>
        </row>
        <row r="6426">
          <cell r="A6426" t="str">
            <v>L003 Ankleshwar</v>
          </cell>
          <cell r="B6426">
            <v>729160</v>
          </cell>
          <cell r="C6426" t="str">
            <v>PCC AMPERE READING SUB STATION 1X90PAGE</v>
          </cell>
          <cell r="D6426" t="str">
            <v>L0030151                       EnggStore</v>
          </cell>
          <cell r="E6426" t="str">
            <v>E01 E01</v>
          </cell>
          <cell r="F6426" t="str">
            <v>VB Manual reorder point planning</v>
          </cell>
          <cell r="G6426" t="str">
            <v>HIBE Operating supplies</v>
          </cell>
          <cell r="H6426" t="str">
            <v>EN040     Prinitng &amp;Stationery</v>
          </cell>
          <cell r="I6426" t="str">
            <v>L003 Ankleshwar</v>
          </cell>
          <cell r="J6426" t="str">
            <v>99 Input/Byprodt/Scrap</v>
          </cell>
          <cell r="K6426" t="str">
            <v>10.2012</v>
          </cell>
          <cell r="L6426">
            <v>4</v>
          </cell>
          <cell r="M6426" t="str">
            <v>EA</v>
          </cell>
          <cell r="N6426">
            <v>2400</v>
          </cell>
          <cell r="O6426" t="str">
            <v>INR</v>
          </cell>
        </row>
        <row r="6427">
          <cell r="A6427" t="str">
            <v>L003 Ankleshwar</v>
          </cell>
          <cell r="B6427">
            <v>729161</v>
          </cell>
          <cell r="C6427" t="str">
            <v>RGP REGISTER 1X200 PAGE</v>
          </cell>
          <cell r="D6427" t="str">
            <v>L0030151                       EnggStore</v>
          </cell>
          <cell r="E6427" t="str">
            <v>E01 E01</v>
          </cell>
          <cell r="F6427" t="str">
            <v>VB Manual reorder point planning</v>
          </cell>
          <cell r="G6427" t="str">
            <v>HIBE Operating supplies</v>
          </cell>
          <cell r="H6427" t="str">
            <v>EN040     Prinitng &amp;Stationery</v>
          </cell>
          <cell r="I6427" t="str">
            <v>L003 Ankleshwar</v>
          </cell>
          <cell r="J6427" t="str">
            <v>99 Input/Byprodt/Scrap</v>
          </cell>
          <cell r="K6427" t="str">
            <v>10.2012</v>
          </cell>
          <cell r="L6427">
            <v>3</v>
          </cell>
          <cell r="M6427" t="str">
            <v>EA</v>
          </cell>
          <cell r="N6427">
            <v>900</v>
          </cell>
          <cell r="O6427" t="str">
            <v>INR</v>
          </cell>
        </row>
        <row r="6428">
          <cell r="A6428" t="str">
            <v>L003 Ankleshwar</v>
          </cell>
          <cell r="B6428">
            <v>729192</v>
          </cell>
          <cell r="C6428" t="str">
            <v>3022LOG BOOK OF KC72G BRINE COMP(PLOT 9)</v>
          </cell>
          <cell r="D6428" t="str">
            <v>L0030151                       EnggStore</v>
          </cell>
          <cell r="E6428" t="str">
            <v>E01 E01</v>
          </cell>
          <cell r="F6428" t="str">
            <v>VB Manual reorder point planning</v>
          </cell>
          <cell r="G6428" t="str">
            <v>HIBE Operating supplies</v>
          </cell>
          <cell r="H6428" t="str">
            <v>EN040     Prinitng &amp;Stationery</v>
          </cell>
          <cell r="I6428" t="str">
            <v>L003 Ankleshwar</v>
          </cell>
          <cell r="J6428" t="str">
            <v>99 Input/Byprodt/Scrap</v>
          </cell>
          <cell r="K6428" t="str">
            <v>10.2012</v>
          </cell>
          <cell r="L6428">
            <v>1</v>
          </cell>
          <cell r="M6428" t="str">
            <v>EA</v>
          </cell>
          <cell r="N6428">
            <v>428.98</v>
          </cell>
          <cell r="O6428" t="str">
            <v>INR</v>
          </cell>
        </row>
        <row r="6429">
          <cell r="A6429" t="str">
            <v>L003 Ankleshwar</v>
          </cell>
          <cell r="B6429">
            <v>729192</v>
          </cell>
          <cell r="C6429" t="str">
            <v>3022LOG BOOK OF KC72G BRINE COMP(PLOT 9)</v>
          </cell>
          <cell r="D6429" t="str">
            <v>L0030201                       Cons StoreKP</v>
          </cell>
          <cell r="E6429" t="str">
            <v>E01 E01</v>
          </cell>
          <cell r="F6429" t="str">
            <v>VB Manual reorder point planning</v>
          </cell>
          <cell r="G6429" t="str">
            <v>HIBE Operating supplies</v>
          </cell>
          <cell r="H6429" t="str">
            <v>EN040     Prinitng &amp;Stationery</v>
          </cell>
          <cell r="I6429" t="str">
            <v>L003 Ankleshwar</v>
          </cell>
          <cell r="J6429" t="str">
            <v>99 Input/Byprodt/Scrap</v>
          </cell>
          <cell r="K6429" t="str">
            <v>10.2012</v>
          </cell>
          <cell r="L6429">
            <v>5</v>
          </cell>
          <cell r="M6429" t="str">
            <v>EA</v>
          </cell>
          <cell r="N6429">
            <v>2144.8899999999899</v>
          </cell>
          <cell r="O6429" t="str">
            <v>INR</v>
          </cell>
        </row>
        <row r="6430">
          <cell r="A6430" t="str">
            <v>L003 Ankleshwar</v>
          </cell>
          <cell r="B6430">
            <v>729193</v>
          </cell>
          <cell r="C6430" t="str">
            <v>LOG BOOK OF KC6D  BRINE COMP(PLOT 9)</v>
          </cell>
          <cell r="D6430" t="str">
            <v>L0030151                       EnggStore</v>
          </cell>
          <cell r="E6430" t="str">
            <v>E01 E01</v>
          </cell>
          <cell r="F6430" t="str">
            <v>VB Manual reorder point planning</v>
          </cell>
          <cell r="G6430" t="str">
            <v>HIBE Operating supplies</v>
          </cell>
          <cell r="H6430" t="str">
            <v>EN040     Prinitng &amp;Stationery</v>
          </cell>
          <cell r="I6430" t="str">
            <v>L003 Ankleshwar</v>
          </cell>
          <cell r="J6430" t="str">
            <v>99 Input/Byprodt/Scrap</v>
          </cell>
          <cell r="K6430" t="str">
            <v>10.2012</v>
          </cell>
          <cell r="L6430">
            <v>1</v>
          </cell>
          <cell r="M6430" t="str">
            <v>EA</v>
          </cell>
          <cell r="N6430">
            <v>427.52999999999901</v>
          </cell>
          <cell r="O6430" t="str">
            <v>INR</v>
          </cell>
        </row>
        <row r="6431">
          <cell r="A6431" t="str">
            <v>L003 Ankleshwar</v>
          </cell>
          <cell r="B6431">
            <v>729193</v>
          </cell>
          <cell r="C6431" t="str">
            <v>LOG BOOK OF KC6D  BRINE COMP(PLOT 9)</v>
          </cell>
          <cell r="D6431" t="str">
            <v>L0030201                       Cons StoreKP</v>
          </cell>
          <cell r="E6431" t="str">
            <v>E01 E01</v>
          </cell>
          <cell r="F6431" t="str">
            <v>VB Manual reorder point planning</v>
          </cell>
          <cell r="G6431" t="str">
            <v>HIBE Operating supplies</v>
          </cell>
          <cell r="H6431" t="str">
            <v>EN040     Prinitng &amp;Stationery</v>
          </cell>
          <cell r="I6431" t="str">
            <v>L003 Ankleshwar</v>
          </cell>
          <cell r="J6431" t="str">
            <v>99 Input/Byprodt/Scrap</v>
          </cell>
          <cell r="K6431" t="str">
            <v>10.2012</v>
          </cell>
          <cell r="L6431">
            <v>6</v>
          </cell>
          <cell r="M6431" t="str">
            <v>EA</v>
          </cell>
          <cell r="N6431">
            <v>2565.1599999999899</v>
          </cell>
          <cell r="O6431" t="str">
            <v>INR</v>
          </cell>
        </row>
        <row r="6432">
          <cell r="A6432" t="str">
            <v>L003 Ankleshwar</v>
          </cell>
          <cell r="B6432">
            <v>729409</v>
          </cell>
          <cell r="C6432" t="str">
            <v>PGESO TO 7ACCA PRODUCTION REGISTER</v>
          </cell>
          <cell r="D6432" t="str">
            <v>L0030201                       Cons StoreKP</v>
          </cell>
          <cell r="E6432" t="str">
            <v>E01 E01</v>
          </cell>
          <cell r="F6432" t="str">
            <v>VB Manual reorder point planning</v>
          </cell>
          <cell r="G6432" t="str">
            <v>HIBE Operating supplies</v>
          </cell>
          <cell r="H6432" t="str">
            <v>EN040     Prinitng &amp;Stationery</v>
          </cell>
          <cell r="I6432" t="str">
            <v>L003 Ankleshwar</v>
          </cell>
          <cell r="J6432" t="str">
            <v>99 Input/Byprodt/Scrap</v>
          </cell>
          <cell r="K6432" t="str">
            <v>10.2012</v>
          </cell>
          <cell r="L6432">
            <v>5</v>
          </cell>
          <cell r="M6432" t="str">
            <v>EA</v>
          </cell>
          <cell r="N6432">
            <v>3750</v>
          </cell>
          <cell r="O6432" t="str">
            <v>INR</v>
          </cell>
        </row>
        <row r="6433">
          <cell r="A6433" t="str">
            <v>L003 Ankleshwar</v>
          </cell>
          <cell r="B6433">
            <v>729423</v>
          </cell>
          <cell r="C6433" t="str">
            <v>3 PGCLE MONITORING SHEET 1+3X50SET</v>
          </cell>
          <cell r="D6433" t="str">
            <v>L0030151                       EnggStore</v>
          </cell>
          <cell r="E6433" t="str">
            <v>E01 E01</v>
          </cell>
          <cell r="F6433" t="str">
            <v>VB Manual reorder point planning</v>
          </cell>
          <cell r="G6433" t="str">
            <v>HIBE Operating supplies</v>
          </cell>
          <cell r="H6433" t="str">
            <v>EN040     Prinitng &amp;Stationery</v>
          </cell>
          <cell r="I6433" t="str">
            <v>L003 Ankleshwar</v>
          </cell>
          <cell r="J6433" t="str">
            <v>99 Input/Byprodt/Scrap</v>
          </cell>
          <cell r="K6433" t="str">
            <v>10.2012</v>
          </cell>
          <cell r="L6433">
            <v>8</v>
          </cell>
          <cell r="M6433" t="str">
            <v>EA</v>
          </cell>
          <cell r="N6433">
            <v>1512.3699999999899</v>
          </cell>
          <cell r="O6433" t="str">
            <v>INR</v>
          </cell>
        </row>
        <row r="6434">
          <cell r="A6434" t="str">
            <v>L003 Ankleshwar</v>
          </cell>
          <cell r="B6434">
            <v>729427</v>
          </cell>
          <cell r="C6434" t="str">
            <v>PLASTIC WATER JUG 2 LTR</v>
          </cell>
          <cell r="D6434" t="str">
            <v>L0030151                       EnggStore</v>
          </cell>
          <cell r="E6434" t="str">
            <v>E42 E42</v>
          </cell>
          <cell r="F6434" t="str">
            <v>VB Manual reorder point planning</v>
          </cell>
          <cell r="G6434" t="str">
            <v>HIBE Operating supplies</v>
          </cell>
          <cell r="H6434" t="str">
            <v>EN040     Prinitng &amp;Stationery</v>
          </cell>
          <cell r="I6434" t="str">
            <v>L003 Ankleshwar</v>
          </cell>
          <cell r="J6434" t="str">
            <v>99 Input/Byprodt/Scrap</v>
          </cell>
          <cell r="K6434" t="str">
            <v>10.2012</v>
          </cell>
          <cell r="L6434">
            <v>7</v>
          </cell>
          <cell r="M6434" t="str">
            <v>EA</v>
          </cell>
          <cell r="N6434">
            <v>258.56</v>
          </cell>
          <cell r="O6434" t="str">
            <v>INR</v>
          </cell>
        </row>
        <row r="6435">
          <cell r="A6435" t="str">
            <v>L003 Ankleshwar</v>
          </cell>
          <cell r="B6435">
            <v>729427</v>
          </cell>
          <cell r="C6435" t="str">
            <v>PLASTIC WATER JUG 2 LTR</v>
          </cell>
          <cell r="D6435" t="str">
            <v>L0030201                       Cons StoreKP</v>
          </cell>
          <cell r="E6435" t="str">
            <v>E42 E42</v>
          </cell>
          <cell r="F6435" t="str">
            <v>VB Manual reorder point planning</v>
          </cell>
          <cell r="G6435" t="str">
            <v>HIBE Operating supplies</v>
          </cell>
          <cell r="H6435" t="str">
            <v>EN040     Prinitng &amp;Stationery</v>
          </cell>
          <cell r="I6435" t="str">
            <v>L003 Ankleshwar</v>
          </cell>
          <cell r="J6435" t="str">
            <v>99 Input/Byprodt/Scrap</v>
          </cell>
          <cell r="K6435" t="str">
            <v>10.2012</v>
          </cell>
          <cell r="L6435">
            <v>2</v>
          </cell>
          <cell r="M6435" t="str">
            <v>EA</v>
          </cell>
          <cell r="N6435">
            <v>73.87</v>
          </cell>
          <cell r="O6435" t="str">
            <v>INR</v>
          </cell>
        </row>
        <row r="6436">
          <cell r="A6436" t="str">
            <v>L003 Ankleshwar</v>
          </cell>
          <cell r="B6436">
            <v>729439</v>
          </cell>
          <cell r="C6436" t="str">
            <v>WHITE PAINT MARKER PEN</v>
          </cell>
          <cell r="D6436" t="str">
            <v>L0030151                       EnggStore</v>
          </cell>
          <cell r="E6436" t="str">
            <v>E42 E42</v>
          </cell>
          <cell r="F6436" t="str">
            <v>VB Manual reorder point planning</v>
          </cell>
          <cell r="G6436" t="str">
            <v>HIBE Operating supplies</v>
          </cell>
          <cell r="H6436" t="str">
            <v>EN040     Prinitng &amp;Stationery</v>
          </cell>
          <cell r="I6436" t="str">
            <v>L003 Ankleshwar</v>
          </cell>
          <cell r="J6436" t="str">
            <v>99 Input/Byprodt/Scrap</v>
          </cell>
          <cell r="K6436" t="str">
            <v>10.2012</v>
          </cell>
          <cell r="L6436">
            <v>6</v>
          </cell>
          <cell r="M6436" t="str">
            <v>EA</v>
          </cell>
          <cell r="N6436">
            <v>275.81</v>
          </cell>
          <cell r="O6436" t="str">
            <v>INR</v>
          </cell>
        </row>
        <row r="6437">
          <cell r="A6437" t="str">
            <v>L003 Ankleshwar</v>
          </cell>
          <cell r="B6437">
            <v>729439</v>
          </cell>
          <cell r="C6437" t="str">
            <v>WHITE PAINT MARKER PEN</v>
          </cell>
          <cell r="D6437" t="str">
            <v>L0030201                       Cons StoreKP</v>
          </cell>
          <cell r="E6437" t="str">
            <v>E42 E42</v>
          </cell>
          <cell r="F6437" t="str">
            <v>VB Manual reorder point planning</v>
          </cell>
          <cell r="G6437" t="str">
            <v>HIBE Operating supplies</v>
          </cell>
          <cell r="H6437" t="str">
            <v>EN040     Prinitng &amp;Stationery</v>
          </cell>
          <cell r="I6437" t="str">
            <v>L003 Ankleshwar</v>
          </cell>
          <cell r="J6437" t="str">
            <v>99 Input/Byprodt/Scrap</v>
          </cell>
          <cell r="K6437" t="str">
            <v>10.2012</v>
          </cell>
          <cell r="L6437">
            <v>9</v>
          </cell>
          <cell r="M6437" t="str">
            <v>EA</v>
          </cell>
          <cell r="N6437">
            <v>413.70999999999901</v>
          </cell>
          <cell r="O6437" t="str">
            <v>INR</v>
          </cell>
        </row>
        <row r="6438">
          <cell r="A6438" t="str">
            <v>L003 Ankleshwar</v>
          </cell>
          <cell r="B6438">
            <v>729456</v>
          </cell>
          <cell r="C6438" t="str">
            <v>D-900S ANF-4406 FILTER CLOTH 64"DIA</v>
          </cell>
          <cell r="D6438" t="str">
            <v>L0030201                       Cons StoreKP</v>
          </cell>
          <cell r="E6438" t="str">
            <v>E01 E01</v>
          </cell>
          <cell r="F6438" t="str">
            <v>VB Manual reorder point planning</v>
          </cell>
          <cell r="G6438" t="str">
            <v>HIBE Operating supplies</v>
          </cell>
          <cell r="H6438" t="str">
            <v>EN027     Prod&amp;OtherConsumable</v>
          </cell>
          <cell r="I6438" t="str">
            <v>L003 Ankleshwar</v>
          </cell>
          <cell r="J6438" t="str">
            <v>99 Input/Byprodt/Scrap</v>
          </cell>
          <cell r="K6438" t="str">
            <v>10.2012</v>
          </cell>
          <cell r="L6438">
            <v>2</v>
          </cell>
          <cell r="M6438" t="str">
            <v>EA</v>
          </cell>
          <cell r="N6438">
            <v>1260</v>
          </cell>
          <cell r="O6438" t="str">
            <v>INR</v>
          </cell>
        </row>
        <row r="6439">
          <cell r="A6439" t="str">
            <v>L003 Ankleshwar</v>
          </cell>
          <cell r="B6439">
            <v>729476</v>
          </cell>
          <cell r="C6439" t="str">
            <v>PLAIN STICKER 3"X1-1/2"</v>
          </cell>
          <cell r="D6439" t="str">
            <v>L0030151                       EnggStore</v>
          </cell>
          <cell r="E6439" t="str">
            <v>E42 E42</v>
          </cell>
          <cell r="F6439" t="str">
            <v>VB Manual reorder point planning</v>
          </cell>
          <cell r="G6439" t="str">
            <v>HIBE Operating supplies</v>
          </cell>
          <cell r="H6439" t="str">
            <v>EN040     Prinitng &amp;Stationery</v>
          </cell>
          <cell r="I6439" t="str">
            <v>L003 Ankleshwar</v>
          </cell>
          <cell r="J6439" t="str">
            <v>99 Input/Byprodt/Scrap</v>
          </cell>
          <cell r="K6439" t="str">
            <v>10.2012</v>
          </cell>
          <cell r="L6439">
            <v>200</v>
          </cell>
          <cell r="M6439" t="str">
            <v>EA</v>
          </cell>
          <cell r="N6439">
            <v>50.399999999999899</v>
          </cell>
          <cell r="O6439" t="str">
            <v>INR</v>
          </cell>
        </row>
        <row r="6440">
          <cell r="A6440" t="str">
            <v>L003 Ankleshwar</v>
          </cell>
          <cell r="B6440">
            <v>729476</v>
          </cell>
          <cell r="C6440" t="str">
            <v>PLAIN STICKER 3"X1-1/2"</v>
          </cell>
          <cell r="D6440" t="str">
            <v>L0030201                       Cons StoreKP</v>
          </cell>
          <cell r="E6440" t="str">
            <v>E42 E42</v>
          </cell>
          <cell r="F6440" t="str">
            <v>VB Manual reorder point planning</v>
          </cell>
          <cell r="G6440" t="str">
            <v>HIBE Operating supplies</v>
          </cell>
          <cell r="H6440" t="str">
            <v>EN040     Prinitng &amp;Stationery</v>
          </cell>
          <cell r="I6440" t="str">
            <v>L003 Ankleshwar</v>
          </cell>
          <cell r="J6440" t="str">
            <v>99 Input/Byprodt/Scrap</v>
          </cell>
          <cell r="K6440" t="str">
            <v>10.2012</v>
          </cell>
          <cell r="L6440">
            <v>970</v>
          </cell>
          <cell r="M6440" t="str">
            <v>EA</v>
          </cell>
          <cell r="N6440">
            <v>244.44</v>
          </cell>
          <cell r="O6440" t="str">
            <v>INR</v>
          </cell>
        </row>
        <row r="6441">
          <cell r="A6441" t="str">
            <v>L003 Ankleshwar</v>
          </cell>
          <cell r="B6441">
            <v>729477</v>
          </cell>
          <cell r="C6441" t="str">
            <v>PLAIN STICKER 2"X1"</v>
          </cell>
          <cell r="D6441" t="str">
            <v>L0030201                       Cons StoreKP</v>
          </cell>
          <cell r="E6441" t="str">
            <v>E01 E01</v>
          </cell>
          <cell r="F6441" t="str">
            <v>VB Manual reorder point planning</v>
          </cell>
          <cell r="G6441" t="str">
            <v>HIBE Operating supplies</v>
          </cell>
          <cell r="H6441" t="str">
            <v>EN040     Prinitng &amp;Stationery</v>
          </cell>
          <cell r="I6441" t="str">
            <v>L003 Ankleshwar</v>
          </cell>
          <cell r="J6441" t="str">
            <v>99 Input/Byprodt/Scrap</v>
          </cell>
          <cell r="K6441" t="str">
            <v>10.2012</v>
          </cell>
          <cell r="L6441">
            <v>1900</v>
          </cell>
          <cell r="M6441" t="str">
            <v>EA</v>
          </cell>
          <cell r="N6441">
            <v>199.5</v>
          </cell>
          <cell r="O6441" t="str">
            <v>INR</v>
          </cell>
        </row>
        <row r="6442">
          <cell r="A6442" t="str">
            <v>L003 Ankleshwar</v>
          </cell>
          <cell r="B6442">
            <v>729486</v>
          </cell>
          <cell r="C6442" t="str">
            <v>CFL SRP LOG BOOK 1X35 PAGE</v>
          </cell>
          <cell r="D6442" t="str">
            <v>L0030201                       Cons StoreKP</v>
          </cell>
          <cell r="E6442" t="str">
            <v>E01 E01</v>
          </cell>
          <cell r="F6442" t="str">
            <v>VB Manual reorder point planning</v>
          </cell>
          <cell r="G6442" t="str">
            <v>HIBE Operating supplies</v>
          </cell>
          <cell r="H6442" t="str">
            <v>EN040     Prinitng &amp;Stationery</v>
          </cell>
          <cell r="I6442" t="str">
            <v>L003 Ankleshwar</v>
          </cell>
          <cell r="J6442" t="str">
            <v>99 Input/Byprodt/Scrap</v>
          </cell>
          <cell r="K6442" t="str">
            <v>10.2012</v>
          </cell>
          <cell r="L6442">
            <v>5</v>
          </cell>
          <cell r="M6442" t="str">
            <v>EA</v>
          </cell>
          <cell r="N6442">
            <v>2250</v>
          </cell>
          <cell r="O6442" t="str">
            <v>INR</v>
          </cell>
        </row>
        <row r="6443">
          <cell r="A6443" t="str">
            <v>L003 Ankleshwar</v>
          </cell>
          <cell r="B6443">
            <v>729495</v>
          </cell>
          <cell r="C6443" t="str">
            <v>WHITE CHOKE STICK</v>
          </cell>
          <cell r="D6443" t="str">
            <v>L0030151                       EnggStore</v>
          </cell>
          <cell r="E6443" t="str">
            <v>E42 E42</v>
          </cell>
          <cell r="F6443" t="str">
            <v>VB Manual reorder point planning</v>
          </cell>
          <cell r="G6443" t="str">
            <v>HIBE Operating supplies</v>
          </cell>
          <cell r="H6443" t="str">
            <v>EN040     Prinitng &amp;Stationery</v>
          </cell>
          <cell r="I6443" t="str">
            <v>L003 Ankleshwar</v>
          </cell>
          <cell r="J6443" t="str">
            <v>99 Input/Byprodt/Scrap</v>
          </cell>
          <cell r="K6443" t="str">
            <v>10.2012</v>
          </cell>
          <cell r="L6443">
            <v>5</v>
          </cell>
          <cell r="M6443" t="str">
            <v>BOX</v>
          </cell>
          <cell r="N6443">
            <v>40.74</v>
          </cell>
          <cell r="O6443" t="str">
            <v>INR</v>
          </cell>
        </row>
        <row r="6444">
          <cell r="A6444" t="str">
            <v>L003 Ankleshwar</v>
          </cell>
          <cell r="B6444">
            <v>729495</v>
          </cell>
          <cell r="C6444" t="str">
            <v>WHITE CHOKE STICK</v>
          </cell>
          <cell r="D6444" t="str">
            <v>L0030201                       Cons StoreKP</v>
          </cell>
          <cell r="E6444" t="str">
            <v>E42 E42</v>
          </cell>
          <cell r="F6444" t="str">
            <v>VB Manual reorder point planning</v>
          </cell>
          <cell r="G6444" t="str">
            <v>HIBE Operating supplies</v>
          </cell>
          <cell r="H6444" t="str">
            <v>EN040     Prinitng &amp;Stationery</v>
          </cell>
          <cell r="I6444" t="str">
            <v>L003 Ankleshwar</v>
          </cell>
          <cell r="J6444" t="str">
            <v>99 Input/Byprodt/Scrap</v>
          </cell>
          <cell r="K6444" t="str">
            <v>10.2012</v>
          </cell>
          <cell r="L6444">
            <v>6</v>
          </cell>
          <cell r="M6444" t="str">
            <v>BOX</v>
          </cell>
          <cell r="N6444">
            <v>48.88</v>
          </cell>
          <cell r="O6444" t="str">
            <v>INR</v>
          </cell>
        </row>
        <row r="6445">
          <cell r="A6445" t="str">
            <v>L003 Ankleshwar</v>
          </cell>
          <cell r="B6445">
            <v>729496</v>
          </cell>
          <cell r="C6445" t="str">
            <v>RUSSIAN LABEL WITH BAR CODE</v>
          </cell>
          <cell r="D6445" t="str">
            <v>L0030151                       EnggStore</v>
          </cell>
          <cell r="E6445" t="str">
            <v>E01 E01</v>
          </cell>
          <cell r="F6445" t="str">
            <v>VB Manual reorder point planning</v>
          </cell>
          <cell r="G6445" t="str">
            <v>HIBE Operating supplies</v>
          </cell>
          <cell r="H6445" t="str">
            <v>EN040     Prinitng &amp;Stationery</v>
          </cell>
          <cell r="I6445" t="str">
            <v>L003 Ankleshwar</v>
          </cell>
          <cell r="J6445" t="str">
            <v>99 Input/Byprodt/Scrap</v>
          </cell>
          <cell r="K6445" t="str">
            <v>10.2012</v>
          </cell>
          <cell r="L6445">
            <v>1000</v>
          </cell>
          <cell r="M6445" t="str">
            <v>EA</v>
          </cell>
          <cell r="N6445">
            <v>4200</v>
          </cell>
          <cell r="O6445" t="str">
            <v>INR</v>
          </cell>
        </row>
        <row r="6446">
          <cell r="A6446" t="str">
            <v>L003 Ankleshwar</v>
          </cell>
          <cell r="B6446">
            <v>729497</v>
          </cell>
          <cell r="C6446" t="str">
            <v>RUSSIAN LABEL WITHOUT BAR CODE</v>
          </cell>
          <cell r="D6446" t="str">
            <v>L0030151                       EnggStore</v>
          </cell>
          <cell r="E6446" t="str">
            <v>E01 E01</v>
          </cell>
          <cell r="F6446" t="str">
            <v>VB Manual reorder point planning</v>
          </cell>
          <cell r="G6446" t="str">
            <v>HIBE Operating supplies</v>
          </cell>
          <cell r="H6446" t="str">
            <v>EN040     Prinitng &amp;Stationery</v>
          </cell>
          <cell r="I6446" t="str">
            <v>L003 Ankleshwar</v>
          </cell>
          <cell r="J6446" t="str">
            <v>99 Input/Byprodt/Scrap</v>
          </cell>
          <cell r="K6446" t="str">
            <v>10.2012</v>
          </cell>
          <cell r="L6446">
            <v>298</v>
          </cell>
          <cell r="M6446" t="str">
            <v>EA</v>
          </cell>
          <cell r="N6446">
            <v>715.2</v>
          </cell>
          <cell r="O6446" t="str">
            <v>INR</v>
          </cell>
        </row>
        <row r="6447">
          <cell r="A6447" t="str">
            <v>L003 Ankleshwar</v>
          </cell>
          <cell r="B6447">
            <v>729518</v>
          </cell>
          <cell r="C6447" t="str">
            <v>LDPE BAG 21"X32"X300 GAUGE(20KGS)</v>
          </cell>
          <cell r="D6447" t="str">
            <v>L0030151                       EnggStore</v>
          </cell>
          <cell r="E6447" t="str">
            <v>E01 E01</v>
          </cell>
          <cell r="F6447" t="str">
            <v>VB Manual reorder point planning</v>
          </cell>
          <cell r="G6447" t="str">
            <v>HIBE Operating supplies</v>
          </cell>
          <cell r="H6447" t="str">
            <v>EN027     Prod&amp;OtherConsumable</v>
          </cell>
          <cell r="I6447" t="str">
            <v>L003 Ankleshwar</v>
          </cell>
          <cell r="J6447" t="str">
            <v>99 Input/Byprodt/Scrap</v>
          </cell>
          <cell r="K6447" t="str">
            <v>10.2012</v>
          </cell>
          <cell r="L6447">
            <v>45</v>
          </cell>
          <cell r="M6447" t="str">
            <v>KG</v>
          </cell>
          <cell r="N6447">
            <v>4814.59</v>
          </cell>
          <cell r="O6447" t="str">
            <v>INR</v>
          </cell>
        </row>
        <row r="6448">
          <cell r="A6448" t="str">
            <v>L003 Ankleshwar</v>
          </cell>
          <cell r="B6448">
            <v>729584</v>
          </cell>
          <cell r="C6448" t="str">
            <v>SCROTCH BITE FOR CLEANING</v>
          </cell>
          <cell r="D6448" t="str">
            <v>L0030151                       EnggStore</v>
          </cell>
          <cell r="E6448" t="str">
            <v>E01 E01</v>
          </cell>
          <cell r="F6448" t="str">
            <v>VB Manual reorder point planning</v>
          </cell>
          <cell r="G6448" t="str">
            <v>HIBE Operating supplies</v>
          </cell>
          <cell r="H6448" t="str">
            <v>EN014     Housekeeping</v>
          </cell>
          <cell r="I6448" t="str">
            <v>L003 Ankleshwar</v>
          </cell>
          <cell r="J6448" t="str">
            <v>99 Input/Byprodt/Scrap</v>
          </cell>
          <cell r="K6448" t="str">
            <v>10.2012</v>
          </cell>
          <cell r="L6448">
            <v>10</v>
          </cell>
          <cell r="M6448" t="str">
            <v>EA</v>
          </cell>
          <cell r="N6448">
            <v>202.88</v>
          </cell>
          <cell r="O6448" t="str">
            <v>INR</v>
          </cell>
        </row>
        <row r="6449">
          <cell r="A6449" t="str">
            <v>L003 Ankleshwar</v>
          </cell>
          <cell r="B6449">
            <v>729611</v>
          </cell>
          <cell r="C6449" t="str">
            <v>7ACCA DOWN TIME REGISTER</v>
          </cell>
          <cell r="D6449" t="str">
            <v>L0030151                       EnggStore</v>
          </cell>
          <cell r="E6449" t="str">
            <v>E01 E01</v>
          </cell>
          <cell r="F6449" t="str">
            <v>VB Manual reorder point planning</v>
          </cell>
          <cell r="G6449" t="str">
            <v>HIBE Operating supplies</v>
          </cell>
          <cell r="H6449" t="str">
            <v>EN040     Prinitng &amp;Stationery</v>
          </cell>
          <cell r="I6449" t="str">
            <v>L003 Ankleshwar</v>
          </cell>
          <cell r="J6449" t="str">
            <v>99 Input/Byprodt/Scrap</v>
          </cell>
          <cell r="K6449" t="str">
            <v>10.2012</v>
          </cell>
          <cell r="L6449">
            <v>3</v>
          </cell>
          <cell r="M6449" t="str">
            <v>EA</v>
          </cell>
          <cell r="N6449">
            <v>1094.73</v>
          </cell>
          <cell r="O6449" t="str">
            <v>INR</v>
          </cell>
        </row>
        <row r="6450">
          <cell r="A6450" t="str">
            <v>L003 Ankleshwar</v>
          </cell>
          <cell r="B6450">
            <v>729647</v>
          </cell>
          <cell r="C6450" t="str">
            <v>HMDO COLUMN  PROCESS BOOK</v>
          </cell>
          <cell r="D6450" t="str">
            <v>L0030151                       EnggStore</v>
          </cell>
          <cell r="E6450" t="str">
            <v>E01 E01</v>
          </cell>
          <cell r="F6450" t="str">
            <v>VB Manual reorder point planning</v>
          </cell>
          <cell r="G6450" t="str">
            <v>HIBE Operating supplies</v>
          </cell>
          <cell r="H6450" t="str">
            <v>EN040     Prinitng &amp;Stationery</v>
          </cell>
          <cell r="I6450" t="str">
            <v>L003 Ankleshwar</v>
          </cell>
          <cell r="J6450" t="str">
            <v>99 Input/Byprodt/Scrap</v>
          </cell>
          <cell r="K6450" t="str">
            <v>10.2012</v>
          </cell>
          <cell r="L6450">
            <v>4</v>
          </cell>
          <cell r="M6450" t="str">
            <v>EA</v>
          </cell>
          <cell r="N6450">
            <v>2200</v>
          </cell>
          <cell r="O6450" t="str">
            <v>INR</v>
          </cell>
        </row>
        <row r="6451">
          <cell r="A6451" t="str">
            <v>L003 Ankleshwar</v>
          </cell>
          <cell r="B6451">
            <v>729780</v>
          </cell>
          <cell r="C6451" t="str">
            <v>LABEL OF D-MANDELIC ACID (WET)</v>
          </cell>
          <cell r="D6451" t="str">
            <v>L0030151                       EnggStore</v>
          </cell>
          <cell r="E6451" t="str">
            <v>E01 E01</v>
          </cell>
          <cell r="F6451" t="str">
            <v>VB Manual reorder point planning</v>
          </cell>
          <cell r="G6451" t="str">
            <v>HIBE Operating supplies</v>
          </cell>
          <cell r="H6451" t="str">
            <v>EN040     Prinitng &amp;Stationery</v>
          </cell>
          <cell r="I6451" t="str">
            <v>L003 Ankleshwar</v>
          </cell>
          <cell r="J6451" t="str">
            <v>99 Input/Byprodt/Scrap</v>
          </cell>
          <cell r="K6451" t="str">
            <v>10.2012</v>
          </cell>
          <cell r="L6451">
            <v>500</v>
          </cell>
          <cell r="M6451" t="str">
            <v>EA</v>
          </cell>
          <cell r="N6451">
            <v>500</v>
          </cell>
          <cell r="O6451" t="str">
            <v>INR</v>
          </cell>
        </row>
        <row r="6452">
          <cell r="A6452" t="str">
            <v>L003 Ankleshwar</v>
          </cell>
          <cell r="B6452">
            <v>729791</v>
          </cell>
          <cell r="C6452" t="str">
            <v>LABEL OF D-MANDELIC ACID (DRY)</v>
          </cell>
          <cell r="D6452" t="str">
            <v>L0030151                       EnggStore</v>
          </cell>
          <cell r="E6452" t="str">
            <v>E01 E01</v>
          </cell>
          <cell r="F6452" t="str">
            <v>VB Manual reorder point planning</v>
          </cell>
          <cell r="G6452" t="str">
            <v>HIBE Operating supplies</v>
          </cell>
          <cell r="H6452" t="str">
            <v>EN040     Prinitng &amp;Stationery</v>
          </cell>
          <cell r="I6452" t="str">
            <v>L003 Ankleshwar</v>
          </cell>
          <cell r="J6452" t="str">
            <v>99 Input/Byprodt/Scrap</v>
          </cell>
          <cell r="K6452" t="str">
            <v>10.2012</v>
          </cell>
          <cell r="L6452">
            <v>2050</v>
          </cell>
          <cell r="M6452" t="str">
            <v>EA</v>
          </cell>
          <cell r="N6452">
            <v>2050</v>
          </cell>
          <cell r="O6452" t="str">
            <v>INR</v>
          </cell>
        </row>
        <row r="6453">
          <cell r="A6453" t="str">
            <v>L003 Ankleshwar</v>
          </cell>
          <cell r="B6453">
            <v>729811</v>
          </cell>
          <cell r="C6453" t="str">
            <v>CARTRIDGE-SS316 SINTERED: 20MICX30"LONG</v>
          </cell>
          <cell r="D6453" t="str">
            <v>L0030151                       EnggStore</v>
          </cell>
          <cell r="E6453" t="str">
            <v>E01 E01</v>
          </cell>
          <cell r="F6453" t="str">
            <v>VB Manual reorder point planning</v>
          </cell>
          <cell r="G6453" t="str">
            <v>HIBE Operating supplies</v>
          </cell>
          <cell r="H6453" t="str">
            <v>EN027     Prod&amp;OtherConsumable</v>
          </cell>
          <cell r="I6453" t="str">
            <v>L003 Ankleshwar</v>
          </cell>
          <cell r="J6453" t="str">
            <v>99 Input/Byprodt/Scrap</v>
          </cell>
          <cell r="K6453" t="str">
            <v>10.2012</v>
          </cell>
          <cell r="L6453">
            <v>2</v>
          </cell>
          <cell r="M6453" t="str">
            <v>EA</v>
          </cell>
          <cell r="N6453">
            <v>26581.200000000001</v>
          </cell>
          <cell r="O6453" t="str">
            <v>INR</v>
          </cell>
        </row>
        <row r="6454">
          <cell r="A6454" t="str">
            <v>L003 Ankleshwar</v>
          </cell>
          <cell r="B6454">
            <v>729820</v>
          </cell>
          <cell r="C6454" t="str">
            <v>CONT PLAIN STICKER 99.1x33.9mmx16nos</v>
          </cell>
          <cell r="D6454" t="str">
            <v>L0030151                       EnggStore</v>
          </cell>
          <cell r="E6454" t="str">
            <v>E01 E01</v>
          </cell>
          <cell r="F6454" t="str">
            <v>VB Manual reorder point planning</v>
          </cell>
          <cell r="G6454" t="str">
            <v>HIBE Operating supplies</v>
          </cell>
          <cell r="H6454" t="str">
            <v>EN040     Prinitng &amp;Stationery</v>
          </cell>
          <cell r="I6454" t="str">
            <v>L003 Ankleshwar</v>
          </cell>
          <cell r="J6454" t="str">
            <v>99 Input/Byprodt/Scrap</v>
          </cell>
          <cell r="K6454" t="str">
            <v>10.2012</v>
          </cell>
          <cell r="L6454">
            <v>5</v>
          </cell>
          <cell r="M6454" t="str">
            <v>PAC</v>
          </cell>
          <cell r="N6454">
            <v>2298.25</v>
          </cell>
          <cell r="O6454" t="str">
            <v>INR</v>
          </cell>
        </row>
        <row r="6455">
          <cell r="A6455" t="str">
            <v>L003 Ankleshwar</v>
          </cell>
          <cell r="B6455">
            <v>729821</v>
          </cell>
          <cell r="C6455" t="str">
            <v>SS SIFTER SIEVE 10 MESH X 21.5"</v>
          </cell>
          <cell r="D6455" t="str">
            <v>L0030151                       EnggStore</v>
          </cell>
          <cell r="E6455" t="str">
            <v>E01 E01</v>
          </cell>
          <cell r="F6455" t="str">
            <v>VB Manual reorder point planning</v>
          </cell>
          <cell r="G6455" t="str">
            <v>HIBE Operating supplies</v>
          </cell>
          <cell r="H6455" t="str">
            <v>EN027     Prod&amp;OtherConsumable</v>
          </cell>
          <cell r="I6455" t="str">
            <v>L003 Ankleshwar</v>
          </cell>
          <cell r="J6455" t="str">
            <v>99 Input/Byprodt/Scrap</v>
          </cell>
          <cell r="K6455" t="str">
            <v>10.2012</v>
          </cell>
          <cell r="L6455">
            <v>1</v>
          </cell>
          <cell r="M6455" t="str">
            <v>EA</v>
          </cell>
          <cell r="N6455">
            <v>1953.14</v>
          </cell>
          <cell r="O6455" t="str">
            <v>INR</v>
          </cell>
        </row>
        <row r="6456">
          <cell r="A6456" t="str">
            <v>L003 Ankleshwar</v>
          </cell>
          <cell r="B6456">
            <v>729865</v>
          </cell>
          <cell r="C6456" t="str">
            <v>GUN TAG</v>
          </cell>
          <cell r="D6456" t="str">
            <v>L0030151                       EnggStore</v>
          </cell>
          <cell r="E6456" t="str">
            <v>E01 E01</v>
          </cell>
          <cell r="F6456" t="str">
            <v>ND No planning</v>
          </cell>
          <cell r="G6456" t="str">
            <v>HIBE Operating supplies</v>
          </cell>
          <cell r="H6456" t="str">
            <v>EN040     Prinitng &amp;Stationery</v>
          </cell>
          <cell r="I6456" t="str">
            <v>L003 Ankleshwar</v>
          </cell>
          <cell r="J6456" t="str">
            <v>99 Input/Byprodt/Scrap</v>
          </cell>
          <cell r="K6456" t="str">
            <v>10.2012</v>
          </cell>
          <cell r="L6456">
            <v>2</v>
          </cell>
          <cell r="M6456" t="str">
            <v>EA</v>
          </cell>
          <cell r="N6456">
            <v>294</v>
          </cell>
          <cell r="O6456" t="str">
            <v>INR</v>
          </cell>
        </row>
        <row r="6457">
          <cell r="A6457" t="str">
            <v>L003 Ankleshwar</v>
          </cell>
          <cell r="B6457">
            <v>729884</v>
          </cell>
          <cell r="C6457" t="str">
            <v>MASTER DETAILS REGISTER OF 7APDCA</v>
          </cell>
          <cell r="D6457" t="str">
            <v>L0030151                       EnggStore</v>
          </cell>
          <cell r="E6457" t="str">
            <v>E01 E01</v>
          </cell>
          <cell r="F6457" t="str">
            <v>VB Manual reorder point planning</v>
          </cell>
          <cell r="G6457" t="str">
            <v>HIBE Operating supplies</v>
          </cell>
          <cell r="H6457" t="str">
            <v>EN040     Prinitng &amp;Stationery</v>
          </cell>
          <cell r="I6457" t="str">
            <v>L003 Ankleshwar</v>
          </cell>
          <cell r="J6457" t="str">
            <v>99 Input/Byprodt/Scrap</v>
          </cell>
          <cell r="K6457" t="str">
            <v>10.2012</v>
          </cell>
          <cell r="L6457">
            <v>6</v>
          </cell>
          <cell r="M6457" t="str">
            <v>EA</v>
          </cell>
          <cell r="N6457">
            <v>1905.0799999999899</v>
          </cell>
          <cell r="O6457" t="str">
            <v>INR</v>
          </cell>
        </row>
        <row r="6458">
          <cell r="A6458" t="str">
            <v>L003 Ankleshwar</v>
          </cell>
          <cell r="B6458">
            <v>729885</v>
          </cell>
          <cell r="C6458" t="str">
            <v>7 APDCA PREPARATION LOG BOOK</v>
          </cell>
          <cell r="D6458" t="str">
            <v>L0030151                       EnggStore</v>
          </cell>
          <cell r="E6458" t="str">
            <v>E01 E01</v>
          </cell>
          <cell r="F6458" t="str">
            <v>VB Manual reorder point planning</v>
          </cell>
          <cell r="G6458" t="str">
            <v>HIBE Operating supplies</v>
          </cell>
          <cell r="H6458" t="str">
            <v>EN040     Prinitng &amp;Stationery</v>
          </cell>
          <cell r="I6458" t="str">
            <v>L003 Ankleshwar</v>
          </cell>
          <cell r="J6458" t="str">
            <v>99 Input/Byprodt/Scrap</v>
          </cell>
          <cell r="K6458" t="str">
            <v>10.2012</v>
          </cell>
          <cell r="L6458">
            <v>2</v>
          </cell>
          <cell r="M6458" t="str">
            <v>EA</v>
          </cell>
          <cell r="N6458">
            <v>950</v>
          </cell>
          <cell r="O6458" t="str">
            <v>INR</v>
          </cell>
        </row>
        <row r="6459">
          <cell r="A6459" t="str">
            <v>L003 Ankleshwar</v>
          </cell>
          <cell r="B6459">
            <v>729886</v>
          </cell>
          <cell r="C6459" t="str">
            <v>BSU PREPARATION</v>
          </cell>
          <cell r="D6459" t="str">
            <v>L0030151                       EnggStore</v>
          </cell>
          <cell r="E6459" t="str">
            <v>E01 E01</v>
          </cell>
          <cell r="F6459" t="str">
            <v>VB Manual reorder point planning</v>
          </cell>
          <cell r="G6459" t="str">
            <v>HIBE Operating supplies</v>
          </cell>
          <cell r="H6459" t="str">
            <v>EN040     Prinitng &amp;Stationery</v>
          </cell>
          <cell r="I6459" t="str">
            <v>L003 Ankleshwar</v>
          </cell>
          <cell r="J6459" t="str">
            <v>99 Input/Byprodt/Scrap</v>
          </cell>
          <cell r="K6459" t="str">
            <v>10.2012</v>
          </cell>
          <cell r="L6459">
            <v>7</v>
          </cell>
          <cell r="M6459" t="str">
            <v>EA</v>
          </cell>
          <cell r="N6459">
            <v>2969.57</v>
          </cell>
          <cell r="O6459" t="str">
            <v>INR</v>
          </cell>
        </row>
        <row r="6460">
          <cell r="A6460" t="str">
            <v>L003 Ankleshwar</v>
          </cell>
          <cell r="B6460">
            <v>729889</v>
          </cell>
          <cell r="C6460" t="str">
            <v>LDPE SAMPLE BAG 5 KGS 15"X18"X250GAUGE(N</v>
          </cell>
          <cell r="D6460" t="str">
            <v>L0030151                       EnggStore</v>
          </cell>
          <cell r="E6460" t="str">
            <v>E42 E42</v>
          </cell>
          <cell r="F6460" t="str">
            <v>VB Manual reorder point planning</v>
          </cell>
          <cell r="G6460" t="str">
            <v>HIBE Operating supplies</v>
          </cell>
          <cell r="H6460" t="str">
            <v>EN011     UtlChem/Lub/Fuel/Gas</v>
          </cell>
          <cell r="I6460" t="str">
            <v>L003 Ankleshwar</v>
          </cell>
          <cell r="J6460" t="str">
            <v>99 Input/Byprodt/Scrap</v>
          </cell>
          <cell r="K6460" t="str">
            <v>10.2012</v>
          </cell>
          <cell r="L6460">
            <v>5</v>
          </cell>
          <cell r="M6460" t="str">
            <v>KG</v>
          </cell>
          <cell r="N6460">
            <v>553.62</v>
          </cell>
          <cell r="O6460" t="str">
            <v>INR</v>
          </cell>
        </row>
        <row r="6461">
          <cell r="A6461" t="str">
            <v>L003 Ankleshwar</v>
          </cell>
          <cell r="B6461">
            <v>729889</v>
          </cell>
          <cell r="C6461" t="str">
            <v>LDPE SAMPLE BAG 5 KGS 15"X18"X250GAUGE(N</v>
          </cell>
          <cell r="D6461" t="str">
            <v>L0030201                       Cons StoreKP</v>
          </cell>
          <cell r="E6461" t="str">
            <v>E42 E42</v>
          </cell>
          <cell r="F6461" t="str">
            <v>VB Manual reorder point planning</v>
          </cell>
          <cell r="G6461" t="str">
            <v>HIBE Operating supplies</v>
          </cell>
          <cell r="H6461" t="str">
            <v>EN011     UtlChem/Lub/Fuel/Gas</v>
          </cell>
          <cell r="I6461" t="str">
            <v>L003 Ankleshwar</v>
          </cell>
          <cell r="J6461" t="str">
            <v>99 Input/Byprodt/Scrap</v>
          </cell>
          <cell r="K6461" t="str">
            <v>10.2012</v>
          </cell>
          <cell r="L6461">
            <v>30</v>
          </cell>
          <cell r="M6461" t="str">
            <v>KG</v>
          </cell>
          <cell r="N6461">
            <v>3321.7399999999898</v>
          </cell>
          <cell r="O6461" t="str">
            <v>INR</v>
          </cell>
        </row>
        <row r="6462">
          <cell r="A6462" t="str">
            <v>L003 Ankleshwar</v>
          </cell>
          <cell r="B6462">
            <v>729947</v>
          </cell>
          <cell r="C6462" t="str">
            <v>CHECK LIST OF EXTRACTOR  OF 7ADCA</v>
          </cell>
          <cell r="D6462" t="str">
            <v>L0030151                       EnggStore</v>
          </cell>
          <cell r="E6462" t="str">
            <v>E01 E01</v>
          </cell>
          <cell r="F6462" t="str">
            <v>VB Manual reorder point planning</v>
          </cell>
          <cell r="G6462" t="str">
            <v>HIBE Operating supplies</v>
          </cell>
          <cell r="H6462" t="str">
            <v>EN040     Prinitng &amp;Stationery</v>
          </cell>
          <cell r="I6462" t="str">
            <v>L003 Ankleshwar</v>
          </cell>
          <cell r="J6462" t="str">
            <v>99 Input/Byprodt/Scrap</v>
          </cell>
          <cell r="K6462" t="str">
            <v>10.2012</v>
          </cell>
          <cell r="L6462">
            <v>5</v>
          </cell>
          <cell r="M6462" t="str">
            <v>EA</v>
          </cell>
          <cell r="N6462">
            <v>466.5</v>
          </cell>
          <cell r="O6462" t="str">
            <v>INR</v>
          </cell>
        </row>
        <row r="6463">
          <cell r="A6463" t="str">
            <v>L003 Ankleshwar</v>
          </cell>
          <cell r="B6463">
            <v>729948</v>
          </cell>
          <cell r="C6463" t="str">
            <v>CHECK LIST OF PRECIPITATOR  OF 7ADCA</v>
          </cell>
          <cell r="D6463" t="str">
            <v>L0030151                       EnggStore</v>
          </cell>
          <cell r="E6463" t="str">
            <v>E01 E01</v>
          </cell>
          <cell r="F6463" t="str">
            <v>VB Manual reorder point planning</v>
          </cell>
          <cell r="G6463" t="str">
            <v>HIBE Operating supplies</v>
          </cell>
          <cell r="H6463" t="str">
            <v>EN040     Prinitng &amp;Stationery</v>
          </cell>
          <cell r="I6463" t="str">
            <v>L003 Ankleshwar</v>
          </cell>
          <cell r="J6463" t="str">
            <v>99 Input/Byprodt/Scrap</v>
          </cell>
          <cell r="K6463" t="str">
            <v>10.2012</v>
          </cell>
          <cell r="L6463">
            <v>2</v>
          </cell>
          <cell r="M6463" t="str">
            <v>EA</v>
          </cell>
          <cell r="N6463">
            <v>120</v>
          </cell>
          <cell r="O6463" t="str">
            <v>INR</v>
          </cell>
        </row>
        <row r="6464">
          <cell r="A6464" t="str">
            <v>L003 Ankleshwar</v>
          </cell>
          <cell r="B6464">
            <v>729948</v>
          </cell>
          <cell r="C6464" t="str">
            <v>CHECK LIST OF PRECIPITATOR  OF 7ADCA</v>
          </cell>
          <cell r="D6464" t="str">
            <v>L0030201                       Cons StoreKP</v>
          </cell>
          <cell r="E6464" t="str">
            <v>E01 E01</v>
          </cell>
          <cell r="F6464" t="str">
            <v>VB Manual reorder point planning</v>
          </cell>
          <cell r="G6464" t="str">
            <v>HIBE Operating supplies</v>
          </cell>
          <cell r="H6464" t="str">
            <v>EN040     Prinitng &amp;Stationery</v>
          </cell>
          <cell r="I6464" t="str">
            <v>L003 Ankleshwar</v>
          </cell>
          <cell r="J6464" t="str">
            <v>99 Input/Byprodt/Scrap</v>
          </cell>
          <cell r="K6464" t="str">
            <v>10.2012</v>
          </cell>
          <cell r="L6464">
            <v>10</v>
          </cell>
          <cell r="M6464" t="str">
            <v>EA</v>
          </cell>
          <cell r="N6464">
            <v>600</v>
          </cell>
          <cell r="O6464" t="str">
            <v>INR</v>
          </cell>
        </row>
        <row r="6465">
          <cell r="A6465" t="str">
            <v>L003 Ankleshwar</v>
          </cell>
          <cell r="B6465">
            <v>729957</v>
          </cell>
          <cell r="C6465" t="str">
            <v>8 MM UV TREATED PP ROPE</v>
          </cell>
          <cell r="D6465" t="str">
            <v>L0030151                       EnggStore</v>
          </cell>
          <cell r="E6465" t="str">
            <v>E01 E01</v>
          </cell>
          <cell r="F6465" t="str">
            <v>ND No planning</v>
          </cell>
          <cell r="G6465" t="str">
            <v>HIBE Operating supplies</v>
          </cell>
          <cell r="H6465" t="str">
            <v>EN027     Prod&amp;OtherConsumable</v>
          </cell>
          <cell r="I6465" t="str">
            <v>L003 Ankleshwar</v>
          </cell>
          <cell r="J6465" t="str">
            <v>99 Input/Byprodt/Scrap</v>
          </cell>
          <cell r="K6465" t="str">
            <v>10.2012</v>
          </cell>
          <cell r="L6465">
            <v>399</v>
          </cell>
          <cell r="M6465" t="str">
            <v>KG</v>
          </cell>
          <cell r="N6465">
            <v>58936.3</v>
          </cell>
          <cell r="O6465" t="str">
            <v>INR</v>
          </cell>
        </row>
        <row r="6466">
          <cell r="A6466" t="str">
            <v>L003 Ankleshwar</v>
          </cell>
          <cell r="B6466">
            <v>730000</v>
          </cell>
          <cell r="C6466" t="str">
            <v>PLASTIC FOLDER L SIZE TWO SIDE OPEN</v>
          </cell>
          <cell r="D6466" t="str">
            <v>L0030151                       EnggStore</v>
          </cell>
          <cell r="E6466" t="str">
            <v>E42 E42</v>
          </cell>
          <cell r="F6466" t="str">
            <v>VB Manual reorder point planning</v>
          </cell>
          <cell r="G6466" t="str">
            <v>HIBE Operating supplies</v>
          </cell>
          <cell r="H6466" t="str">
            <v>EN040     Prinitng &amp;Stationery</v>
          </cell>
          <cell r="I6466" t="str">
            <v>L003 Ankleshwar</v>
          </cell>
          <cell r="J6466" t="str">
            <v>99 Input/Byprodt/Scrap</v>
          </cell>
          <cell r="K6466" t="str">
            <v>10.2012</v>
          </cell>
          <cell r="L6466">
            <v>138</v>
          </cell>
          <cell r="M6466" t="str">
            <v>EA</v>
          </cell>
          <cell r="N6466">
            <v>1738.5599999999899</v>
          </cell>
          <cell r="O6466" t="str">
            <v>INR</v>
          </cell>
        </row>
        <row r="6467">
          <cell r="A6467" t="str">
            <v>L003 Ankleshwar</v>
          </cell>
          <cell r="B6467">
            <v>730021</v>
          </cell>
          <cell r="C6467" t="str">
            <v>CONTRACTOR'S MATERIAL IN/OUT REGISTER 8Q</v>
          </cell>
          <cell r="D6467" t="str">
            <v>L0030151                       EnggStore</v>
          </cell>
          <cell r="E6467" t="str">
            <v>E05 E05</v>
          </cell>
          <cell r="F6467" t="str">
            <v>VB Manual reorder point planning</v>
          </cell>
          <cell r="G6467" t="str">
            <v>HIBE Operating supplies</v>
          </cell>
          <cell r="H6467" t="str">
            <v>EN040     Prinitng &amp;Stationery</v>
          </cell>
          <cell r="I6467" t="str">
            <v>L003 Ankleshwar</v>
          </cell>
          <cell r="J6467" t="str">
            <v>99 Input/Byprodt/Scrap</v>
          </cell>
          <cell r="K6467" t="str">
            <v>10.2012</v>
          </cell>
          <cell r="L6467">
            <v>1</v>
          </cell>
          <cell r="M6467" t="str">
            <v>EA</v>
          </cell>
          <cell r="N6467">
            <v>350</v>
          </cell>
          <cell r="O6467" t="str">
            <v>INR</v>
          </cell>
        </row>
        <row r="6468">
          <cell r="A6468" t="str">
            <v>L003 Ankleshwar</v>
          </cell>
          <cell r="B6468">
            <v>730031</v>
          </cell>
          <cell r="C6468" t="str">
            <v>N2 PLANT AIR COMP.LOG BOOK P125 (1X33P)</v>
          </cell>
          <cell r="D6468" t="str">
            <v>L0030151                       EnggStore</v>
          </cell>
          <cell r="E6468" t="str">
            <v>E02 E02</v>
          </cell>
          <cell r="F6468" t="str">
            <v>VB Manual reorder point planning</v>
          </cell>
          <cell r="G6468" t="str">
            <v>HIBE Operating supplies</v>
          </cell>
          <cell r="H6468" t="str">
            <v>EN040     Prinitng &amp;Stationery</v>
          </cell>
          <cell r="I6468" t="str">
            <v>L003 Ankleshwar</v>
          </cell>
          <cell r="J6468" t="str">
            <v>99 Input/Byprodt/Scrap</v>
          </cell>
          <cell r="K6468" t="str">
            <v>10.2012</v>
          </cell>
          <cell r="L6468">
            <v>1</v>
          </cell>
          <cell r="M6468" t="str">
            <v>EA</v>
          </cell>
          <cell r="N6468">
            <v>201.55</v>
          </cell>
          <cell r="O6468" t="str">
            <v>INR</v>
          </cell>
        </row>
        <row r="6469">
          <cell r="A6469" t="str">
            <v>L003 Ankleshwar</v>
          </cell>
          <cell r="B6469">
            <v>730031</v>
          </cell>
          <cell r="C6469" t="str">
            <v>N2 PLANT AIR COMP.LOG BOOK P125 (1X33P)</v>
          </cell>
          <cell r="D6469" t="str">
            <v>L0030201                       Cons StoreKP</v>
          </cell>
          <cell r="E6469" t="str">
            <v>E02 E02</v>
          </cell>
          <cell r="F6469" t="str">
            <v>VB Manual reorder point planning</v>
          </cell>
          <cell r="G6469" t="str">
            <v>HIBE Operating supplies</v>
          </cell>
          <cell r="H6469" t="str">
            <v>EN040     Prinitng &amp;Stationery</v>
          </cell>
          <cell r="I6469" t="str">
            <v>L003 Ankleshwar</v>
          </cell>
          <cell r="J6469" t="str">
            <v>99 Input/Byprodt/Scrap</v>
          </cell>
          <cell r="K6469" t="str">
            <v>10.2012</v>
          </cell>
          <cell r="L6469">
            <v>9</v>
          </cell>
          <cell r="M6469" t="str">
            <v>EA</v>
          </cell>
          <cell r="N6469">
            <v>1813.95</v>
          </cell>
          <cell r="O6469" t="str">
            <v>INR</v>
          </cell>
        </row>
        <row r="6470">
          <cell r="A6470" t="str">
            <v>L003 Ankleshwar</v>
          </cell>
          <cell r="B6470">
            <v>730032</v>
          </cell>
          <cell r="C6470" t="str">
            <v>PLAIN STICKER 6"X8"2N0 IN SHEET PAC=100N</v>
          </cell>
          <cell r="D6470" t="str">
            <v>L0030151                       EnggStore</v>
          </cell>
          <cell r="E6470" t="str">
            <v>E42 E42</v>
          </cell>
          <cell r="F6470" t="str">
            <v>VB Manual reorder point planning</v>
          </cell>
          <cell r="G6470" t="str">
            <v>HIBE Operating supplies</v>
          </cell>
          <cell r="H6470" t="str">
            <v>EN040     Prinitng &amp;Stationery</v>
          </cell>
          <cell r="I6470" t="str">
            <v>L003 Ankleshwar</v>
          </cell>
          <cell r="J6470" t="str">
            <v>99 Input/Byprodt/Scrap</v>
          </cell>
          <cell r="K6470" t="str">
            <v>10.2012</v>
          </cell>
          <cell r="L6470">
            <v>3</v>
          </cell>
          <cell r="M6470" t="str">
            <v>PAC</v>
          </cell>
          <cell r="N6470">
            <v>1764</v>
          </cell>
          <cell r="O6470" t="str">
            <v>INR</v>
          </cell>
        </row>
        <row r="6471">
          <cell r="A6471" t="str">
            <v>L003 Ankleshwar</v>
          </cell>
          <cell r="B6471">
            <v>730048</v>
          </cell>
          <cell r="C6471" t="str">
            <v>BLENDING DETAILS 1X200P FOR MAP</v>
          </cell>
          <cell r="D6471" t="str">
            <v>L0030151                       EnggStore</v>
          </cell>
          <cell r="E6471" t="str">
            <v>E06 E06</v>
          </cell>
          <cell r="F6471" t="str">
            <v>VB Manual reorder point planning</v>
          </cell>
          <cell r="G6471" t="str">
            <v>HIBE Operating supplies</v>
          </cell>
          <cell r="H6471" t="str">
            <v>EN040     Prinitng &amp;Stationery</v>
          </cell>
          <cell r="I6471" t="str">
            <v>L003 Ankleshwar</v>
          </cell>
          <cell r="J6471" t="str">
            <v>99 Input/Byprodt/Scrap</v>
          </cell>
          <cell r="K6471" t="str">
            <v>10.2012</v>
          </cell>
          <cell r="L6471">
            <v>5</v>
          </cell>
          <cell r="M6471" t="str">
            <v>EA</v>
          </cell>
          <cell r="N6471">
            <v>475</v>
          </cell>
          <cell r="O6471" t="str">
            <v>INR</v>
          </cell>
        </row>
        <row r="6472">
          <cell r="A6472" t="str">
            <v>L003 Ankleshwar</v>
          </cell>
          <cell r="B6472">
            <v>730111</v>
          </cell>
          <cell r="C6472" t="str">
            <v>PP PLEATED  CANDLE FILTER 5 MIC X6"</v>
          </cell>
          <cell r="D6472" t="str">
            <v>L0030151                       EnggStore</v>
          </cell>
          <cell r="E6472" t="str">
            <v>E01 E01</v>
          </cell>
          <cell r="F6472" t="str">
            <v>VB Manual reorder point planning</v>
          </cell>
          <cell r="G6472" t="str">
            <v>HIBE Operating supplies</v>
          </cell>
          <cell r="H6472" t="str">
            <v>EN027     Prod&amp;OtherConsumable</v>
          </cell>
          <cell r="I6472" t="str">
            <v>L003 Ankleshwar</v>
          </cell>
          <cell r="J6472" t="str">
            <v>99 Input/Byprodt/Scrap</v>
          </cell>
          <cell r="K6472" t="str">
            <v>10.2012</v>
          </cell>
          <cell r="L6472">
            <v>4</v>
          </cell>
          <cell r="M6472" t="str">
            <v>EA</v>
          </cell>
          <cell r="N6472">
            <v>7600</v>
          </cell>
          <cell r="O6472" t="str">
            <v>INR</v>
          </cell>
        </row>
        <row r="6473">
          <cell r="A6473" t="str">
            <v>L003 Ankleshwar</v>
          </cell>
          <cell r="B6473">
            <v>730125</v>
          </cell>
          <cell r="C6473" t="str">
            <v>HYPERSPERSE MDC220 ANTISCALENT</v>
          </cell>
          <cell r="D6473" t="str">
            <v>L0030151                       EnggStore</v>
          </cell>
          <cell r="E6473">
            <v>0</v>
          </cell>
          <cell r="F6473" t="str">
            <v>ND No planning</v>
          </cell>
          <cell r="G6473" t="str">
            <v>HIBE Operating supplies</v>
          </cell>
          <cell r="H6473" t="str">
            <v>EN027     Prod&amp;OtherConsumable</v>
          </cell>
          <cell r="I6473" t="str">
            <v>L003 Ankleshwar</v>
          </cell>
          <cell r="J6473" t="str">
            <v>99 Input/Byprodt/Scrap</v>
          </cell>
          <cell r="K6473" t="str">
            <v>10.2012</v>
          </cell>
          <cell r="L6473">
            <v>50</v>
          </cell>
          <cell r="M6473" t="str">
            <v>KG</v>
          </cell>
          <cell r="N6473">
            <v>12150</v>
          </cell>
          <cell r="O6473" t="str">
            <v>INR</v>
          </cell>
        </row>
        <row r="6474">
          <cell r="A6474" t="str">
            <v>L003 Ankleshwar</v>
          </cell>
          <cell r="B6474">
            <v>730147</v>
          </cell>
          <cell r="C6474" t="str">
            <v>BRINE PLANT LOG BOOK 33 SET</v>
          </cell>
          <cell r="D6474" t="str">
            <v>L0030151                       EnggStore</v>
          </cell>
          <cell r="E6474" t="str">
            <v>E01 E01</v>
          </cell>
          <cell r="F6474" t="str">
            <v>ND No planning</v>
          </cell>
          <cell r="G6474" t="str">
            <v>HIBE Operating supplies</v>
          </cell>
          <cell r="H6474" t="str">
            <v>EN040     Prinitng &amp;Stationery</v>
          </cell>
          <cell r="I6474" t="str">
            <v>L003 Ankleshwar</v>
          </cell>
          <cell r="J6474" t="str">
            <v>99 Input/Byprodt/Scrap</v>
          </cell>
          <cell r="K6474" t="str">
            <v>10.2012</v>
          </cell>
          <cell r="L6474">
            <v>4</v>
          </cell>
          <cell r="M6474" t="str">
            <v>EA</v>
          </cell>
          <cell r="N6474">
            <v>1700</v>
          </cell>
          <cell r="O6474" t="str">
            <v>INR</v>
          </cell>
        </row>
        <row r="6475">
          <cell r="A6475" t="str">
            <v>L003 Ankleshwar</v>
          </cell>
          <cell r="B6475">
            <v>730148</v>
          </cell>
          <cell r="C6475" t="str">
            <v>NYLON TYRE 12 PLY RATING 7.50-15NHS</v>
          </cell>
          <cell r="D6475" t="str">
            <v>L0030151                       EnggStore</v>
          </cell>
          <cell r="E6475" t="str">
            <v>E01 E01</v>
          </cell>
          <cell r="F6475" t="str">
            <v>VB Manual reorder point planning</v>
          </cell>
          <cell r="G6475" t="str">
            <v>HIBE Operating supplies</v>
          </cell>
          <cell r="H6475" t="str">
            <v>EN024     EnggConsumables</v>
          </cell>
          <cell r="I6475" t="str">
            <v>L003 Ankleshwar</v>
          </cell>
          <cell r="J6475" t="str">
            <v>99 Input/Byprodt/Scrap</v>
          </cell>
          <cell r="K6475" t="str">
            <v>10.2012</v>
          </cell>
          <cell r="L6475">
            <v>2</v>
          </cell>
          <cell r="M6475" t="str">
            <v>EA</v>
          </cell>
          <cell r="N6475">
            <v>20060</v>
          </cell>
          <cell r="O6475" t="str">
            <v>INR</v>
          </cell>
        </row>
        <row r="6476">
          <cell r="A6476" t="str">
            <v>L003 Ankleshwar</v>
          </cell>
          <cell r="B6476">
            <v>730177</v>
          </cell>
          <cell r="C6476" t="str">
            <v>RUBBER DOOR MAT</v>
          </cell>
          <cell r="D6476" t="str">
            <v>L0030151                       EnggStore</v>
          </cell>
          <cell r="E6476" t="str">
            <v>E01 E01</v>
          </cell>
          <cell r="F6476" t="str">
            <v>ND No planning</v>
          </cell>
          <cell r="G6476" t="str">
            <v>HIBE Operating supplies</v>
          </cell>
          <cell r="H6476" t="str">
            <v>EN014     Housekeeping</v>
          </cell>
          <cell r="I6476" t="str">
            <v>L003 Ankleshwar</v>
          </cell>
          <cell r="J6476" t="str">
            <v>99 Input/Byprodt/Scrap</v>
          </cell>
          <cell r="K6476" t="str">
            <v>10.2012</v>
          </cell>
          <cell r="L6476">
            <v>1</v>
          </cell>
          <cell r="M6476" t="str">
            <v>EA</v>
          </cell>
          <cell r="N6476">
            <v>248.69999999999899</v>
          </cell>
          <cell r="O6476" t="str">
            <v>INR</v>
          </cell>
        </row>
        <row r="6477">
          <cell r="A6477" t="str">
            <v>L003 Ankleshwar</v>
          </cell>
          <cell r="B6477">
            <v>730178</v>
          </cell>
          <cell r="C6477" t="str">
            <v>WIRE DOOR MAT</v>
          </cell>
          <cell r="D6477" t="str">
            <v>L0030151                       EnggStore</v>
          </cell>
          <cell r="E6477" t="str">
            <v>E01 E01</v>
          </cell>
          <cell r="F6477" t="str">
            <v>ND No planning</v>
          </cell>
          <cell r="G6477" t="str">
            <v>HIBE Operating supplies</v>
          </cell>
          <cell r="H6477" t="str">
            <v>EN014     Housekeeping</v>
          </cell>
          <cell r="I6477" t="str">
            <v>L003 Ankleshwar</v>
          </cell>
          <cell r="J6477" t="str">
            <v>99 Input/Byprodt/Scrap</v>
          </cell>
          <cell r="K6477" t="str">
            <v>10.2012</v>
          </cell>
          <cell r="L6477">
            <v>2</v>
          </cell>
          <cell r="M6477" t="str">
            <v>EA</v>
          </cell>
          <cell r="N6477">
            <v>1260</v>
          </cell>
          <cell r="O6477" t="str">
            <v>INR</v>
          </cell>
        </row>
        <row r="6478">
          <cell r="A6478" t="str">
            <v>L003 Ankleshwar</v>
          </cell>
          <cell r="B6478">
            <v>730184</v>
          </cell>
          <cell r="C6478" t="str">
            <v>CHECK LIST(CENTRIFUSE)HINDI 01T031,1X100</v>
          </cell>
          <cell r="D6478" t="str">
            <v>L0030151                       EnggStore</v>
          </cell>
          <cell r="E6478" t="str">
            <v>E01 E01</v>
          </cell>
          <cell r="F6478" t="str">
            <v>VB Manual reorder point planning</v>
          </cell>
          <cell r="G6478" t="str">
            <v>HIBE Operating supplies</v>
          </cell>
          <cell r="H6478" t="str">
            <v>EN040     Prinitng &amp;Stationery</v>
          </cell>
          <cell r="I6478" t="str">
            <v>L003 Ankleshwar</v>
          </cell>
          <cell r="J6478" t="str">
            <v>99 Input/Byprodt/Scrap</v>
          </cell>
          <cell r="K6478" t="str">
            <v>10.2012</v>
          </cell>
          <cell r="L6478">
            <v>4</v>
          </cell>
          <cell r="M6478" t="str">
            <v>EA</v>
          </cell>
          <cell r="N6478">
            <v>525</v>
          </cell>
          <cell r="O6478" t="str">
            <v>INR</v>
          </cell>
        </row>
        <row r="6479">
          <cell r="A6479" t="str">
            <v>L003 Ankleshwar</v>
          </cell>
          <cell r="B6479">
            <v>730186</v>
          </cell>
          <cell r="C6479" t="str">
            <v>SS316-WIRE BRAIDED FLEX HOSE 2"X500MM</v>
          </cell>
          <cell r="D6479" t="str">
            <v>L0030151                       EnggStore</v>
          </cell>
          <cell r="E6479" t="str">
            <v>E01 E01</v>
          </cell>
          <cell r="F6479" t="str">
            <v>VB Manual reorder point planning</v>
          </cell>
          <cell r="G6479" t="str">
            <v>HIBE Operating supplies</v>
          </cell>
          <cell r="H6479" t="str">
            <v>EN027     Prod&amp;OtherConsumable</v>
          </cell>
          <cell r="I6479" t="str">
            <v>L003 Ankleshwar</v>
          </cell>
          <cell r="J6479" t="str">
            <v>99 Input/Byprodt/Scrap</v>
          </cell>
          <cell r="K6479" t="str">
            <v>10.2012</v>
          </cell>
          <cell r="L6479">
            <v>2</v>
          </cell>
          <cell r="M6479" t="str">
            <v>EA</v>
          </cell>
          <cell r="N6479">
            <v>3190.03</v>
          </cell>
          <cell r="O6479" t="str">
            <v>INR</v>
          </cell>
        </row>
        <row r="6480">
          <cell r="A6480" t="str">
            <v>L003 Ankleshwar</v>
          </cell>
          <cell r="B6480">
            <v>730187</v>
          </cell>
          <cell r="C6480" t="str">
            <v>SS316-WIRE BRAIDED FLEX HOSE 2"X600MM</v>
          </cell>
          <cell r="D6480" t="str">
            <v>L0030201                       Cons StoreKP</v>
          </cell>
          <cell r="E6480" t="str">
            <v>E01 E01</v>
          </cell>
          <cell r="F6480" t="str">
            <v>VB Manual reorder point planning</v>
          </cell>
          <cell r="G6480" t="str">
            <v>HIBE Operating supplies</v>
          </cell>
          <cell r="H6480" t="str">
            <v>EN027     Prod&amp;OtherConsumable</v>
          </cell>
          <cell r="I6480" t="str">
            <v>L003 Ankleshwar</v>
          </cell>
          <cell r="J6480" t="str">
            <v>99 Input/Byprodt/Scrap</v>
          </cell>
          <cell r="K6480" t="str">
            <v>10.2012</v>
          </cell>
          <cell r="L6480">
            <v>2</v>
          </cell>
          <cell r="M6480" t="str">
            <v>EA</v>
          </cell>
          <cell r="N6480">
            <v>3193.82</v>
          </cell>
          <cell r="O6480" t="str">
            <v>INR</v>
          </cell>
        </row>
        <row r="6481">
          <cell r="A6481" t="str">
            <v>L003 Ankleshwar</v>
          </cell>
          <cell r="B6481">
            <v>730189</v>
          </cell>
          <cell r="C6481" t="str">
            <v>STICKER OF AMMONIUM BROMIDE OF 7APDCA</v>
          </cell>
          <cell r="D6481" t="str">
            <v>L0030151                       EnggStore</v>
          </cell>
          <cell r="E6481" t="str">
            <v>E01 E01</v>
          </cell>
          <cell r="F6481" t="str">
            <v>VB Manual reorder point planning</v>
          </cell>
          <cell r="G6481" t="str">
            <v>HIBE Operating supplies</v>
          </cell>
          <cell r="H6481" t="str">
            <v>EN040     Prinitng &amp;Stationery</v>
          </cell>
          <cell r="I6481" t="str">
            <v>L003 Ankleshwar</v>
          </cell>
          <cell r="J6481" t="str">
            <v>99 Input/Byprodt/Scrap</v>
          </cell>
          <cell r="K6481" t="str">
            <v>10.2012</v>
          </cell>
          <cell r="L6481">
            <v>1100</v>
          </cell>
          <cell r="M6481" t="str">
            <v>EA</v>
          </cell>
          <cell r="N6481">
            <v>4400</v>
          </cell>
          <cell r="O6481" t="str">
            <v>INR</v>
          </cell>
        </row>
        <row r="6482">
          <cell r="A6482" t="str">
            <v>L003 Ankleshwar</v>
          </cell>
          <cell r="B6482">
            <v>730191</v>
          </cell>
          <cell r="C6482" t="str">
            <v>ENTRY/EXIT REGISTER IN POWDER PROCES</v>
          </cell>
          <cell r="D6482" t="str">
            <v>L0030151                       EnggStore</v>
          </cell>
          <cell r="E6482" t="str">
            <v>E01 E01</v>
          </cell>
          <cell r="F6482" t="str">
            <v>VB Manual reorder point planning</v>
          </cell>
          <cell r="G6482" t="str">
            <v>HIBE Operating supplies</v>
          </cell>
          <cell r="H6482" t="str">
            <v>EN040     Prinitng &amp;Stationery</v>
          </cell>
          <cell r="I6482" t="str">
            <v>L003 Ankleshwar</v>
          </cell>
          <cell r="J6482" t="str">
            <v>99 Input/Byprodt/Scrap</v>
          </cell>
          <cell r="K6482" t="str">
            <v>10.2012</v>
          </cell>
          <cell r="L6482">
            <v>4</v>
          </cell>
          <cell r="M6482" t="str">
            <v>EA</v>
          </cell>
          <cell r="N6482">
            <v>560</v>
          </cell>
          <cell r="O6482" t="str">
            <v>INR</v>
          </cell>
        </row>
        <row r="6483">
          <cell r="A6483" t="str">
            <v>L003 Ankleshwar</v>
          </cell>
          <cell r="B6483">
            <v>730192</v>
          </cell>
          <cell r="C6483" t="str">
            <v>ENTRY SLIP FOR SERVICE DEPT PERSON</v>
          </cell>
          <cell r="D6483" t="str">
            <v>L0030151                       EnggStore</v>
          </cell>
          <cell r="E6483" t="str">
            <v>E01 E01</v>
          </cell>
          <cell r="F6483" t="str">
            <v>VB Manual reorder point planning</v>
          </cell>
          <cell r="G6483" t="str">
            <v>HIBE Operating supplies</v>
          </cell>
          <cell r="H6483" t="str">
            <v>EN040     Prinitng &amp;Stationery</v>
          </cell>
          <cell r="I6483" t="str">
            <v>L003 Ankleshwar</v>
          </cell>
          <cell r="J6483" t="str">
            <v>99 Input/Byprodt/Scrap</v>
          </cell>
          <cell r="K6483" t="str">
            <v>10.2012</v>
          </cell>
          <cell r="L6483">
            <v>3</v>
          </cell>
          <cell r="M6483" t="str">
            <v>EA</v>
          </cell>
          <cell r="N6483">
            <v>361</v>
          </cell>
          <cell r="O6483" t="str">
            <v>INR</v>
          </cell>
        </row>
        <row r="6484">
          <cell r="A6484" t="str">
            <v>L003 Ankleshwar</v>
          </cell>
          <cell r="B6484">
            <v>730195</v>
          </cell>
          <cell r="C6484" t="str">
            <v>AEN PRODUCTION REGISTER</v>
          </cell>
          <cell r="D6484" t="str">
            <v>L0030201                       Cons StoreKP</v>
          </cell>
          <cell r="E6484" t="str">
            <v>E01 E01</v>
          </cell>
          <cell r="F6484" t="str">
            <v>VB Manual reorder point planning</v>
          </cell>
          <cell r="G6484" t="str">
            <v>HIBE Operating supplies</v>
          </cell>
          <cell r="H6484" t="str">
            <v>EN040     Prinitng &amp;Stationery</v>
          </cell>
          <cell r="I6484" t="str">
            <v>L003 Ankleshwar</v>
          </cell>
          <cell r="J6484" t="str">
            <v>99 Input/Byprodt/Scrap</v>
          </cell>
          <cell r="K6484" t="str">
            <v>10.2012</v>
          </cell>
          <cell r="L6484">
            <v>4</v>
          </cell>
          <cell r="M6484" t="str">
            <v>EA</v>
          </cell>
          <cell r="N6484">
            <v>960</v>
          </cell>
          <cell r="O6484" t="str">
            <v>INR</v>
          </cell>
        </row>
        <row r="6485">
          <cell r="A6485" t="str">
            <v>L003 Ankleshwar</v>
          </cell>
          <cell r="B6485">
            <v>730203</v>
          </cell>
          <cell r="C6485" t="str">
            <v>DS-111 FINGER FBD BAG: 40"X19 FOR MPP</v>
          </cell>
          <cell r="D6485" t="str">
            <v>L0030151                       EnggStore</v>
          </cell>
          <cell r="E6485" t="str">
            <v>E01 E01</v>
          </cell>
          <cell r="F6485" t="str">
            <v>VB Manual reorder point planning</v>
          </cell>
          <cell r="G6485" t="str">
            <v>HIBE Operating supplies</v>
          </cell>
          <cell r="H6485" t="str">
            <v>EN027     Prod&amp;OtherConsumable</v>
          </cell>
          <cell r="I6485" t="str">
            <v>L003 Ankleshwar</v>
          </cell>
          <cell r="J6485" t="str">
            <v>99 Input/Byprodt/Scrap</v>
          </cell>
          <cell r="K6485" t="str">
            <v>10.2012</v>
          </cell>
          <cell r="L6485">
            <v>1</v>
          </cell>
          <cell r="M6485" t="str">
            <v>EA</v>
          </cell>
          <cell r="N6485">
            <v>2415</v>
          </cell>
          <cell r="O6485" t="str">
            <v>INR</v>
          </cell>
        </row>
        <row r="6486">
          <cell r="A6486" t="str">
            <v>L003 Ankleshwar</v>
          </cell>
          <cell r="B6486">
            <v>730208</v>
          </cell>
          <cell r="C6486" t="str">
            <v>INNER HARNESS CHIN STRIPWITH PVC STRING</v>
          </cell>
          <cell r="D6486" t="str">
            <v>L0030151                       EnggStore</v>
          </cell>
          <cell r="E6486" t="str">
            <v>E01 E01</v>
          </cell>
          <cell r="F6486" t="str">
            <v>VB Manual reorder point planning</v>
          </cell>
          <cell r="G6486" t="str">
            <v>HIBE Operating supplies</v>
          </cell>
          <cell r="H6486" t="str">
            <v>EN010     Fire&amp;safety</v>
          </cell>
          <cell r="I6486" t="str">
            <v>L003 Ankleshwar</v>
          </cell>
          <cell r="J6486" t="str">
            <v>99 Input/Byprodt/Scrap</v>
          </cell>
          <cell r="K6486" t="str">
            <v>10.2012</v>
          </cell>
          <cell r="L6486">
            <v>3</v>
          </cell>
          <cell r="M6486" t="str">
            <v>EA</v>
          </cell>
          <cell r="N6486">
            <v>81</v>
          </cell>
          <cell r="O6486" t="str">
            <v>INR</v>
          </cell>
        </row>
        <row r="6487">
          <cell r="A6487" t="str">
            <v>L003 Ankleshwar</v>
          </cell>
          <cell r="B6487">
            <v>730208</v>
          </cell>
          <cell r="C6487" t="str">
            <v>INNER HARNESS CHIN STRIPWITH PVC STRING</v>
          </cell>
          <cell r="D6487" t="str">
            <v>L0030201                       Cons StoreKP</v>
          </cell>
          <cell r="E6487" t="str">
            <v>E01 E01</v>
          </cell>
          <cell r="F6487" t="str">
            <v>VB Manual reorder point planning</v>
          </cell>
          <cell r="G6487" t="str">
            <v>HIBE Operating supplies</v>
          </cell>
          <cell r="H6487" t="str">
            <v>EN010     Fire&amp;safety</v>
          </cell>
          <cell r="I6487" t="str">
            <v>L003 Ankleshwar</v>
          </cell>
          <cell r="J6487" t="str">
            <v>99 Input/Byprodt/Scrap</v>
          </cell>
          <cell r="K6487" t="str">
            <v>10.2012</v>
          </cell>
          <cell r="L6487">
            <v>3</v>
          </cell>
          <cell r="M6487" t="str">
            <v>EA</v>
          </cell>
          <cell r="N6487">
            <v>81</v>
          </cell>
          <cell r="O6487" t="str">
            <v>INR</v>
          </cell>
        </row>
        <row r="6488">
          <cell r="A6488" t="str">
            <v>L003 Ankleshwar</v>
          </cell>
          <cell r="B6488">
            <v>730338</v>
          </cell>
          <cell r="C6488" t="str">
            <v>DISCHARGE HOSE PIPE FOR DCP 10 KGS FIRE</v>
          </cell>
          <cell r="D6488" t="str">
            <v>L0030151                       EnggStore</v>
          </cell>
          <cell r="E6488" t="str">
            <v>E01 E01</v>
          </cell>
          <cell r="F6488" t="str">
            <v>ND No planning</v>
          </cell>
          <cell r="G6488" t="str">
            <v>HIBE Operating supplies</v>
          </cell>
          <cell r="H6488" t="str">
            <v>EN010     Fire&amp;safety</v>
          </cell>
          <cell r="I6488" t="str">
            <v>L003 Ankleshwar</v>
          </cell>
          <cell r="J6488" t="str">
            <v>99 Input/Byprodt/Scrap</v>
          </cell>
          <cell r="K6488" t="str">
            <v>10.2012</v>
          </cell>
          <cell r="L6488">
            <v>25</v>
          </cell>
          <cell r="M6488" t="str">
            <v>EA</v>
          </cell>
          <cell r="N6488">
            <v>2731.25</v>
          </cell>
          <cell r="O6488" t="str">
            <v>INR</v>
          </cell>
        </row>
        <row r="6489">
          <cell r="A6489" t="str">
            <v>L003 Ankleshwar</v>
          </cell>
          <cell r="B6489">
            <v>730339</v>
          </cell>
          <cell r="C6489" t="str">
            <v>DISCHARGE HOSE PIPE FOR MECH FOAM 9LTR</v>
          </cell>
          <cell r="D6489" t="str">
            <v>L0030151                       EnggStore</v>
          </cell>
          <cell r="E6489" t="str">
            <v>E01 E01</v>
          </cell>
          <cell r="F6489" t="str">
            <v>ND No planning</v>
          </cell>
          <cell r="G6489" t="str">
            <v>HIBE Operating supplies</v>
          </cell>
          <cell r="H6489" t="str">
            <v>EN010     Fire&amp;safety</v>
          </cell>
          <cell r="I6489" t="str">
            <v>L003 Ankleshwar</v>
          </cell>
          <cell r="J6489" t="str">
            <v>99 Input/Byprodt/Scrap</v>
          </cell>
          <cell r="K6489" t="str">
            <v>10.2012</v>
          </cell>
          <cell r="L6489">
            <v>60</v>
          </cell>
          <cell r="M6489" t="str">
            <v>EA</v>
          </cell>
          <cell r="N6489">
            <v>5800</v>
          </cell>
          <cell r="O6489" t="str">
            <v>INR</v>
          </cell>
        </row>
        <row r="6490">
          <cell r="A6490" t="str">
            <v>L003 Ankleshwar</v>
          </cell>
          <cell r="B6490">
            <v>730411</v>
          </cell>
          <cell r="C6490" t="str">
            <v>STICKER OF CO2 FIRE EXTINGUISHER 6.8 KGS</v>
          </cell>
          <cell r="D6490" t="str">
            <v>L0030151                       EnggStore</v>
          </cell>
          <cell r="E6490" t="str">
            <v>E01 E01</v>
          </cell>
          <cell r="F6490" t="str">
            <v>ND No planning</v>
          </cell>
          <cell r="G6490" t="str">
            <v>HIBE Operating supplies</v>
          </cell>
          <cell r="H6490" t="str">
            <v>EN010     Fire&amp;safety</v>
          </cell>
          <cell r="I6490" t="str">
            <v>L003 Ankleshwar</v>
          </cell>
          <cell r="J6490" t="str">
            <v>99 Input/Byprodt/Scrap</v>
          </cell>
          <cell r="K6490" t="str">
            <v>10.2012</v>
          </cell>
          <cell r="L6490">
            <v>25</v>
          </cell>
          <cell r="M6490" t="str">
            <v>EA</v>
          </cell>
          <cell r="N6490">
            <v>285</v>
          </cell>
          <cell r="O6490" t="str">
            <v>INR</v>
          </cell>
        </row>
        <row r="6491">
          <cell r="A6491" t="str">
            <v>L003 Ankleshwar</v>
          </cell>
          <cell r="B6491">
            <v>730412</v>
          </cell>
          <cell r="C6491" t="str">
            <v>STICKER OF MECH FOAM EXTINGUISHER 9LTR</v>
          </cell>
          <cell r="D6491" t="str">
            <v>L0030151                       EnggStore</v>
          </cell>
          <cell r="E6491" t="str">
            <v>E01 E01</v>
          </cell>
          <cell r="F6491" t="str">
            <v>ND No planning</v>
          </cell>
          <cell r="G6491" t="str">
            <v>HIBE Operating supplies</v>
          </cell>
          <cell r="H6491" t="str">
            <v>EN010     Fire&amp;safety</v>
          </cell>
          <cell r="I6491" t="str">
            <v>L003 Ankleshwar</v>
          </cell>
          <cell r="J6491" t="str">
            <v>99 Input/Byprodt/Scrap</v>
          </cell>
          <cell r="K6491" t="str">
            <v>10.2012</v>
          </cell>
          <cell r="L6491">
            <v>40</v>
          </cell>
          <cell r="M6491" t="str">
            <v>EA</v>
          </cell>
          <cell r="N6491">
            <v>380</v>
          </cell>
          <cell r="O6491" t="str">
            <v>INR</v>
          </cell>
        </row>
        <row r="6492">
          <cell r="A6492" t="str">
            <v>L003 Ankleshwar</v>
          </cell>
          <cell r="B6492">
            <v>730413</v>
          </cell>
          <cell r="C6492" t="str">
            <v>SAFETY PIN WITH HOLDER FOR CO2 EXTING</v>
          </cell>
          <cell r="D6492" t="str">
            <v>L0030151                       EnggStore</v>
          </cell>
          <cell r="E6492" t="str">
            <v>E01 E01</v>
          </cell>
          <cell r="F6492" t="str">
            <v>ND No planning</v>
          </cell>
          <cell r="G6492" t="str">
            <v>HIBE Operating supplies</v>
          </cell>
          <cell r="H6492" t="str">
            <v>EN010     Fire&amp;safety</v>
          </cell>
          <cell r="I6492" t="str">
            <v>L003 Ankleshwar</v>
          </cell>
          <cell r="J6492" t="str">
            <v>99 Input/Byprodt/Scrap</v>
          </cell>
          <cell r="K6492" t="str">
            <v>10.2012</v>
          </cell>
          <cell r="L6492">
            <v>175</v>
          </cell>
          <cell r="M6492" t="str">
            <v>EA</v>
          </cell>
          <cell r="N6492">
            <v>2493.75</v>
          </cell>
          <cell r="O6492" t="str">
            <v>INR</v>
          </cell>
        </row>
        <row r="6493">
          <cell r="A6493" t="str">
            <v>L003 Ankleshwar</v>
          </cell>
          <cell r="B6493">
            <v>730486</v>
          </cell>
          <cell r="C6493" t="str">
            <v>D-1100 SPARKLER FILTER PAD 21"ODX37mm</v>
          </cell>
          <cell r="D6493" t="str">
            <v>L0030201                       Cons StoreKP</v>
          </cell>
          <cell r="E6493" t="str">
            <v>E42 E42</v>
          </cell>
          <cell r="F6493" t="str">
            <v>VB Manual reorder point planning</v>
          </cell>
          <cell r="G6493" t="str">
            <v>HIBE Operating supplies</v>
          </cell>
          <cell r="H6493" t="str">
            <v>EN027     Prod&amp;OtherConsumable</v>
          </cell>
          <cell r="I6493" t="str">
            <v>L003 Ankleshwar</v>
          </cell>
          <cell r="J6493" t="str">
            <v>99 Input/Byprodt/Scrap</v>
          </cell>
          <cell r="K6493" t="str">
            <v>10.2012</v>
          </cell>
          <cell r="L6493">
            <v>264</v>
          </cell>
          <cell r="M6493" t="str">
            <v>EA</v>
          </cell>
          <cell r="N6493">
            <v>14385.2</v>
          </cell>
          <cell r="O6493" t="str">
            <v>INR</v>
          </cell>
        </row>
        <row r="6494">
          <cell r="A6494" t="str">
            <v>L003 Ankleshwar</v>
          </cell>
          <cell r="B6494">
            <v>730496</v>
          </cell>
          <cell r="C6494" t="str">
            <v>STICKER OF SULPHURIC ACID</v>
          </cell>
          <cell r="D6494" t="str">
            <v>L0030201                       Cons StoreKP</v>
          </cell>
          <cell r="E6494" t="str">
            <v>E01 E01</v>
          </cell>
          <cell r="F6494" t="str">
            <v>VB Manual reorder point planning</v>
          </cell>
          <cell r="G6494" t="str">
            <v>HIBE Operating supplies</v>
          </cell>
          <cell r="H6494" t="str">
            <v>EN040     Prinitng &amp;Stationery</v>
          </cell>
          <cell r="I6494" t="str">
            <v>L003 Ankleshwar</v>
          </cell>
          <cell r="J6494" t="str">
            <v>99 Input/Byprodt/Scrap</v>
          </cell>
          <cell r="K6494" t="str">
            <v>10.2012</v>
          </cell>
          <cell r="L6494">
            <v>1000</v>
          </cell>
          <cell r="M6494" t="str">
            <v>EA</v>
          </cell>
          <cell r="N6494">
            <v>1000</v>
          </cell>
          <cell r="O6494" t="str">
            <v>INR</v>
          </cell>
        </row>
        <row r="6495">
          <cell r="A6495" t="str">
            <v>L003 Ankleshwar</v>
          </cell>
          <cell r="B6495">
            <v>730504</v>
          </cell>
          <cell r="C6495" t="str">
            <v>PGESO ML NEUTRALISATION BOOK 1X100PAGE</v>
          </cell>
          <cell r="D6495" t="str">
            <v>L0030151                       EnggStore</v>
          </cell>
          <cell r="E6495" t="str">
            <v>E01 E01</v>
          </cell>
          <cell r="F6495" t="str">
            <v>VB Manual reorder point planning</v>
          </cell>
          <cell r="G6495" t="str">
            <v>HIBE Operating supplies</v>
          </cell>
          <cell r="H6495" t="str">
            <v>EN040     Prinitng &amp;Stationery</v>
          </cell>
          <cell r="I6495" t="str">
            <v>L003 Ankleshwar</v>
          </cell>
          <cell r="J6495" t="str">
            <v>99 Input/Byprodt/Scrap</v>
          </cell>
          <cell r="K6495" t="str">
            <v>10.2012</v>
          </cell>
          <cell r="L6495">
            <v>2</v>
          </cell>
          <cell r="M6495" t="str">
            <v>EA</v>
          </cell>
          <cell r="N6495">
            <v>149.24</v>
          </cell>
          <cell r="O6495" t="str">
            <v>INR</v>
          </cell>
        </row>
        <row r="6496">
          <cell r="A6496" t="str">
            <v>L003 Ankleshwar</v>
          </cell>
          <cell r="B6496">
            <v>730531</v>
          </cell>
          <cell r="C6496" t="str">
            <v>PP SPUN CARTRIDGE 5 MICRON 20"</v>
          </cell>
          <cell r="D6496" t="str">
            <v>L0030151                       EnggStore</v>
          </cell>
          <cell r="E6496" t="str">
            <v>E42 E42</v>
          </cell>
          <cell r="F6496" t="str">
            <v>VB Manual reorder point planning</v>
          </cell>
          <cell r="G6496" t="str">
            <v>HIBE Operating supplies</v>
          </cell>
          <cell r="H6496" t="str">
            <v>EN027     Prod&amp;OtherConsumable</v>
          </cell>
          <cell r="I6496" t="str">
            <v>L003 Ankleshwar</v>
          </cell>
          <cell r="J6496" t="str">
            <v>99 Input/Byprodt/Scrap</v>
          </cell>
          <cell r="K6496" t="str">
            <v>10.2012</v>
          </cell>
          <cell r="L6496">
            <v>10</v>
          </cell>
          <cell r="M6496" t="str">
            <v>EA</v>
          </cell>
          <cell r="N6496">
            <v>1691.16</v>
          </cell>
          <cell r="O6496" t="str">
            <v>INR</v>
          </cell>
        </row>
        <row r="6497">
          <cell r="A6497" t="str">
            <v>L003 Ankleshwar</v>
          </cell>
          <cell r="B6497">
            <v>730562</v>
          </cell>
          <cell r="C6497" t="str">
            <v>LOG BOOK FOR BACK PRESSURE TURBINE</v>
          </cell>
          <cell r="D6497" t="str">
            <v>L0030151                       EnggStore</v>
          </cell>
          <cell r="E6497">
            <v>0</v>
          </cell>
          <cell r="F6497" t="str">
            <v>ND No planning</v>
          </cell>
          <cell r="G6497" t="str">
            <v>HIBE Operating supplies</v>
          </cell>
          <cell r="H6497" t="str">
            <v>EN040     Prinitng &amp;Stationery</v>
          </cell>
          <cell r="I6497" t="str">
            <v>L003 Ankleshwar</v>
          </cell>
          <cell r="J6497" t="str">
            <v>99 Input/Byprodt/Scrap</v>
          </cell>
          <cell r="K6497" t="str">
            <v>10.2012</v>
          </cell>
          <cell r="L6497">
            <v>1</v>
          </cell>
          <cell r="M6497" t="str">
            <v>EA</v>
          </cell>
          <cell r="N6497">
            <v>452.94999999999902</v>
          </cell>
          <cell r="O6497" t="str">
            <v>INR</v>
          </cell>
        </row>
        <row r="6498">
          <cell r="A6498" t="str">
            <v>L003 Ankleshwar</v>
          </cell>
          <cell r="B6498">
            <v>730562</v>
          </cell>
          <cell r="C6498" t="str">
            <v>LOG BOOK FOR BACK PRESSURE TURBINE</v>
          </cell>
          <cell r="D6498" t="str">
            <v>L0030201                       Cons StoreKP</v>
          </cell>
          <cell r="E6498">
            <v>0</v>
          </cell>
          <cell r="F6498" t="str">
            <v>ND No planning</v>
          </cell>
          <cell r="G6498" t="str">
            <v>HIBE Operating supplies</v>
          </cell>
          <cell r="H6498" t="str">
            <v>EN040     Prinitng &amp;Stationery</v>
          </cell>
          <cell r="I6498" t="str">
            <v>L003 Ankleshwar</v>
          </cell>
          <cell r="J6498" t="str">
            <v>99 Input/Byprodt/Scrap</v>
          </cell>
          <cell r="K6498" t="str">
            <v>10.2012</v>
          </cell>
          <cell r="L6498">
            <v>2</v>
          </cell>
          <cell r="M6498" t="str">
            <v>EA</v>
          </cell>
          <cell r="N6498">
            <v>905.89999999999895</v>
          </cell>
          <cell r="O6498" t="str">
            <v>INR</v>
          </cell>
        </row>
        <row r="6499">
          <cell r="A6499" t="str">
            <v>L003 Ankleshwar</v>
          </cell>
          <cell r="B6499">
            <v>730563</v>
          </cell>
          <cell r="C6499" t="str">
            <v>VEHICLE CHECKLIST BOOK 1x100P FOR GATE</v>
          </cell>
          <cell r="D6499" t="str">
            <v>L0030151                       EnggStore</v>
          </cell>
          <cell r="E6499" t="str">
            <v>E01 E01</v>
          </cell>
          <cell r="F6499" t="str">
            <v>VB Manual reorder point planning</v>
          </cell>
          <cell r="G6499" t="str">
            <v>HIBE Operating supplies</v>
          </cell>
          <cell r="H6499" t="str">
            <v>EN040     Prinitng &amp;Stationery</v>
          </cell>
          <cell r="I6499" t="str">
            <v>L003 Ankleshwar</v>
          </cell>
          <cell r="J6499" t="str">
            <v>99 Input/Byprodt/Scrap</v>
          </cell>
          <cell r="K6499" t="str">
            <v>10.2012</v>
          </cell>
          <cell r="L6499">
            <v>48</v>
          </cell>
          <cell r="M6499" t="str">
            <v>EA</v>
          </cell>
          <cell r="N6499">
            <v>3447.05</v>
          </cell>
          <cell r="O6499" t="str">
            <v>INR</v>
          </cell>
        </row>
        <row r="6500">
          <cell r="A6500" t="str">
            <v>L003 Ankleshwar</v>
          </cell>
          <cell r="B6500">
            <v>730594</v>
          </cell>
          <cell r="C6500" t="str">
            <v>SMALL REFIL FOR BALL PEN</v>
          </cell>
          <cell r="D6500" t="str">
            <v>L0030151                       EnggStore</v>
          </cell>
          <cell r="E6500" t="str">
            <v>E42 E42</v>
          </cell>
          <cell r="F6500" t="str">
            <v>VB Manual reorder point planning</v>
          </cell>
          <cell r="G6500" t="str">
            <v>HIBE Operating supplies</v>
          </cell>
          <cell r="H6500" t="str">
            <v>EN040     Prinitng &amp;Stationery</v>
          </cell>
          <cell r="I6500" t="str">
            <v>L003 Ankleshwar</v>
          </cell>
          <cell r="J6500" t="str">
            <v>99 Input/Byprodt/Scrap</v>
          </cell>
          <cell r="K6500" t="str">
            <v>10.2012</v>
          </cell>
          <cell r="L6500">
            <v>142.94999999999899</v>
          </cell>
          <cell r="M6500" t="str">
            <v>EA</v>
          </cell>
          <cell r="N6500">
            <v>150.099999999999</v>
          </cell>
          <cell r="O6500" t="str">
            <v>INR</v>
          </cell>
        </row>
        <row r="6501">
          <cell r="A6501" t="str">
            <v>L003 Ankleshwar</v>
          </cell>
          <cell r="B6501">
            <v>730594</v>
          </cell>
          <cell r="C6501" t="str">
            <v>SMALL REFIL FOR BALL PEN</v>
          </cell>
          <cell r="D6501" t="str">
            <v>L0030201                       Cons StoreKP</v>
          </cell>
          <cell r="E6501" t="str">
            <v>E42 E42</v>
          </cell>
          <cell r="F6501" t="str">
            <v>VB Manual reorder point planning</v>
          </cell>
          <cell r="G6501" t="str">
            <v>HIBE Operating supplies</v>
          </cell>
          <cell r="H6501" t="str">
            <v>EN040     Prinitng &amp;Stationery</v>
          </cell>
          <cell r="I6501" t="str">
            <v>L003 Ankleshwar</v>
          </cell>
          <cell r="J6501" t="str">
            <v>99 Input/Byprodt/Scrap</v>
          </cell>
          <cell r="K6501" t="str">
            <v>10.2012</v>
          </cell>
          <cell r="L6501">
            <v>41</v>
          </cell>
          <cell r="M6501" t="str">
            <v>EA</v>
          </cell>
          <cell r="N6501">
            <v>43.049999999999898</v>
          </cell>
          <cell r="O6501" t="str">
            <v>INR</v>
          </cell>
        </row>
        <row r="6502">
          <cell r="A6502" t="str">
            <v>L003 Ankleshwar</v>
          </cell>
          <cell r="B6502">
            <v>730642</v>
          </cell>
          <cell r="C6502" t="str">
            <v>CHS ML MEOH RECOVERY BOK 1X100 PAGE</v>
          </cell>
          <cell r="D6502" t="str">
            <v>L0030151                       EnggStore</v>
          </cell>
          <cell r="E6502" t="str">
            <v>E01 E01</v>
          </cell>
          <cell r="F6502" t="str">
            <v>VB Manual reorder point planning</v>
          </cell>
          <cell r="G6502" t="str">
            <v>HIBE Operating supplies</v>
          </cell>
          <cell r="H6502" t="str">
            <v>EN040     Prinitng &amp;Stationery</v>
          </cell>
          <cell r="I6502" t="str">
            <v>L003 Ankleshwar</v>
          </cell>
          <cell r="J6502" t="str">
            <v>99 Input/Byprodt/Scrap</v>
          </cell>
          <cell r="K6502" t="str">
            <v>10.2012</v>
          </cell>
          <cell r="L6502">
            <v>6</v>
          </cell>
          <cell r="M6502" t="str">
            <v>EA</v>
          </cell>
          <cell r="N6502">
            <v>882</v>
          </cell>
          <cell r="O6502" t="str">
            <v>INR</v>
          </cell>
        </row>
        <row r="6503">
          <cell r="A6503" t="str">
            <v>L003 Ankleshwar</v>
          </cell>
          <cell r="B6503">
            <v>730653</v>
          </cell>
          <cell r="C6503" t="str">
            <v>INVENTORY OF CEFADROXIL DRYER BOOK 1X100</v>
          </cell>
          <cell r="D6503" t="str">
            <v>L0030201                       Cons StoreKP</v>
          </cell>
          <cell r="E6503" t="str">
            <v>E01 E01</v>
          </cell>
          <cell r="F6503" t="str">
            <v>ND No planning</v>
          </cell>
          <cell r="G6503" t="str">
            <v>HIBE Operating supplies</v>
          </cell>
          <cell r="H6503" t="str">
            <v>EN040     Prinitng &amp;Stationery</v>
          </cell>
          <cell r="I6503" t="str">
            <v>L003 Ankleshwar</v>
          </cell>
          <cell r="J6503" t="str">
            <v>99 Input/Byprodt/Scrap</v>
          </cell>
          <cell r="K6503" t="str">
            <v>10.2012</v>
          </cell>
          <cell r="L6503">
            <v>3</v>
          </cell>
          <cell r="M6503" t="str">
            <v>EA</v>
          </cell>
          <cell r="N6503">
            <v>330</v>
          </cell>
          <cell r="O6503" t="str">
            <v>INR</v>
          </cell>
        </row>
        <row r="6504">
          <cell r="A6504" t="str">
            <v>L003 Ankleshwar</v>
          </cell>
          <cell r="B6504">
            <v>730721</v>
          </cell>
          <cell r="C6504" t="str">
            <v>7APDCA PH CHECKLIST BOOK R-5502/04/ABC</v>
          </cell>
          <cell r="D6504" t="str">
            <v>L0030151                       EnggStore</v>
          </cell>
          <cell r="E6504" t="str">
            <v>E01 E01</v>
          </cell>
          <cell r="F6504" t="str">
            <v>VB Manual reorder point planning</v>
          </cell>
          <cell r="G6504" t="str">
            <v>HIBE Operating supplies</v>
          </cell>
          <cell r="H6504" t="str">
            <v>EN040     Prinitng &amp;Stationery</v>
          </cell>
          <cell r="I6504" t="str">
            <v>L003 Ankleshwar</v>
          </cell>
          <cell r="J6504" t="str">
            <v>99 Input/Byprodt/Scrap</v>
          </cell>
          <cell r="K6504" t="str">
            <v>10.2012</v>
          </cell>
          <cell r="L6504">
            <v>22</v>
          </cell>
          <cell r="M6504" t="str">
            <v>EA</v>
          </cell>
          <cell r="N6504">
            <v>1650</v>
          </cell>
          <cell r="O6504" t="str">
            <v>INR</v>
          </cell>
        </row>
        <row r="6505">
          <cell r="A6505" t="str">
            <v>L003 Ankleshwar</v>
          </cell>
          <cell r="B6505">
            <v>730751</v>
          </cell>
          <cell r="C6505" t="str">
            <v>BATCH SHEET R-3202 AEX 1x100P</v>
          </cell>
          <cell r="D6505" t="str">
            <v>L0030201                       Cons StoreKP</v>
          </cell>
          <cell r="E6505" t="str">
            <v>E06 E06</v>
          </cell>
          <cell r="F6505" t="str">
            <v>VB Manual reorder point planning</v>
          </cell>
          <cell r="G6505" t="str">
            <v>HIBE Operating supplies</v>
          </cell>
          <cell r="H6505" t="str">
            <v>EN040     Prinitng &amp;Stationery</v>
          </cell>
          <cell r="I6505" t="str">
            <v>L003 Ankleshwar</v>
          </cell>
          <cell r="J6505" t="str">
            <v>99 Input/Byprodt/Scrap</v>
          </cell>
          <cell r="K6505" t="str">
            <v>10.2012</v>
          </cell>
          <cell r="L6505">
            <v>10</v>
          </cell>
          <cell r="M6505" t="str">
            <v>EA</v>
          </cell>
          <cell r="N6505">
            <v>800</v>
          </cell>
          <cell r="O6505" t="str">
            <v>INR</v>
          </cell>
        </row>
        <row r="6506">
          <cell r="A6506" t="str">
            <v>L003 Ankleshwar</v>
          </cell>
          <cell r="B6506">
            <v>730752</v>
          </cell>
          <cell r="C6506" t="str">
            <v>G-SHIFT REPORT 2x100P 7ACCA PLANT</v>
          </cell>
          <cell r="D6506" t="str">
            <v>L0030201                       Cons StoreKP</v>
          </cell>
          <cell r="E6506" t="str">
            <v>E06 E06</v>
          </cell>
          <cell r="F6506" t="str">
            <v>VB Manual reorder point planning</v>
          </cell>
          <cell r="G6506" t="str">
            <v>HIBE Operating supplies</v>
          </cell>
          <cell r="H6506" t="str">
            <v>EN040     Prinitng &amp;Stationery</v>
          </cell>
          <cell r="I6506" t="str">
            <v>L003 Ankleshwar</v>
          </cell>
          <cell r="J6506" t="str">
            <v>99 Input/Byprodt/Scrap</v>
          </cell>
          <cell r="K6506" t="str">
            <v>10.2012</v>
          </cell>
          <cell r="L6506">
            <v>3</v>
          </cell>
          <cell r="M6506" t="str">
            <v>EA</v>
          </cell>
          <cell r="N6506">
            <v>330</v>
          </cell>
          <cell r="O6506" t="str">
            <v>INR</v>
          </cell>
        </row>
        <row r="6507">
          <cell r="A6507" t="str">
            <v>L003 Ankleshwar</v>
          </cell>
          <cell r="B6507">
            <v>730794</v>
          </cell>
          <cell r="C6507" t="str">
            <v>D-119 FIBRELESS C/F BAG 48" F-9202</v>
          </cell>
          <cell r="D6507" t="str">
            <v>L0030201                       Cons StoreKP</v>
          </cell>
          <cell r="E6507" t="str">
            <v>E01 E01</v>
          </cell>
          <cell r="F6507" t="str">
            <v>VB Manual reorder point planning</v>
          </cell>
          <cell r="G6507" t="str">
            <v>HIBE Operating supplies</v>
          </cell>
          <cell r="H6507" t="str">
            <v>EN027     Prod&amp;OtherConsumable</v>
          </cell>
          <cell r="I6507" t="str">
            <v>L003 Ankleshwar</v>
          </cell>
          <cell r="J6507" t="str">
            <v>99 Input/Byprodt/Scrap</v>
          </cell>
          <cell r="K6507" t="str">
            <v>10.2012</v>
          </cell>
          <cell r="L6507">
            <v>2</v>
          </cell>
          <cell r="M6507" t="str">
            <v>EA</v>
          </cell>
          <cell r="N6507">
            <v>2550</v>
          </cell>
          <cell r="O6507" t="str">
            <v>INR</v>
          </cell>
        </row>
        <row r="6508">
          <cell r="A6508" t="str">
            <v>L003 Ankleshwar</v>
          </cell>
          <cell r="B6508">
            <v>730820</v>
          </cell>
          <cell r="C6508" t="str">
            <v>SAFE TIE</v>
          </cell>
          <cell r="D6508" t="str">
            <v>L0030151                       EnggStore</v>
          </cell>
          <cell r="E6508" t="str">
            <v>E42 E42</v>
          </cell>
          <cell r="F6508" t="str">
            <v>VB Manual reorder point planning</v>
          </cell>
          <cell r="G6508" t="str">
            <v>HIBE Operating supplies</v>
          </cell>
          <cell r="H6508" t="str">
            <v>EN027     Prod&amp;OtherConsumable</v>
          </cell>
          <cell r="I6508" t="str">
            <v>L003 Ankleshwar</v>
          </cell>
          <cell r="J6508" t="str">
            <v>99 Input/Byprodt/Scrap</v>
          </cell>
          <cell r="K6508" t="str">
            <v>10.2012</v>
          </cell>
          <cell r="L6508">
            <v>2000</v>
          </cell>
          <cell r="M6508" t="str">
            <v>EA</v>
          </cell>
          <cell r="N6508">
            <v>6016.09</v>
          </cell>
          <cell r="O6508" t="str">
            <v>INR</v>
          </cell>
        </row>
        <row r="6509">
          <cell r="A6509" t="str">
            <v>L003 Ankleshwar</v>
          </cell>
          <cell r="B6509">
            <v>730911</v>
          </cell>
          <cell r="C6509" t="str">
            <v>CHS TO CHLORO SECTION CHARGE BOOK</v>
          </cell>
          <cell r="D6509" t="str">
            <v>L0030151                       EnggStore</v>
          </cell>
          <cell r="E6509" t="str">
            <v>E01 E01</v>
          </cell>
          <cell r="F6509" t="str">
            <v>VB Manual reorder point planning</v>
          </cell>
          <cell r="G6509" t="str">
            <v>HIBE Operating supplies</v>
          </cell>
          <cell r="H6509" t="str">
            <v>EN040     Prinitng &amp;Stationery</v>
          </cell>
          <cell r="I6509" t="str">
            <v>L003 Ankleshwar</v>
          </cell>
          <cell r="J6509" t="str">
            <v>99 Input/Byprodt/Scrap</v>
          </cell>
          <cell r="K6509" t="str">
            <v>10.2012</v>
          </cell>
          <cell r="L6509">
            <v>1</v>
          </cell>
          <cell r="M6509" t="str">
            <v>EA</v>
          </cell>
          <cell r="N6509">
            <v>340</v>
          </cell>
          <cell r="O6509" t="str">
            <v>INR</v>
          </cell>
        </row>
        <row r="6510">
          <cell r="A6510" t="str">
            <v>L003 Ankleshwar</v>
          </cell>
          <cell r="B6510">
            <v>730911</v>
          </cell>
          <cell r="C6510" t="str">
            <v>CHS TO CHLORO SECTION CHARGE BOOK</v>
          </cell>
          <cell r="D6510" t="str">
            <v>L0030201                       Cons StoreKP</v>
          </cell>
          <cell r="E6510" t="str">
            <v>E01 E01</v>
          </cell>
          <cell r="F6510" t="str">
            <v>VB Manual reorder point planning</v>
          </cell>
          <cell r="G6510" t="str">
            <v>HIBE Operating supplies</v>
          </cell>
          <cell r="H6510" t="str">
            <v>EN040     Prinitng &amp;Stationery</v>
          </cell>
          <cell r="I6510" t="str">
            <v>L003 Ankleshwar</v>
          </cell>
          <cell r="J6510" t="str">
            <v>99 Input/Byprodt/Scrap</v>
          </cell>
          <cell r="K6510" t="str">
            <v>10.2012</v>
          </cell>
          <cell r="L6510">
            <v>4</v>
          </cell>
          <cell r="M6510" t="str">
            <v>EA</v>
          </cell>
          <cell r="N6510">
            <v>1360</v>
          </cell>
          <cell r="O6510" t="str">
            <v>INR</v>
          </cell>
        </row>
        <row r="6511">
          <cell r="A6511" t="str">
            <v>L003 Ankleshwar</v>
          </cell>
          <cell r="B6511">
            <v>730989</v>
          </cell>
          <cell r="C6511" t="str">
            <v>OLD SS-316 WIRE BRAID HOSE 2"X400MM B/E</v>
          </cell>
          <cell r="D6511" t="str">
            <v>L0030201                       Cons StoreKP</v>
          </cell>
          <cell r="E6511" t="str">
            <v>E01 E01</v>
          </cell>
          <cell r="F6511" t="str">
            <v>ND No planning</v>
          </cell>
          <cell r="G6511" t="str">
            <v>HIBE Operating supplies</v>
          </cell>
          <cell r="H6511" t="str">
            <v>EN027     Prod&amp;OtherConsumable</v>
          </cell>
          <cell r="I6511" t="str">
            <v>L003 Ankleshwar</v>
          </cell>
          <cell r="J6511" t="str">
            <v>99 Input/Byprodt/Scrap</v>
          </cell>
          <cell r="K6511" t="str">
            <v>10.2012</v>
          </cell>
          <cell r="L6511">
            <v>1</v>
          </cell>
          <cell r="M6511" t="str">
            <v>EA</v>
          </cell>
          <cell r="N6511">
            <v>903</v>
          </cell>
          <cell r="O6511" t="str">
            <v>INR</v>
          </cell>
        </row>
        <row r="6512">
          <cell r="A6512" t="str">
            <v>L003 Ankleshwar</v>
          </cell>
          <cell r="B6512">
            <v>731074</v>
          </cell>
          <cell r="C6512" t="str">
            <v>SNACKS COUPON LOOSE SKY BLUE ( CONTRACT)</v>
          </cell>
          <cell r="D6512" t="str">
            <v>L0030151                       EnggStore</v>
          </cell>
          <cell r="E6512" t="str">
            <v>E01 E01</v>
          </cell>
          <cell r="F6512" t="str">
            <v>ND No planning</v>
          </cell>
          <cell r="G6512" t="str">
            <v>HIBE Operating supplies</v>
          </cell>
          <cell r="H6512" t="str">
            <v>EN040     Prinitng &amp;Stationery</v>
          </cell>
          <cell r="I6512" t="str">
            <v>L003 Ankleshwar</v>
          </cell>
          <cell r="J6512" t="str">
            <v>99 Input/Byprodt/Scrap</v>
          </cell>
          <cell r="K6512" t="str">
            <v>10.2012</v>
          </cell>
          <cell r="L6512">
            <v>20</v>
          </cell>
          <cell r="M6512" t="str">
            <v>EA</v>
          </cell>
          <cell r="N6512">
            <v>525</v>
          </cell>
          <cell r="O6512" t="str">
            <v>INR</v>
          </cell>
        </row>
        <row r="6513">
          <cell r="A6513" t="str">
            <v>L003 Ankleshwar</v>
          </cell>
          <cell r="B6513">
            <v>731091</v>
          </cell>
          <cell r="C6513" t="str">
            <v>PAINT MARKER PEN BLACK COLOUR</v>
          </cell>
          <cell r="D6513" t="str">
            <v>L0030151                       EnggStore</v>
          </cell>
          <cell r="E6513" t="str">
            <v>E42 E42</v>
          </cell>
          <cell r="F6513" t="str">
            <v>VB Manual reorder point planning</v>
          </cell>
          <cell r="G6513" t="str">
            <v>HIBE Operating supplies</v>
          </cell>
          <cell r="H6513" t="str">
            <v>EN040     Prinitng &amp;Stationery</v>
          </cell>
          <cell r="I6513" t="str">
            <v>L003 Ankleshwar</v>
          </cell>
          <cell r="J6513" t="str">
            <v>99 Input/Byprodt/Scrap</v>
          </cell>
          <cell r="K6513" t="str">
            <v>10.2012</v>
          </cell>
          <cell r="L6513">
            <v>13</v>
          </cell>
          <cell r="M6513" t="str">
            <v>EA</v>
          </cell>
          <cell r="N6513">
            <v>597.59</v>
          </cell>
          <cell r="O6513" t="str">
            <v>INR</v>
          </cell>
        </row>
        <row r="6514">
          <cell r="A6514" t="str">
            <v>L003 Ankleshwar</v>
          </cell>
          <cell r="B6514">
            <v>731194</v>
          </cell>
          <cell r="C6514" t="str">
            <v>SSWIREBRAI HOSEW/TTEFLONMFCxNE-1-1/2"X1M</v>
          </cell>
          <cell r="D6514" t="str">
            <v>L0030201                       Cons StoreKP</v>
          </cell>
          <cell r="E6514" t="str">
            <v>E01 E01</v>
          </cell>
          <cell r="F6514" t="str">
            <v>ND No planning</v>
          </cell>
          <cell r="G6514" t="str">
            <v>HIBE Operating supplies</v>
          </cell>
          <cell r="H6514" t="str">
            <v>EN027     Prod&amp;OtherConsumable</v>
          </cell>
          <cell r="I6514" t="str">
            <v>L003 Ankleshwar</v>
          </cell>
          <cell r="J6514" t="str">
            <v>99 Input/Byprodt/Scrap</v>
          </cell>
          <cell r="K6514" t="str">
            <v>10.2012</v>
          </cell>
          <cell r="L6514">
            <v>2</v>
          </cell>
          <cell r="M6514" t="str">
            <v>EA</v>
          </cell>
          <cell r="N6514">
            <v>2694.98</v>
          </cell>
          <cell r="O6514" t="str">
            <v>INR</v>
          </cell>
        </row>
        <row r="6515">
          <cell r="A6515" t="str">
            <v>L003 Ankleshwar</v>
          </cell>
          <cell r="B6515">
            <v>731208</v>
          </cell>
          <cell r="C6515" t="str">
            <v>ULB FOR TORCH 3.6V SCREW  TYPE</v>
          </cell>
          <cell r="D6515" t="str">
            <v>L0030151                       EnggStore</v>
          </cell>
          <cell r="E6515" t="str">
            <v>E01 E01</v>
          </cell>
          <cell r="F6515" t="str">
            <v>VB Manual reorder point planning</v>
          </cell>
          <cell r="G6515" t="str">
            <v>HIBE Operating supplies</v>
          </cell>
          <cell r="H6515" t="str">
            <v>EN027     Prod&amp;OtherConsumable</v>
          </cell>
          <cell r="I6515" t="str">
            <v>L003 Ankleshwar</v>
          </cell>
          <cell r="J6515" t="str">
            <v>99 Input/Byprodt/Scrap</v>
          </cell>
          <cell r="K6515" t="str">
            <v>10.2012</v>
          </cell>
          <cell r="L6515">
            <v>50</v>
          </cell>
          <cell r="M6515" t="str">
            <v>EA</v>
          </cell>
          <cell r="N6515">
            <v>204.13</v>
          </cell>
          <cell r="O6515" t="str">
            <v>INR</v>
          </cell>
        </row>
        <row r="6516">
          <cell r="A6516" t="str">
            <v>L003 Ankleshwar</v>
          </cell>
          <cell r="B6516">
            <v>731209</v>
          </cell>
          <cell r="C6516" t="str">
            <v>CASTER OIL</v>
          </cell>
          <cell r="D6516" t="str">
            <v>L0030151                       EnggStore</v>
          </cell>
          <cell r="E6516" t="str">
            <v>E01 E01</v>
          </cell>
          <cell r="F6516" t="str">
            <v>VB Manual reorder point planning</v>
          </cell>
          <cell r="G6516" t="str">
            <v>HIBE Operating supplies</v>
          </cell>
          <cell r="H6516" t="str">
            <v>EN027     Prod&amp;OtherConsumable</v>
          </cell>
          <cell r="I6516" t="str">
            <v>L003 Ankleshwar</v>
          </cell>
          <cell r="J6516" t="str">
            <v>99 Input/Byprodt/Scrap</v>
          </cell>
          <cell r="K6516" t="str">
            <v>10.2012</v>
          </cell>
          <cell r="L6516">
            <v>60</v>
          </cell>
          <cell r="M6516" t="str">
            <v>KG</v>
          </cell>
          <cell r="N6516">
            <v>6999.6</v>
          </cell>
          <cell r="O6516" t="str">
            <v>INR</v>
          </cell>
        </row>
        <row r="6517">
          <cell r="A6517" t="str">
            <v>L003 Ankleshwar</v>
          </cell>
          <cell r="B6517">
            <v>731210</v>
          </cell>
          <cell r="C6517" t="str">
            <v>3-VBA C/F-9101 A/B/C BOOK 200 PAGE</v>
          </cell>
          <cell r="D6517" t="str">
            <v>L0030151                       EnggStore</v>
          </cell>
          <cell r="E6517" t="str">
            <v>E01 E01</v>
          </cell>
          <cell r="F6517" t="str">
            <v>VB Manual reorder point planning</v>
          </cell>
          <cell r="G6517" t="str">
            <v>HIBE Operating supplies</v>
          </cell>
          <cell r="H6517" t="str">
            <v>EN027     Prod&amp;OtherConsumable</v>
          </cell>
          <cell r="I6517" t="str">
            <v>L003 Ankleshwar</v>
          </cell>
          <cell r="J6517" t="str">
            <v>99 Input/Byprodt/Scrap</v>
          </cell>
          <cell r="K6517" t="str">
            <v>10.2012</v>
          </cell>
          <cell r="L6517">
            <v>10</v>
          </cell>
          <cell r="M6517" t="str">
            <v>EA</v>
          </cell>
          <cell r="N6517">
            <v>1732.5</v>
          </cell>
          <cell r="O6517" t="str">
            <v>INR</v>
          </cell>
        </row>
        <row r="6518">
          <cell r="A6518" t="str">
            <v>L003 Ankleshwar</v>
          </cell>
          <cell r="B6518">
            <v>731232</v>
          </cell>
          <cell r="C6518" t="str">
            <v>HAZARDOUS WASTE STICKER BEIL</v>
          </cell>
          <cell r="D6518" t="str">
            <v>L0030151                       EnggStore</v>
          </cell>
          <cell r="E6518" t="str">
            <v>E01 E01</v>
          </cell>
          <cell r="F6518" t="str">
            <v>VB Manual reorder point planning</v>
          </cell>
          <cell r="G6518" t="str">
            <v>HIBE Operating supplies</v>
          </cell>
          <cell r="H6518" t="str">
            <v>EN040     Prinitng &amp;Stationery</v>
          </cell>
          <cell r="I6518" t="str">
            <v>L003 Ankleshwar</v>
          </cell>
          <cell r="J6518" t="str">
            <v>99 Input/Byprodt/Scrap</v>
          </cell>
          <cell r="K6518" t="str">
            <v>10.2012</v>
          </cell>
          <cell r="L6518">
            <v>1790</v>
          </cell>
          <cell r="M6518" t="str">
            <v>EA</v>
          </cell>
          <cell r="N6518">
            <v>7160</v>
          </cell>
          <cell r="O6518" t="str">
            <v>INR</v>
          </cell>
        </row>
        <row r="6519">
          <cell r="A6519" t="str">
            <v>L003 Ankleshwar</v>
          </cell>
          <cell r="B6519">
            <v>731246</v>
          </cell>
          <cell r="C6519" t="str">
            <v>OLD SS-316 WIRE BRAID HOSE 2"X560MM B/E</v>
          </cell>
          <cell r="D6519" t="str">
            <v>L0030151                       EnggStore</v>
          </cell>
          <cell r="E6519" t="str">
            <v>E01 E01</v>
          </cell>
          <cell r="F6519" t="str">
            <v>ND No planning</v>
          </cell>
          <cell r="G6519" t="str">
            <v>HIBE Operating supplies</v>
          </cell>
          <cell r="H6519" t="str">
            <v>EN027     Prod&amp;OtherConsumable</v>
          </cell>
          <cell r="I6519" t="str">
            <v>L003 Ankleshwar</v>
          </cell>
          <cell r="J6519" t="str">
            <v>99 Input/Byprodt/Scrap</v>
          </cell>
          <cell r="K6519" t="str">
            <v>10.2012</v>
          </cell>
          <cell r="L6519">
            <v>3</v>
          </cell>
          <cell r="M6519" t="str">
            <v>EA</v>
          </cell>
          <cell r="N6519">
            <v>3058.42</v>
          </cell>
          <cell r="O6519" t="str">
            <v>INR</v>
          </cell>
        </row>
        <row r="6520">
          <cell r="A6520" t="str">
            <v>L003 Ankleshwar</v>
          </cell>
          <cell r="B6520">
            <v>731247</v>
          </cell>
          <cell r="C6520" t="str">
            <v>OLD SS-316 WIRE BRAID HOSE 2"X480MM B/E</v>
          </cell>
          <cell r="D6520" t="str">
            <v>L0030151                       EnggStore</v>
          </cell>
          <cell r="E6520" t="str">
            <v>E01 E01</v>
          </cell>
          <cell r="F6520" t="str">
            <v>ND No planning</v>
          </cell>
          <cell r="G6520" t="str">
            <v>HIBE Operating supplies</v>
          </cell>
          <cell r="H6520" t="str">
            <v>EN027     Prod&amp;OtherConsumable</v>
          </cell>
          <cell r="I6520" t="str">
            <v>L003 Ankleshwar</v>
          </cell>
          <cell r="J6520" t="str">
            <v>99 Input/Byprodt/Scrap</v>
          </cell>
          <cell r="K6520" t="str">
            <v>10.2012</v>
          </cell>
          <cell r="L6520">
            <v>1</v>
          </cell>
          <cell r="M6520" t="str">
            <v>EA</v>
          </cell>
          <cell r="N6520">
            <v>485.31999999999903</v>
          </cell>
          <cell r="O6520" t="str">
            <v>INR</v>
          </cell>
        </row>
        <row r="6521">
          <cell r="A6521" t="str">
            <v>L003 Ankleshwar</v>
          </cell>
          <cell r="B6521">
            <v>731248</v>
          </cell>
          <cell r="C6521" t="str">
            <v>OLD SS-316 WIRE BRAID HOSE 2"X870MM B/E</v>
          </cell>
          <cell r="D6521" t="str">
            <v>L0030151                       EnggStore</v>
          </cell>
          <cell r="E6521" t="str">
            <v>E01 E01</v>
          </cell>
          <cell r="F6521" t="str">
            <v>ND No planning</v>
          </cell>
          <cell r="G6521" t="str">
            <v>HIBE Operating supplies</v>
          </cell>
          <cell r="H6521" t="str">
            <v>EN027     Prod&amp;OtherConsumable</v>
          </cell>
          <cell r="I6521" t="str">
            <v>L003 Ankleshwar</v>
          </cell>
          <cell r="J6521" t="str">
            <v>99 Input/Byprodt/Scrap</v>
          </cell>
          <cell r="K6521" t="str">
            <v>10.2012</v>
          </cell>
          <cell r="L6521">
            <v>2</v>
          </cell>
          <cell r="M6521" t="str">
            <v>EA</v>
          </cell>
          <cell r="N6521">
            <v>1481.8199999999899</v>
          </cell>
          <cell r="O6521" t="str">
            <v>INR</v>
          </cell>
        </row>
        <row r="6522">
          <cell r="A6522" t="str">
            <v>L003 Ankleshwar</v>
          </cell>
          <cell r="B6522">
            <v>731277</v>
          </cell>
          <cell r="C6522" t="str">
            <v>SODIUM LORY SULPHATE</v>
          </cell>
          <cell r="D6522" t="str">
            <v>L0030151                       EnggStore</v>
          </cell>
          <cell r="E6522" t="str">
            <v>E01 E01</v>
          </cell>
          <cell r="F6522" t="str">
            <v>ND No planning</v>
          </cell>
          <cell r="G6522" t="str">
            <v>HIBE Operating supplies</v>
          </cell>
          <cell r="H6522" t="str">
            <v>EN027     Prod&amp;OtherConsumable</v>
          </cell>
          <cell r="I6522" t="str">
            <v>L003 Ankleshwar</v>
          </cell>
          <cell r="J6522" t="str">
            <v>99 Input/Byprodt/Scrap</v>
          </cell>
          <cell r="K6522" t="str">
            <v>10.2012</v>
          </cell>
          <cell r="L6522">
            <v>160</v>
          </cell>
          <cell r="M6522" t="str">
            <v>KG</v>
          </cell>
          <cell r="N6522">
            <v>47468.089999999902</v>
          </cell>
          <cell r="O6522" t="str">
            <v>INR</v>
          </cell>
        </row>
        <row r="6523">
          <cell r="A6523" t="str">
            <v>L003 Ankleshwar</v>
          </cell>
          <cell r="B6523">
            <v>731291</v>
          </cell>
          <cell r="C6523" t="str">
            <v>3-VBA  MONITORING SHEET 200 PAGE</v>
          </cell>
          <cell r="D6523" t="str">
            <v>L0030151                       EnggStore</v>
          </cell>
          <cell r="E6523" t="str">
            <v>E01 E01</v>
          </cell>
          <cell r="F6523" t="str">
            <v>VB Manual reorder point planning</v>
          </cell>
          <cell r="G6523" t="str">
            <v>HIBE Operating supplies</v>
          </cell>
          <cell r="H6523" t="str">
            <v>EN027     Prod&amp;OtherConsumable</v>
          </cell>
          <cell r="I6523" t="str">
            <v>L003 Ankleshwar</v>
          </cell>
          <cell r="J6523" t="str">
            <v>99 Input/Byprodt/Scrap</v>
          </cell>
          <cell r="K6523" t="str">
            <v>10.2012</v>
          </cell>
          <cell r="L6523">
            <v>11</v>
          </cell>
          <cell r="M6523" t="str">
            <v>EA</v>
          </cell>
          <cell r="N6523">
            <v>1415.5</v>
          </cell>
          <cell r="O6523" t="str">
            <v>INR</v>
          </cell>
        </row>
        <row r="6524">
          <cell r="A6524" t="str">
            <v>L003 Ankleshwar</v>
          </cell>
          <cell r="B6524">
            <v>731309</v>
          </cell>
          <cell r="C6524" t="str">
            <v>STEPLER PIN BIG SIZE HP-45,(1BOX=20PKT)</v>
          </cell>
          <cell r="D6524" t="str">
            <v>L0030151                       EnggStore</v>
          </cell>
          <cell r="E6524" t="str">
            <v>E42 E42</v>
          </cell>
          <cell r="F6524" t="str">
            <v>VB Manual reorder point planning</v>
          </cell>
          <cell r="G6524" t="str">
            <v>HIBE Operating supplies</v>
          </cell>
          <cell r="H6524" t="str">
            <v>EN040     Prinitng &amp;Stationery</v>
          </cell>
          <cell r="I6524" t="str">
            <v>L003 Ankleshwar</v>
          </cell>
          <cell r="J6524" t="str">
            <v>99 Input/Byprodt/Scrap</v>
          </cell>
          <cell r="K6524" t="str">
            <v>10.2012</v>
          </cell>
          <cell r="L6524">
            <v>3.5499999999999901</v>
          </cell>
          <cell r="M6524" t="str">
            <v>BOX</v>
          </cell>
          <cell r="N6524">
            <v>2331.54</v>
          </cell>
          <cell r="O6524" t="str">
            <v>INR</v>
          </cell>
        </row>
        <row r="6525">
          <cell r="A6525" t="str">
            <v>L003 Ankleshwar</v>
          </cell>
          <cell r="B6525">
            <v>731309</v>
          </cell>
          <cell r="C6525" t="str">
            <v>STEPLER PIN BIG SIZE HP-45,(1BOX=20PKT)</v>
          </cell>
          <cell r="D6525" t="str">
            <v>L0030201                       Cons StoreKP</v>
          </cell>
          <cell r="E6525" t="str">
            <v>E42 E42</v>
          </cell>
          <cell r="F6525" t="str">
            <v>VB Manual reorder point planning</v>
          </cell>
          <cell r="G6525" t="str">
            <v>HIBE Operating supplies</v>
          </cell>
          <cell r="H6525" t="str">
            <v>EN040     Prinitng &amp;Stationery</v>
          </cell>
          <cell r="I6525" t="str">
            <v>L003 Ankleshwar</v>
          </cell>
          <cell r="J6525" t="str">
            <v>99 Input/Byprodt/Scrap</v>
          </cell>
          <cell r="K6525" t="str">
            <v>10.2012</v>
          </cell>
          <cell r="L6525">
            <v>1</v>
          </cell>
          <cell r="M6525" t="str">
            <v>BOX</v>
          </cell>
          <cell r="N6525">
            <v>656.76999999999896</v>
          </cell>
          <cell r="O6525" t="str">
            <v>INR</v>
          </cell>
        </row>
        <row r="6526">
          <cell r="A6526" t="str">
            <v>L003 Ankleshwar</v>
          </cell>
          <cell r="B6526">
            <v>731324</v>
          </cell>
          <cell r="C6526" t="str">
            <v>SPLITTER DOWN TIME REGISTER (7ADCA)</v>
          </cell>
          <cell r="D6526" t="str">
            <v>L0030151                       EnggStore</v>
          </cell>
          <cell r="E6526" t="str">
            <v>E01 E01</v>
          </cell>
          <cell r="F6526" t="str">
            <v>VB Manual reorder point planning</v>
          </cell>
          <cell r="G6526" t="str">
            <v>HIBE Operating supplies</v>
          </cell>
          <cell r="H6526" t="str">
            <v>EN040     Prinitng &amp;Stationery</v>
          </cell>
          <cell r="I6526" t="str">
            <v>L003 Ankleshwar</v>
          </cell>
          <cell r="J6526" t="str">
            <v>99 Input/Byprodt/Scrap</v>
          </cell>
          <cell r="K6526" t="str">
            <v>10.2012</v>
          </cell>
          <cell r="L6526">
            <v>5</v>
          </cell>
          <cell r="M6526" t="str">
            <v>EA</v>
          </cell>
          <cell r="N6526">
            <v>866.66999999999905</v>
          </cell>
          <cell r="O6526" t="str">
            <v>INR</v>
          </cell>
        </row>
        <row r="6527">
          <cell r="A6527" t="str">
            <v>L003 Ankleshwar</v>
          </cell>
          <cell r="B6527">
            <v>731324</v>
          </cell>
          <cell r="C6527" t="str">
            <v>SPLITTER DOWN TIME REGISTER (7ADCA)</v>
          </cell>
          <cell r="D6527" t="str">
            <v>L0030201                       Cons StoreKP</v>
          </cell>
          <cell r="E6527" t="str">
            <v>E01 E01</v>
          </cell>
          <cell r="F6527" t="str">
            <v>VB Manual reorder point planning</v>
          </cell>
          <cell r="G6527" t="str">
            <v>HIBE Operating supplies</v>
          </cell>
          <cell r="H6527" t="str">
            <v>EN040     Prinitng &amp;Stationery</v>
          </cell>
          <cell r="I6527" t="str">
            <v>L003 Ankleshwar</v>
          </cell>
          <cell r="J6527" t="str">
            <v>99 Input/Byprodt/Scrap</v>
          </cell>
          <cell r="K6527" t="str">
            <v>10.2012</v>
          </cell>
          <cell r="L6527">
            <v>10</v>
          </cell>
          <cell r="M6527" t="str">
            <v>EA</v>
          </cell>
          <cell r="N6527">
            <v>1733.3299999999899</v>
          </cell>
          <cell r="O6527" t="str">
            <v>INR</v>
          </cell>
        </row>
        <row r="6528">
          <cell r="A6528" t="str">
            <v>L003 Ankleshwar</v>
          </cell>
          <cell r="B6528">
            <v>731325</v>
          </cell>
          <cell r="C6528" t="str">
            <v>7AMCA C/F-6101 TRT BOOK</v>
          </cell>
          <cell r="D6528" t="str">
            <v>L0030151                       EnggStore</v>
          </cell>
          <cell r="E6528" t="str">
            <v>E01 E01</v>
          </cell>
          <cell r="F6528" t="str">
            <v>VB Manual reorder point planning</v>
          </cell>
          <cell r="G6528" t="str">
            <v>HIBE Operating supplies</v>
          </cell>
          <cell r="H6528" t="str">
            <v>EN040     Prinitng &amp;Stationery</v>
          </cell>
          <cell r="I6528" t="str">
            <v>L003 Ankleshwar</v>
          </cell>
          <cell r="J6528" t="str">
            <v>99 Input/Byprodt/Scrap</v>
          </cell>
          <cell r="K6528" t="str">
            <v>10.2012</v>
          </cell>
          <cell r="L6528">
            <v>5</v>
          </cell>
          <cell r="M6528" t="str">
            <v>EA</v>
          </cell>
          <cell r="N6528">
            <v>291.63</v>
          </cell>
          <cell r="O6528" t="str">
            <v>INR</v>
          </cell>
        </row>
        <row r="6529">
          <cell r="A6529" t="str">
            <v>L003 Ankleshwar</v>
          </cell>
          <cell r="B6529">
            <v>731326</v>
          </cell>
          <cell r="C6529" t="str">
            <v>ENZYME DETAILS REGISTER OF 7ADCA</v>
          </cell>
          <cell r="D6529" t="str">
            <v>L0030151                       EnggStore</v>
          </cell>
          <cell r="E6529" t="str">
            <v>E01 E01</v>
          </cell>
          <cell r="F6529" t="str">
            <v>VB Manual reorder point planning</v>
          </cell>
          <cell r="G6529" t="str">
            <v>HIBE Operating supplies</v>
          </cell>
          <cell r="H6529" t="str">
            <v>EN040     Prinitng &amp;Stationery</v>
          </cell>
          <cell r="I6529" t="str">
            <v>L003 Ankleshwar</v>
          </cell>
          <cell r="J6529" t="str">
            <v>99 Input/Byprodt/Scrap</v>
          </cell>
          <cell r="K6529" t="str">
            <v>10.2012</v>
          </cell>
          <cell r="L6529">
            <v>3</v>
          </cell>
          <cell r="M6529" t="str">
            <v>EA</v>
          </cell>
          <cell r="N6529">
            <v>840</v>
          </cell>
          <cell r="O6529" t="str">
            <v>INR</v>
          </cell>
        </row>
        <row r="6530">
          <cell r="A6530" t="str">
            <v>L003 Ankleshwar</v>
          </cell>
          <cell r="B6530">
            <v>731450</v>
          </cell>
          <cell r="C6530" t="str">
            <v>RULLED ROUGH PAD 1X80 PAGE 1/8</v>
          </cell>
          <cell r="D6530" t="str">
            <v>L0030151                       EnggStore</v>
          </cell>
          <cell r="E6530" t="str">
            <v>E01 E01</v>
          </cell>
          <cell r="F6530" t="str">
            <v>VB Manual reorder point planning</v>
          </cell>
          <cell r="G6530" t="str">
            <v>HIBE Operating supplies</v>
          </cell>
          <cell r="H6530" t="str">
            <v>EN040     Prinitng &amp;Stationery</v>
          </cell>
          <cell r="I6530" t="str">
            <v>L003 Ankleshwar</v>
          </cell>
          <cell r="J6530" t="str">
            <v>99 Input/Byprodt/Scrap</v>
          </cell>
          <cell r="K6530" t="str">
            <v>10.2012</v>
          </cell>
          <cell r="L6530">
            <v>17</v>
          </cell>
          <cell r="M6530" t="str">
            <v>EA</v>
          </cell>
          <cell r="N6530">
            <v>160.65</v>
          </cell>
          <cell r="O6530" t="str">
            <v>INR</v>
          </cell>
        </row>
        <row r="6531">
          <cell r="A6531" t="str">
            <v>L003 Ankleshwar</v>
          </cell>
          <cell r="B6531">
            <v>731464</v>
          </cell>
          <cell r="C6531" t="str">
            <v>ALLUMINIUM ROAD CLEANING PATTI 2'</v>
          </cell>
          <cell r="D6531" t="str">
            <v>L0030151                       EnggStore</v>
          </cell>
          <cell r="E6531" t="str">
            <v>E42 E42</v>
          </cell>
          <cell r="F6531" t="str">
            <v>VB Manual reorder point planning</v>
          </cell>
          <cell r="G6531" t="str">
            <v>HIBE Operating supplies</v>
          </cell>
          <cell r="H6531" t="str">
            <v>EN014     Housekeeping</v>
          </cell>
          <cell r="I6531" t="str">
            <v>L003 Ankleshwar</v>
          </cell>
          <cell r="J6531" t="str">
            <v>99 Input/Byprodt/Scrap</v>
          </cell>
          <cell r="K6531" t="str">
            <v>10.2012</v>
          </cell>
          <cell r="L6531">
            <v>16</v>
          </cell>
          <cell r="M6531" t="str">
            <v>EA</v>
          </cell>
          <cell r="N6531">
            <v>2493.6199999999899</v>
          </cell>
          <cell r="O6531" t="str">
            <v>INR</v>
          </cell>
        </row>
        <row r="6532">
          <cell r="A6532" t="str">
            <v>L003 Ankleshwar</v>
          </cell>
          <cell r="B6532">
            <v>731464</v>
          </cell>
          <cell r="C6532" t="str">
            <v>ALLUMINIUM ROAD CLEANING PATTI 2'</v>
          </cell>
          <cell r="D6532" t="str">
            <v>L0030201                       Cons StoreKP</v>
          </cell>
          <cell r="E6532" t="str">
            <v>E42 E42</v>
          </cell>
          <cell r="F6532" t="str">
            <v>VB Manual reorder point planning</v>
          </cell>
          <cell r="G6532" t="str">
            <v>HIBE Operating supplies</v>
          </cell>
          <cell r="H6532" t="str">
            <v>EN014     Housekeeping</v>
          </cell>
          <cell r="I6532" t="str">
            <v>L003 Ankleshwar</v>
          </cell>
          <cell r="J6532" t="str">
            <v>99 Input/Byprodt/Scrap</v>
          </cell>
          <cell r="K6532" t="str">
            <v>10.2012</v>
          </cell>
          <cell r="L6532">
            <v>13</v>
          </cell>
          <cell r="M6532" t="str">
            <v>EA</v>
          </cell>
          <cell r="N6532">
            <v>2026.0599999999899</v>
          </cell>
          <cell r="O6532" t="str">
            <v>INR</v>
          </cell>
        </row>
        <row r="6533">
          <cell r="A6533" t="str">
            <v>L003 Ankleshwar</v>
          </cell>
          <cell r="B6533">
            <v>731465</v>
          </cell>
          <cell r="C6533" t="str">
            <v>DURA CELL ALKALINE 1.5V FOR TORCH</v>
          </cell>
          <cell r="D6533" t="str">
            <v>L0030151                       EnggStore</v>
          </cell>
          <cell r="E6533" t="str">
            <v>E01 E01</v>
          </cell>
          <cell r="F6533" t="str">
            <v>VB Manual reorder point planning</v>
          </cell>
          <cell r="G6533" t="str">
            <v>HIBE Operating supplies</v>
          </cell>
          <cell r="H6533" t="str">
            <v>EN027     Prod&amp;OtherConsumable</v>
          </cell>
          <cell r="I6533" t="str">
            <v>L003 Ankleshwar</v>
          </cell>
          <cell r="J6533" t="str">
            <v>99 Input/Byprodt/Scrap</v>
          </cell>
          <cell r="K6533" t="str">
            <v>10.2012</v>
          </cell>
          <cell r="L6533">
            <v>27</v>
          </cell>
          <cell r="M6533" t="str">
            <v>EA</v>
          </cell>
          <cell r="N6533">
            <v>2050.38</v>
          </cell>
          <cell r="O6533" t="str">
            <v>INR</v>
          </cell>
        </row>
        <row r="6534">
          <cell r="A6534" t="str">
            <v>L003 Ankleshwar</v>
          </cell>
          <cell r="B6534">
            <v>731465</v>
          </cell>
          <cell r="C6534" t="str">
            <v>DURA CELL ALKALINE 1.5V FOR TORCH</v>
          </cell>
          <cell r="D6534" t="str">
            <v>L0030201                       Cons StoreKP</v>
          </cell>
          <cell r="E6534" t="str">
            <v>E01 E01</v>
          </cell>
          <cell r="F6534" t="str">
            <v>VB Manual reorder point planning</v>
          </cell>
          <cell r="G6534" t="str">
            <v>HIBE Operating supplies</v>
          </cell>
          <cell r="H6534" t="str">
            <v>EN027     Prod&amp;OtherConsumable</v>
          </cell>
          <cell r="I6534" t="str">
            <v>L003 Ankleshwar</v>
          </cell>
          <cell r="J6534" t="str">
            <v>99 Input/Byprodt/Scrap</v>
          </cell>
          <cell r="K6534" t="str">
            <v>10.2012</v>
          </cell>
          <cell r="L6534">
            <v>6</v>
          </cell>
          <cell r="M6534" t="str">
            <v>EA</v>
          </cell>
          <cell r="N6534">
            <v>455.63999999999902</v>
          </cell>
          <cell r="O6534" t="str">
            <v>INR</v>
          </cell>
        </row>
        <row r="6535">
          <cell r="A6535" t="str">
            <v>L003 Ankleshwar</v>
          </cell>
          <cell r="B6535">
            <v>731471</v>
          </cell>
          <cell r="C6535" t="str">
            <v>SS-316 WIRE BRAIDED HOSE MFCxNE2"X1.0M</v>
          </cell>
          <cell r="D6535" t="str">
            <v>L0030151                       EnggStore</v>
          </cell>
          <cell r="E6535" t="str">
            <v>E01 E01</v>
          </cell>
          <cell r="F6535" t="str">
            <v>ND No planning</v>
          </cell>
          <cell r="G6535" t="str">
            <v>HIBE Operating supplies</v>
          </cell>
          <cell r="H6535" t="str">
            <v>EN027     Prod&amp;OtherConsumable</v>
          </cell>
          <cell r="I6535" t="str">
            <v>L003 Ankleshwar</v>
          </cell>
          <cell r="J6535" t="str">
            <v>99 Input/Byprodt/Scrap</v>
          </cell>
          <cell r="K6535" t="str">
            <v>10.2012</v>
          </cell>
          <cell r="L6535">
            <v>2</v>
          </cell>
          <cell r="M6535" t="str">
            <v>EA</v>
          </cell>
          <cell r="N6535">
            <v>8881.61</v>
          </cell>
          <cell r="O6535" t="str">
            <v>INR</v>
          </cell>
        </row>
        <row r="6536">
          <cell r="A6536" t="str">
            <v>L003 Ankleshwar</v>
          </cell>
          <cell r="B6536">
            <v>731481</v>
          </cell>
          <cell r="C6536" t="str">
            <v>AHU-1 PRIMARY FILTER 10 MIC</v>
          </cell>
          <cell r="D6536" t="str">
            <v>L0030151                       EnggStore</v>
          </cell>
          <cell r="E6536" t="str">
            <v>E01 E01</v>
          </cell>
          <cell r="F6536" t="str">
            <v>ND No planning</v>
          </cell>
          <cell r="G6536" t="str">
            <v>HIBE Operating supplies</v>
          </cell>
          <cell r="H6536" t="str">
            <v>EN027     Prod&amp;OtherConsumable</v>
          </cell>
          <cell r="I6536" t="str">
            <v>L003 Ankleshwar</v>
          </cell>
          <cell r="J6536" t="str">
            <v>99 Input/Byprodt/Scrap</v>
          </cell>
          <cell r="K6536" t="str">
            <v>10.2012</v>
          </cell>
          <cell r="L6536">
            <v>1</v>
          </cell>
          <cell r="M6536" t="str">
            <v>EA</v>
          </cell>
          <cell r="N6536">
            <v>1661.24</v>
          </cell>
          <cell r="O6536" t="str">
            <v>INR</v>
          </cell>
        </row>
        <row r="6537">
          <cell r="A6537" t="str">
            <v>L003 Ankleshwar</v>
          </cell>
          <cell r="B6537">
            <v>731490</v>
          </cell>
          <cell r="C6537" t="str">
            <v>MEOH RECO HOURLY RECORD C-4601 100 PAGE</v>
          </cell>
          <cell r="D6537" t="str">
            <v>L0030151                       EnggStore</v>
          </cell>
          <cell r="E6537" t="str">
            <v>E01 E01</v>
          </cell>
          <cell r="F6537" t="str">
            <v>ND No planning</v>
          </cell>
          <cell r="G6537" t="str">
            <v>HIBE Operating supplies</v>
          </cell>
          <cell r="H6537" t="str">
            <v>EN027     Prod&amp;OtherConsumable</v>
          </cell>
          <cell r="I6537" t="str">
            <v>L003 Ankleshwar</v>
          </cell>
          <cell r="J6537" t="str">
            <v>99 Input/Byprodt/Scrap</v>
          </cell>
          <cell r="K6537" t="str">
            <v>10.2012</v>
          </cell>
          <cell r="L6537">
            <v>1</v>
          </cell>
          <cell r="M6537" t="str">
            <v>EA</v>
          </cell>
          <cell r="N6537">
            <v>130</v>
          </cell>
          <cell r="O6537" t="str">
            <v>INR</v>
          </cell>
        </row>
        <row r="6538">
          <cell r="A6538" t="str">
            <v>L003 Ankleshwar</v>
          </cell>
          <cell r="B6538">
            <v>731574</v>
          </cell>
          <cell r="C6538" t="str">
            <v>7APCA PP AREA PRODUCTION&amp;SOLVENT BOOK</v>
          </cell>
          <cell r="D6538" t="str">
            <v>L0030151                       EnggStore</v>
          </cell>
          <cell r="E6538" t="str">
            <v>E01 E01</v>
          </cell>
          <cell r="F6538" t="str">
            <v>VB Manual reorder point planning</v>
          </cell>
          <cell r="G6538" t="str">
            <v>HIBE Operating supplies</v>
          </cell>
          <cell r="H6538" t="str">
            <v>EN040     Prinitng &amp;Stationery</v>
          </cell>
          <cell r="I6538" t="str">
            <v>L003 Ankleshwar</v>
          </cell>
          <cell r="J6538" t="str">
            <v>99 Input/Byprodt/Scrap</v>
          </cell>
          <cell r="K6538" t="str">
            <v>10.2012</v>
          </cell>
          <cell r="L6538">
            <v>4</v>
          </cell>
          <cell r="M6538" t="str">
            <v>EA</v>
          </cell>
          <cell r="N6538">
            <v>2079.09</v>
          </cell>
          <cell r="O6538" t="str">
            <v>INR</v>
          </cell>
        </row>
        <row r="6539">
          <cell r="A6539" t="str">
            <v>L003 Ankleshwar</v>
          </cell>
          <cell r="B6539">
            <v>731575</v>
          </cell>
          <cell r="C6539" t="str">
            <v>3PGCLE PRODUCTION&amp;SOLVENT BOOK</v>
          </cell>
          <cell r="D6539" t="str">
            <v>L0030151                       EnggStore</v>
          </cell>
          <cell r="E6539" t="str">
            <v>E01 E01</v>
          </cell>
          <cell r="F6539" t="str">
            <v>VB Manual reorder point planning</v>
          </cell>
          <cell r="G6539" t="str">
            <v>HIBE Operating supplies</v>
          </cell>
          <cell r="H6539" t="str">
            <v>EN040     Prinitng &amp;Stationery</v>
          </cell>
          <cell r="I6539" t="str">
            <v>L003 Ankleshwar</v>
          </cell>
          <cell r="J6539" t="str">
            <v>99 Input/Byprodt/Scrap</v>
          </cell>
          <cell r="K6539" t="str">
            <v>10.2012</v>
          </cell>
          <cell r="L6539">
            <v>4</v>
          </cell>
          <cell r="M6539" t="str">
            <v>EA</v>
          </cell>
          <cell r="N6539">
            <v>2127.69</v>
          </cell>
          <cell r="O6539" t="str">
            <v>INR</v>
          </cell>
        </row>
        <row r="6540">
          <cell r="A6540" t="str">
            <v>L003 Ankleshwar</v>
          </cell>
          <cell r="B6540">
            <v>731576</v>
          </cell>
          <cell r="C6540" t="str">
            <v>7APCA PRODUCTION&amp;SOLVENT BOOK</v>
          </cell>
          <cell r="D6540" t="str">
            <v>L0030151                       EnggStore</v>
          </cell>
          <cell r="E6540" t="str">
            <v>E01 E01</v>
          </cell>
          <cell r="F6540" t="str">
            <v>VB Manual reorder point planning</v>
          </cell>
          <cell r="G6540" t="str">
            <v>HIBE Operating supplies</v>
          </cell>
          <cell r="H6540" t="str">
            <v>EN040     Prinitng &amp;Stationery</v>
          </cell>
          <cell r="I6540" t="str">
            <v>L003 Ankleshwar</v>
          </cell>
          <cell r="J6540" t="str">
            <v>99 Input/Byprodt/Scrap</v>
          </cell>
          <cell r="K6540" t="str">
            <v>10.2012</v>
          </cell>
          <cell r="L6540">
            <v>2</v>
          </cell>
          <cell r="M6540" t="str">
            <v>EA</v>
          </cell>
          <cell r="N6540">
            <v>1527.69</v>
          </cell>
          <cell r="O6540" t="str">
            <v>INR</v>
          </cell>
        </row>
        <row r="6541">
          <cell r="A6541" t="str">
            <v>L003 Ankleshwar</v>
          </cell>
          <cell r="B6541">
            <v>731577</v>
          </cell>
          <cell r="C6541" t="str">
            <v>7APCA &amp;3 PGCLE PRODUCTION&amp;SOLVENT BOOK</v>
          </cell>
          <cell r="D6541" t="str">
            <v>L0030151                       EnggStore</v>
          </cell>
          <cell r="E6541" t="str">
            <v>E01 E01</v>
          </cell>
          <cell r="F6541" t="str">
            <v>VB Manual reorder point planning</v>
          </cell>
          <cell r="G6541" t="str">
            <v>HIBE Operating supplies</v>
          </cell>
          <cell r="H6541" t="str">
            <v>EN040     Prinitng &amp;Stationery</v>
          </cell>
          <cell r="I6541" t="str">
            <v>L003 Ankleshwar</v>
          </cell>
          <cell r="J6541" t="str">
            <v>99 Input/Byprodt/Scrap</v>
          </cell>
          <cell r="K6541" t="str">
            <v>10.2012</v>
          </cell>
          <cell r="L6541">
            <v>1</v>
          </cell>
          <cell r="M6541" t="str">
            <v>EA</v>
          </cell>
          <cell r="N6541">
            <v>850</v>
          </cell>
          <cell r="O6541" t="str">
            <v>INR</v>
          </cell>
        </row>
        <row r="6542">
          <cell r="A6542" t="str">
            <v>L003 Ankleshwar</v>
          </cell>
          <cell r="B6542">
            <v>731603</v>
          </cell>
          <cell r="C6542" t="str">
            <v>BLUE  INK BOTTLE</v>
          </cell>
          <cell r="D6542" t="str">
            <v>L0030151                       EnggStore</v>
          </cell>
          <cell r="E6542" t="str">
            <v>E42 E42</v>
          </cell>
          <cell r="F6542" t="str">
            <v>VB Manual reorder point planning</v>
          </cell>
          <cell r="G6542" t="str">
            <v>HIBE Operating supplies</v>
          </cell>
          <cell r="H6542" t="str">
            <v>EN040     Prinitng &amp;Stationery</v>
          </cell>
          <cell r="I6542" t="str">
            <v>L003 Ankleshwar</v>
          </cell>
          <cell r="J6542" t="str">
            <v>99 Input/Byprodt/Scrap</v>
          </cell>
          <cell r="K6542" t="str">
            <v>10.2012</v>
          </cell>
          <cell r="L6542">
            <v>3</v>
          </cell>
          <cell r="M6542" t="str">
            <v>EA</v>
          </cell>
          <cell r="N6542">
            <v>122.849999999999</v>
          </cell>
          <cell r="O6542" t="str">
            <v>INR</v>
          </cell>
        </row>
        <row r="6543">
          <cell r="A6543" t="str">
            <v>L003 Ankleshwar</v>
          </cell>
          <cell r="B6543">
            <v>731635</v>
          </cell>
          <cell r="C6543" t="str">
            <v>BATCH TRT REGISTER CEFA PLANT1X100P</v>
          </cell>
          <cell r="D6543" t="str">
            <v>L0030201                       Cons StoreKP</v>
          </cell>
          <cell r="E6543">
            <v>0</v>
          </cell>
          <cell r="F6543" t="str">
            <v>ND No planning</v>
          </cell>
          <cell r="G6543" t="str">
            <v>HIBE Operating supplies</v>
          </cell>
          <cell r="H6543" t="str">
            <v>EN027     Prod&amp;OtherConsumable</v>
          </cell>
          <cell r="I6543" t="str">
            <v>L003 Ankleshwar</v>
          </cell>
          <cell r="J6543" t="str">
            <v>99 Input/Byprodt/Scrap</v>
          </cell>
          <cell r="K6543" t="str">
            <v>10.2012</v>
          </cell>
          <cell r="L6543">
            <v>2</v>
          </cell>
          <cell r="M6543" t="str">
            <v>EA</v>
          </cell>
          <cell r="N6543">
            <v>243.599999999999</v>
          </cell>
          <cell r="O6543" t="str">
            <v>INR</v>
          </cell>
        </row>
        <row r="6544">
          <cell r="A6544" t="str">
            <v>L003 Ankleshwar</v>
          </cell>
          <cell r="B6544">
            <v>731646</v>
          </cell>
          <cell r="C6544" t="str">
            <v>ANTISTATIC SAMPLE BAG1KG 8"X11"X250GAUGE</v>
          </cell>
          <cell r="D6544" t="str">
            <v>L0030151                       EnggStore</v>
          </cell>
          <cell r="E6544" t="str">
            <v>E42 E42</v>
          </cell>
          <cell r="F6544" t="str">
            <v>VB Manual reorder point planning</v>
          </cell>
          <cell r="G6544" t="str">
            <v>HIBE Operating supplies</v>
          </cell>
          <cell r="H6544" t="str">
            <v>EN027     Prod&amp;OtherConsumable</v>
          </cell>
          <cell r="I6544" t="str">
            <v>L003 Ankleshwar</v>
          </cell>
          <cell r="J6544" t="str">
            <v>99 Input/Byprodt/Scrap</v>
          </cell>
          <cell r="K6544" t="str">
            <v>10.2012</v>
          </cell>
          <cell r="L6544">
            <v>9.1999999999999904</v>
          </cell>
          <cell r="M6544" t="str">
            <v>KG</v>
          </cell>
          <cell r="N6544">
            <v>1050.21</v>
          </cell>
          <cell r="O6544" t="str">
            <v>INR</v>
          </cell>
        </row>
        <row r="6545">
          <cell r="A6545" t="str">
            <v>L003 Ankleshwar</v>
          </cell>
          <cell r="B6545">
            <v>731646</v>
          </cell>
          <cell r="C6545" t="str">
            <v>ANTISTATIC SAMPLE BAG1KG 8"X11"X250GAUGE</v>
          </cell>
          <cell r="D6545" t="str">
            <v>L0030201                       Cons StoreKP</v>
          </cell>
          <cell r="E6545" t="str">
            <v>E42 E42</v>
          </cell>
          <cell r="F6545" t="str">
            <v>VB Manual reorder point planning</v>
          </cell>
          <cell r="G6545" t="str">
            <v>HIBE Operating supplies</v>
          </cell>
          <cell r="H6545" t="str">
            <v>EN027     Prod&amp;OtherConsumable</v>
          </cell>
          <cell r="I6545" t="str">
            <v>L003 Ankleshwar</v>
          </cell>
          <cell r="J6545" t="str">
            <v>99 Input/Byprodt/Scrap</v>
          </cell>
          <cell r="K6545" t="str">
            <v>10.2012</v>
          </cell>
          <cell r="L6545">
            <v>20.5</v>
          </cell>
          <cell r="M6545" t="str">
            <v>KG</v>
          </cell>
          <cell r="N6545">
            <v>2340.13</v>
          </cell>
          <cell r="O6545" t="str">
            <v>INR</v>
          </cell>
        </row>
        <row r="6546">
          <cell r="A6546" t="str">
            <v>L003 Ankleshwar</v>
          </cell>
          <cell r="B6546">
            <v>731648</v>
          </cell>
          <cell r="C6546" t="str">
            <v>ANTISTATICSAMPLEBAG 5KGS15"X18"X250GAUGE</v>
          </cell>
          <cell r="D6546" t="str">
            <v>L0030201                       Cons StoreKP</v>
          </cell>
          <cell r="E6546" t="str">
            <v>E42 E42</v>
          </cell>
          <cell r="F6546" t="str">
            <v>VB Manual reorder point planning</v>
          </cell>
          <cell r="G6546" t="str">
            <v>HIBE Operating supplies</v>
          </cell>
          <cell r="H6546" t="str">
            <v>EN027     Prod&amp;OtherConsumable</v>
          </cell>
          <cell r="I6546" t="str">
            <v>L003 Ankleshwar</v>
          </cell>
          <cell r="J6546" t="str">
            <v>99 Input/Byprodt/Scrap</v>
          </cell>
          <cell r="K6546" t="str">
            <v>10.2012</v>
          </cell>
          <cell r="L6546">
            <v>137.69999999999899</v>
          </cell>
          <cell r="M6546" t="str">
            <v>KG</v>
          </cell>
          <cell r="N6546">
            <v>15263.84</v>
          </cell>
          <cell r="O6546" t="str">
            <v>INR</v>
          </cell>
        </row>
        <row r="6547">
          <cell r="A6547" t="str">
            <v>L003 Ankleshwar</v>
          </cell>
          <cell r="B6547">
            <v>731650</v>
          </cell>
          <cell r="C6547" t="str">
            <v>DP/PP-900S C/F BAG 48"F-3701A 7ACCA</v>
          </cell>
          <cell r="D6547" t="str">
            <v>L0030201                       Cons StoreKP</v>
          </cell>
          <cell r="E6547" t="str">
            <v>E01 E01</v>
          </cell>
          <cell r="F6547" t="str">
            <v>VB Manual reorder point planning</v>
          </cell>
          <cell r="G6547" t="str">
            <v>HIBE Operating supplies</v>
          </cell>
          <cell r="H6547" t="str">
            <v>EN027     Prod&amp;OtherConsumable</v>
          </cell>
          <cell r="I6547" t="str">
            <v>L003 Ankleshwar</v>
          </cell>
          <cell r="J6547" t="str">
            <v>99 Input/Byprodt/Scrap</v>
          </cell>
          <cell r="K6547" t="str">
            <v>10.2012</v>
          </cell>
          <cell r="L6547">
            <v>2</v>
          </cell>
          <cell r="M6547" t="str">
            <v>EA</v>
          </cell>
          <cell r="N6547">
            <v>4306</v>
          </cell>
          <cell r="O6547" t="str">
            <v>INR</v>
          </cell>
        </row>
        <row r="6548">
          <cell r="A6548" t="str">
            <v>L003 Ankleshwar</v>
          </cell>
          <cell r="B6548">
            <v>731661</v>
          </cell>
          <cell r="C6548" t="str">
            <v>HOSEPIPE-CHEMICALRUBBERDUNLOP:FExFE1"X1M</v>
          </cell>
          <cell r="D6548" t="str">
            <v>L0030151                       EnggStore</v>
          </cell>
          <cell r="E6548" t="str">
            <v>E01 E01</v>
          </cell>
          <cell r="F6548" t="str">
            <v>VB Manual reorder point planning</v>
          </cell>
          <cell r="G6548" t="str">
            <v>HIBE Operating supplies</v>
          </cell>
          <cell r="H6548" t="str">
            <v>EN027     Prod&amp;OtherConsumable</v>
          </cell>
          <cell r="I6548" t="str">
            <v>L003 Ankleshwar</v>
          </cell>
          <cell r="J6548" t="str">
            <v>99 Input/Byprodt/Scrap</v>
          </cell>
          <cell r="K6548" t="str">
            <v>10.2012</v>
          </cell>
          <cell r="L6548">
            <v>1</v>
          </cell>
          <cell r="M6548" t="str">
            <v>EA</v>
          </cell>
          <cell r="N6548">
            <v>2269.5</v>
          </cell>
          <cell r="O6548" t="str">
            <v>INR</v>
          </cell>
        </row>
        <row r="6549">
          <cell r="A6549" t="str">
            <v>L003 Ankleshwar</v>
          </cell>
          <cell r="B6549">
            <v>731685</v>
          </cell>
          <cell r="C6549" t="str">
            <v>D CAT ,R CAT &amp; L2ABT BOOK</v>
          </cell>
          <cell r="D6549" t="str">
            <v>L0030151                       EnggStore</v>
          </cell>
          <cell r="E6549" t="str">
            <v>E01 E01</v>
          </cell>
          <cell r="F6549" t="str">
            <v>VB Manual reorder point planning</v>
          </cell>
          <cell r="G6549" t="str">
            <v>HIBE Operating supplies</v>
          </cell>
          <cell r="H6549" t="str">
            <v>EN040     Prinitng &amp;Stationery</v>
          </cell>
          <cell r="I6549" t="str">
            <v>L003 Ankleshwar</v>
          </cell>
          <cell r="J6549" t="str">
            <v>99 Input/Byprodt/Scrap</v>
          </cell>
          <cell r="K6549" t="str">
            <v>10.2012</v>
          </cell>
          <cell r="L6549">
            <v>4</v>
          </cell>
          <cell r="M6549" t="str">
            <v>EA</v>
          </cell>
          <cell r="N6549">
            <v>640</v>
          </cell>
          <cell r="O6549" t="str">
            <v>INR</v>
          </cell>
        </row>
        <row r="6550">
          <cell r="A6550" t="str">
            <v>L003 Ankleshwar</v>
          </cell>
          <cell r="B6550">
            <v>731734</v>
          </cell>
          <cell r="C6550" t="str">
            <v>BUTTON PIN FOR NOTICE BOARD</v>
          </cell>
          <cell r="D6550" t="str">
            <v>L0030151                       EnggStore</v>
          </cell>
          <cell r="E6550" t="str">
            <v>E01 E01</v>
          </cell>
          <cell r="F6550" t="str">
            <v>VB Manual reorder point planning</v>
          </cell>
          <cell r="G6550" t="str">
            <v>HIBE Operating supplies</v>
          </cell>
          <cell r="H6550" t="str">
            <v>EN040     Prinitng &amp;Stationery</v>
          </cell>
          <cell r="I6550" t="str">
            <v>L003 Ankleshwar</v>
          </cell>
          <cell r="J6550" t="str">
            <v>99 Input/Byprodt/Scrap</v>
          </cell>
          <cell r="K6550" t="str">
            <v>10.2012</v>
          </cell>
          <cell r="L6550">
            <v>7</v>
          </cell>
          <cell r="M6550" t="str">
            <v>PAC</v>
          </cell>
          <cell r="N6550">
            <v>176.4</v>
          </cell>
          <cell r="O6550" t="str">
            <v>INR</v>
          </cell>
        </row>
        <row r="6551">
          <cell r="A6551" t="str">
            <v>L003 Ankleshwar</v>
          </cell>
          <cell r="B6551">
            <v>731735</v>
          </cell>
          <cell r="C6551" t="str">
            <v>RM RETURN REQUISITION BOOK 1+1X100 PAGE</v>
          </cell>
          <cell r="D6551" t="str">
            <v>L0030201                       Cons StoreKP</v>
          </cell>
          <cell r="E6551" t="str">
            <v>E01 E01</v>
          </cell>
          <cell r="F6551" t="str">
            <v>VB Manual reorder point planning</v>
          </cell>
          <cell r="G6551" t="str">
            <v>HIBE Operating supplies</v>
          </cell>
          <cell r="H6551" t="str">
            <v>EN040     Prinitng &amp;Stationery</v>
          </cell>
          <cell r="I6551" t="str">
            <v>L003 Ankleshwar</v>
          </cell>
          <cell r="J6551" t="str">
            <v>99 Input/Byprodt/Scrap</v>
          </cell>
          <cell r="K6551" t="str">
            <v>10.2012</v>
          </cell>
          <cell r="L6551">
            <v>5</v>
          </cell>
          <cell r="M6551" t="str">
            <v>EA</v>
          </cell>
          <cell r="N6551">
            <v>290.29000000000002</v>
          </cell>
          <cell r="O6551" t="str">
            <v>INR</v>
          </cell>
        </row>
        <row r="6552">
          <cell r="A6552" t="str">
            <v>L003 Ankleshwar</v>
          </cell>
          <cell r="B6552">
            <v>731786</v>
          </cell>
          <cell r="C6552" t="str">
            <v>3 VBA TO 7AE PRODUCTION REGISTER100P</v>
          </cell>
          <cell r="D6552" t="str">
            <v>L0030151                       EnggStore</v>
          </cell>
          <cell r="E6552" t="str">
            <v>E01 E01</v>
          </cell>
          <cell r="F6552" t="str">
            <v>VB Manual reorder point planning</v>
          </cell>
          <cell r="G6552" t="str">
            <v>HIBE Operating supplies</v>
          </cell>
          <cell r="H6552" t="str">
            <v>EN040     Prinitng &amp;Stationery</v>
          </cell>
          <cell r="I6552" t="str">
            <v>L003 Ankleshwar</v>
          </cell>
          <cell r="J6552" t="str">
            <v>99 Input/Byprodt/Scrap</v>
          </cell>
          <cell r="K6552" t="str">
            <v>10.2012</v>
          </cell>
          <cell r="L6552">
            <v>1</v>
          </cell>
          <cell r="M6552" t="str">
            <v>EA</v>
          </cell>
          <cell r="N6552">
            <v>2500</v>
          </cell>
          <cell r="O6552" t="str">
            <v>INR</v>
          </cell>
        </row>
        <row r="6553">
          <cell r="A6553" t="str">
            <v>L003 Ankleshwar</v>
          </cell>
          <cell r="B6553">
            <v>731787</v>
          </cell>
          <cell r="C6553" t="str">
            <v>3 PGCLE TO 7APCA PRODUCTION REGISTER100P</v>
          </cell>
          <cell r="D6553" t="str">
            <v>L0030151                       EnggStore</v>
          </cell>
          <cell r="E6553" t="str">
            <v>E01 E01</v>
          </cell>
          <cell r="F6553" t="str">
            <v>VB Manual reorder point planning</v>
          </cell>
          <cell r="G6553" t="str">
            <v>HIBE Operating supplies</v>
          </cell>
          <cell r="H6553" t="str">
            <v>EN040     Prinitng &amp;Stationery</v>
          </cell>
          <cell r="I6553" t="str">
            <v>L003 Ankleshwar</v>
          </cell>
          <cell r="J6553" t="str">
            <v>99 Input/Byprodt/Scrap</v>
          </cell>
          <cell r="K6553" t="str">
            <v>10.2012</v>
          </cell>
          <cell r="L6553">
            <v>1</v>
          </cell>
          <cell r="M6553" t="str">
            <v>EA</v>
          </cell>
          <cell r="N6553">
            <v>3200</v>
          </cell>
          <cell r="O6553" t="str">
            <v>INR</v>
          </cell>
        </row>
        <row r="6554">
          <cell r="A6554" t="str">
            <v>L003 Ankleshwar</v>
          </cell>
          <cell r="B6554">
            <v>731788</v>
          </cell>
          <cell r="C6554" t="str">
            <v>7AMCA TO CEFACID PRODUCTION REGISTER100P</v>
          </cell>
          <cell r="D6554" t="str">
            <v>L0030151                       EnggStore</v>
          </cell>
          <cell r="E6554" t="str">
            <v>E01 E01</v>
          </cell>
          <cell r="F6554" t="str">
            <v>VB Manual reorder point planning</v>
          </cell>
          <cell r="G6554" t="str">
            <v>HIBE Operating supplies</v>
          </cell>
          <cell r="H6554" t="str">
            <v>EN040     Prinitng &amp;Stationery</v>
          </cell>
          <cell r="I6554" t="str">
            <v>L003 Ankleshwar</v>
          </cell>
          <cell r="J6554" t="str">
            <v>99 Input/Byprodt/Scrap</v>
          </cell>
          <cell r="K6554" t="str">
            <v>10.2012</v>
          </cell>
          <cell r="L6554">
            <v>4</v>
          </cell>
          <cell r="M6554" t="str">
            <v>EA</v>
          </cell>
          <cell r="N6554">
            <v>760</v>
          </cell>
          <cell r="O6554" t="str">
            <v>INR</v>
          </cell>
        </row>
        <row r="6555">
          <cell r="A6555" t="str">
            <v>L003 Ankleshwar</v>
          </cell>
          <cell r="B6555">
            <v>731793</v>
          </cell>
          <cell r="C6555" t="str">
            <v>SIEVE SS316 30" SIFTER X 60 MESH</v>
          </cell>
          <cell r="D6555" t="str">
            <v>L0030151                       EnggStore</v>
          </cell>
          <cell r="E6555" t="str">
            <v>E01 E01</v>
          </cell>
          <cell r="F6555" t="str">
            <v>VB Manual reorder point planning</v>
          </cell>
          <cell r="G6555" t="str">
            <v>HIBE Operating supplies</v>
          </cell>
          <cell r="H6555" t="str">
            <v>EN027     Prod&amp;OtherConsumable</v>
          </cell>
          <cell r="I6555" t="str">
            <v>L003 Ankleshwar</v>
          </cell>
          <cell r="J6555" t="str">
            <v>99 Input/Byprodt/Scrap</v>
          </cell>
          <cell r="K6555" t="str">
            <v>10.2012</v>
          </cell>
          <cell r="L6555">
            <v>2</v>
          </cell>
          <cell r="M6555" t="str">
            <v>EA</v>
          </cell>
          <cell r="N6555">
            <v>5866.64</v>
          </cell>
          <cell r="O6555" t="str">
            <v>INR</v>
          </cell>
        </row>
        <row r="6556">
          <cell r="A6556" t="str">
            <v>L003 Ankleshwar</v>
          </cell>
          <cell r="B6556">
            <v>731794</v>
          </cell>
          <cell r="C6556" t="str">
            <v>SIEVE SS316 30" SIFTER X 80 MESH</v>
          </cell>
          <cell r="D6556" t="str">
            <v>L0030151                       EnggStore</v>
          </cell>
          <cell r="E6556" t="str">
            <v>E01 E01</v>
          </cell>
          <cell r="F6556" t="str">
            <v>VB Manual reorder point planning</v>
          </cell>
          <cell r="G6556" t="str">
            <v>HIBE Operating supplies</v>
          </cell>
          <cell r="H6556" t="str">
            <v>EN027     Prod&amp;OtherConsumable</v>
          </cell>
          <cell r="I6556" t="str">
            <v>L003 Ankleshwar</v>
          </cell>
          <cell r="J6556" t="str">
            <v>99 Input/Byprodt/Scrap</v>
          </cell>
          <cell r="K6556" t="str">
            <v>10.2012</v>
          </cell>
          <cell r="L6556">
            <v>3</v>
          </cell>
          <cell r="M6556" t="str">
            <v>EA</v>
          </cell>
          <cell r="N6556">
            <v>8799.94</v>
          </cell>
          <cell r="O6556" t="str">
            <v>INR</v>
          </cell>
        </row>
        <row r="6557">
          <cell r="A6557" t="str">
            <v>L003 Ankleshwar</v>
          </cell>
          <cell r="B6557">
            <v>731797</v>
          </cell>
          <cell r="C6557" t="str">
            <v>PP/DP-900S ANTISTATIC C/F BAG 36"F-3601A</v>
          </cell>
          <cell r="D6557" t="str">
            <v>L0030151                       EnggStore</v>
          </cell>
          <cell r="E6557" t="str">
            <v>E42 E42</v>
          </cell>
          <cell r="F6557" t="str">
            <v>VB Manual reorder point planning</v>
          </cell>
          <cell r="G6557" t="str">
            <v>HIBE Operating supplies</v>
          </cell>
          <cell r="H6557" t="str">
            <v>EN027     Prod&amp;OtherConsumable</v>
          </cell>
          <cell r="I6557" t="str">
            <v>L003 Ankleshwar</v>
          </cell>
          <cell r="J6557" t="str">
            <v>99 Input/Byprodt/Scrap</v>
          </cell>
          <cell r="K6557" t="str">
            <v>10.2012</v>
          </cell>
          <cell r="L6557">
            <v>5</v>
          </cell>
          <cell r="M6557" t="str">
            <v>EA</v>
          </cell>
          <cell r="N6557">
            <v>5750</v>
          </cell>
          <cell r="O6557" t="str">
            <v>INR</v>
          </cell>
        </row>
        <row r="6558">
          <cell r="A6558" t="str">
            <v>L003 Ankleshwar</v>
          </cell>
          <cell r="B6558">
            <v>731798</v>
          </cell>
          <cell r="C6558" t="str">
            <v>PP/DP-900S ANTISTATIC C/F BAG 48"F-3601C</v>
          </cell>
          <cell r="D6558" t="str">
            <v>L0030201                       Cons StoreKP</v>
          </cell>
          <cell r="E6558" t="str">
            <v>E42 E42</v>
          </cell>
          <cell r="F6558" t="str">
            <v>VB Manual reorder point planning</v>
          </cell>
          <cell r="G6558" t="str">
            <v>HIBE Operating supplies</v>
          </cell>
          <cell r="H6558" t="str">
            <v>EN027     Prod&amp;OtherConsumable</v>
          </cell>
          <cell r="I6558" t="str">
            <v>L003 Ankleshwar</v>
          </cell>
          <cell r="J6558" t="str">
            <v>99 Input/Byprodt/Scrap</v>
          </cell>
          <cell r="K6558" t="str">
            <v>10.2012</v>
          </cell>
          <cell r="L6558">
            <v>13</v>
          </cell>
          <cell r="M6558" t="str">
            <v>EA</v>
          </cell>
          <cell r="N6558">
            <v>27989</v>
          </cell>
          <cell r="O6558" t="str">
            <v>INR</v>
          </cell>
        </row>
        <row r="6559">
          <cell r="A6559" t="str">
            <v>L003 Ankleshwar</v>
          </cell>
          <cell r="B6559">
            <v>731799</v>
          </cell>
          <cell r="C6559" t="str">
            <v>PP/DP-900S ANTISTATIC C/F BAG 48"F-3601B</v>
          </cell>
          <cell r="D6559" t="str">
            <v>L0030201                       Cons StoreKP</v>
          </cell>
          <cell r="E6559" t="str">
            <v>E42 E42</v>
          </cell>
          <cell r="F6559" t="str">
            <v>VB Manual reorder point planning</v>
          </cell>
          <cell r="G6559" t="str">
            <v>HIBE Operating supplies</v>
          </cell>
          <cell r="H6559" t="str">
            <v>EN027     Prod&amp;OtherConsumable</v>
          </cell>
          <cell r="I6559" t="str">
            <v>L003 Ankleshwar</v>
          </cell>
          <cell r="J6559" t="str">
            <v>99 Input/Byprodt/Scrap</v>
          </cell>
          <cell r="K6559" t="str">
            <v>10.2012</v>
          </cell>
          <cell r="L6559">
            <v>4</v>
          </cell>
          <cell r="M6559" t="str">
            <v>EA</v>
          </cell>
          <cell r="N6559">
            <v>8612</v>
          </cell>
          <cell r="O6559" t="str">
            <v>INR</v>
          </cell>
        </row>
        <row r="6560">
          <cell r="A6560" t="str">
            <v>L003 Ankleshwar</v>
          </cell>
          <cell r="B6560">
            <v>731800</v>
          </cell>
          <cell r="C6560" t="str">
            <v>PP/DP-900SANTISTATICC/FBAG48"F-3301A/B/C</v>
          </cell>
          <cell r="D6560" t="str">
            <v>L0030201                       Cons StoreKP</v>
          </cell>
          <cell r="E6560" t="str">
            <v>E42 E42</v>
          </cell>
          <cell r="F6560" t="str">
            <v>VB Manual reorder point planning</v>
          </cell>
          <cell r="G6560" t="str">
            <v>HIBE Operating supplies</v>
          </cell>
          <cell r="H6560" t="str">
            <v>EN027     Prod&amp;OtherConsumable</v>
          </cell>
          <cell r="I6560" t="str">
            <v>L003 Ankleshwar</v>
          </cell>
          <cell r="J6560" t="str">
            <v>99 Input/Byprodt/Scrap</v>
          </cell>
          <cell r="K6560" t="str">
            <v>10.2012</v>
          </cell>
          <cell r="L6560">
            <v>6</v>
          </cell>
          <cell r="M6560" t="str">
            <v>EA</v>
          </cell>
          <cell r="N6560">
            <v>12918</v>
          </cell>
          <cell r="O6560" t="str">
            <v>INR</v>
          </cell>
        </row>
        <row r="6561">
          <cell r="A6561" t="str">
            <v>L003 Ankleshwar</v>
          </cell>
          <cell r="B6561">
            <v>731839</v>
          </cell>
          <cell r="C6561" t="str">
            <v>WATER CONSUMPTION OF MPP</v>
          </cell>
          <cell r="D6561" t="str">
            <v>L0030151                       EnggStore</v>
          </cell>
          <cell r="E6561" t="str">
            <v>E01 E01</v>
          </cell>
          <cell r="F6561" t="str">
            <v>VB Manual reorder point planning</v>
          </cell>
          <cell r="G6561" t="str">
            <v>HIBE Operating supplies</v>
          </cell>
          <cell r="H6561" t="str">
            <v>EN040     Prinitng &amp;Stationery</v>
          </cell>
          <cell r="I6561" t="str">
            <v>L003 Ankleshwar</v>
          </cell>
          <cell r="J6561" t="str">
            <v>99 Input/Byprodt/Scrap</v>
          </cell>
          <cell r="K6561" t="str">
            <v>10.2012</v>
          </cell>
          <cell r="L6561">
            <v>2</v>
          </cell>
          <cell r="M6561" t="str">
            <v>EA</v>
          </cell>
          <cell r="N6561">
            <v>2900</v>
          </cell>
          <cell r="O6561" t="str">
            <v>INR</v>
          </cell>
        </row>
        <row r="6562">
          <cell r="A6562" t="str">
            <v>L003 Ankleshwar</v>
          </cell>
          <cell r="B6562">
            <v>731840</v>
          </cell>
          <cell r="C6562" t="str">
            <v>DMA DRYING REGISTER</v>
          </cell>
          <cell r="D6562" t="str">
            <v>L0030151                       EnggStore</v>
          </cell>
          <cell r="E6562" t="str">
            <v>E01 E01</v>
          </cell>
          <cell r="F6562" t="str">
            <v>VB Manual reorder point planning</v>
          </cell>
          <cell r="G6562" t="str">
            <v>HIBE Operating supplies</v>
          </cell>
          <cell r="H6562" t="str">
            <v>EN040     Prinitng &amp;Stationery</v>
          </cell>
          <cell r="I6562" t="str">
            <v>L003 Ankleshwar</v>
          </cell>
          <cell r="J6562" t="str">
            <v>99 Input/Byprodt/Scrap</v>
          </cell>
          <cell r="K6562" t="str">
            <v>10.2012</v>
          </cell>
          <cell r="L6562">
            <v>1</v>
          </cell>
          <cell r="M6562" t="str">
            <v>EA</v>
          </cell>
          <cell r="N6562">
            <v>325</v>
          </cell>
          <cell r="O6562" t="str">
            <v>INR</v>
          </cell>
        </row>
        <row r="6563">
          <cell r="A6563" t="str">
            <v>L003 Ankleshwar</v>
          </cell>
          <cell r="B6563">
            <v>731845</v>
          </cell>
          <cell r="C6563" t="str">
            <v>D-900 ANTISTATIC C/F BAG 36"F-701 TO-706</v>
          </cell>
          <cell r="D6563" t="str">
            <v>L0030151                       EnggStore</v>
          </cell>
          <cell r="E6563" t="str">
            <v>E42 E42</v>
          </cell>
          <cell r="F6563" t="str">
            <v>VB Manual reorder point planning</v>
          </cell>
          <cell r="G6563" t="str">
            <v>HIBE Operating supplies</v>
          </cell>
          <cell r="H6563" t="str">
            <v>EN027     Prod&amp;OtherConsumable</v>
          </cell>
          <cell r="I6563" t="str">
            <v>L003 Ankleshwar</v>
          </cell>
          <cell r="J6563" t="str">
            <v>99 Input/Byprodt/Scrap</v>
          </cell>
          <cell r="K6563" t="str">
            <v>10.2012</v>
          </cell>
          <cell r="L6563">
            <v>2</v>
          </cell>
          <cell r="M6563" t="str">
            <v>EA</v>
          </cell>
          <cell r="N6563">
            <v>1487.73</v>
          </cell>
          <cell r="O6563" t="str">
            <v>INR</v>
          </cell>
        </row>
        <row r="6564">
          <cell r="A6564" t="str">
            <v>L003 Ankleshwar</v>
          </cell>
          <cell r="B6564">
            <v>731845</v>
          </cell>
          <cell r="C6564" t="str">
            <v>D-900 ANTISTATIC C/F BAG 36"F-701 TO-706</v>
          </cell>
          <cell r="D6564" t="str">
            <v>L0030201                       Cons StoreKP</v>
          </cell>
          <cell r="E6564" t="str">
            <v>E42 E42</v>
          </cell>
          <cell r="F6564" t="str">
            <v>VB Manual reorder point planning</v>
          </cell>
          <cell r="G6564" t="str">
            <v>HIBE Operating supplies</v>
          </cell>
          <cell r="H6564" t="str">
            <v>EN027     Prod&amp;OtherConsumable</v>
          </cell>
          <cell r="I6564" t="str">
            <v>L003 Ankleshwar</v>
          </cell>
          <cell r="J6564" t="str">
            <v>99 Input/Byprodt/Scrap</v>
          </cell>
          <cell r="K6564" t="str">
            <v>10.2012</v>
          </cell>
          <cell r="L6564">
            <v>4</v>
          </cell>
          <cell r="M6564" t="str">
            <v>EA</v>
          </cell>
          <cell r="N6564">
            <v>2975.46</v>
          </cell>
          <cell r="O6564" t="str">
            <v>INR</v>
          </cell>
        </row>
        <row r="6565">
          <cell r="A6565" t="str">
            <v>L003 Ankleshwar</v>
          </cell>
          <cell r="B6565">
            <v>731846</v>
          </cell>
          <cell r="C6565" t="str">
            <v>D-1000 ANTISTATIC C/F BAG 48"F-507A</v>
          </cell>
          <cell r="D6565" t="str">
            <v>L0030151                       EnggStore</v>
          </cell>
          <cell r="E6565" t="str">
            <v>E42 E42</v>
          </cell>
          <cell r="F6565" t="str">
            <v>VB Manual reorder point planning</v>
          </cell>
          <cell r="G6565" t="str">
            <v>HIBE Operating supplies</v>
          </cell>
          <cell r="H6565" t="str">
            <v>EN027     Prod&amp;OtherConsumable</v>
          </cell>
          <cell r="I6565" t="str">
            <v>L003 Ankleshwar</v>
          </cell>
          <cell r="J6565" t="str">
            <v>99 Input/Byprodt/Scrap</v>
          </cell>
          <cell r="K6565" t="str">
            <v>10.2012</v>
          </cell>
          <cell r="L6565">
            <v>4</v>
          </cell>
          <cell r="M6565" t="str">
            <v>EA</v>
          </cell>
          <cell r="N6565">
            <v>5680</v>
          </cell>
          <cell r="O6565" t="str">
            <v>INR</v>
          </cell>
        </row>
        <row r="6566">
          <cell r="A6566" t="str">
            <v>L003 Ankleshwar</v>
          </cell>
          <cell r="B6566">
            <v>731847</v>
          </cell>
          <cell r="C6566" t="str">
            <v>D-1000 ANTISTATIC C/F BAG 48"F-507B</v>
          </cell>
          <cell r="D6566" t="str">
            <v>L0030151                       EnggStore</v>
          </cell>
          <cell r="E6566" t="str">
            <v>E42 E42</v>
          </cell>
          <cell r="F6566" t="str">
            <v>VB Manual reorder point planning</v>
          </cell>
          <cell r="G6566" t="str">
            <v>HIBE Operating supplies</v>
          </cell>
          <cell r="H6566" t="str">
            <v>EN027     Prod&amp;OtherConsumable</v>
          </cell>
          <cell r="I6566" t="str">
            <v>L003 Ankleshwar</v>
          </cell>
          <cell r="J6566" t="str">
            <v>99 Input/Byprodt/Scrap</v>
          </cell>
          <cell r="K6566" t="str">
            <v>10.2012</v>
          </cell>
          <cell r="L6566">
            <v>3</v>
          </cell>
          <cell r="M6566" t="str">
            <v>EA</v>
          </cell>
          <cell r="N6566">
            <v>4350</v>
          </cell>
          <cell r="O6566" t="str">
            <v>INR</v>
          </cell>
        </row>
        <row r="6567">
          <cell r="A6567" t="str">
            <v>L003 Ankleshwar</v>
          </cell>
          <cell r="B6567">
            <v>731848</v>
          </cell>
          <cell r="C6567" t="str">
            <v>DP/PP-900S ANTISTA C/FBAG 36"F-501- 505</v>
          </cell>
          <cell r="D6567" t="str">
            <v>L0030151                       EnggStore</v>
          </cell>
          <cell r="E6567" t="str">
            <v>E42 E42</v>
          </cell>
          <cell r="F6567" t="str">
            <v>VB Manual reorder point planning</v>
          </cell>
          <cell r="G6567" t="str">
            <v>HIBE Operating supplies</v>
          </cell>
          <cell r="H6567" t="str">
            <v>EN027     Prod&amp;OtherConsumable</v>
          </cell>
          <cell r="I6567" t="str">
            <v>L003 Ankleshwar</v>
          </cell>
          <cell r="J6567" t="str">
            <v>99 Input/Byprodt/Scrap</v>
          </cell>
          <cell r="K6567" t="str">
            <v>10.2012</v>
          </cell>
          <cell r="L6567">
            <v>7</v>
          </cell>
          <cell r="M6567" t="str">
            <v>EA</v>
          </cell>
          <cell r="N6567">
            <v>10080</v>
          </cell>
          <cell r="O6567" t="str">
            <v>INR</v>
          </cell>
        </row>
        <row r="6568">
          <cell r="A6568" t="str">
            <v>L003 Ankleshwar</v>
          </cell>
          <cell r="B6568">
            <v>731849</v>
          </cell>
          <cell r="C6568" t="str">
            <v>PPD-1100&amp;D-900 ANTISTA C/F BAG36"F-509</v>
          </cell>
          <cell r="D6568" t="str">
            <v>L0030201                       Cons StoreKP</v>
          </cell>
          <cell r="E6568" t="str">
            <v>E42 E42</v>
          </cell>
          <cell r="F6568" t="str">
            <v>VB Manual reorder point planning</v>
          </cell>
          <cell r="G6568" t="str">
            <v>HIBE Operating supplies</v>
          </cell>
          <cell r="H6568" t="str">
            <v>EN027     Prod&amp;OtherConsumable</v>
          </cell>
          <cell r="I6568" t="str">
            <v>L003 Ankleshwar</v>
          </cell>
          <cell r="J6568" t="str">
            <v>99 Input/Byprodt/Scrap</v>
          </cell>
          <cell r="K6568" t="str">
            <v>10.2012</v>
          </cell>
          <cell r="L6568">
            <v>3</v>
          </cell>
          <cell r="M6568" t="str">
            <v>EA</v>
          </cell>
          <cell r="N6568">
            <v>3104</v>
          </cell>
          <cell r="O6568" t="str">
            <v>INR</v>
          </cell>
        </row>
        <row r="6569">
          <cell r="A6569" t="str">
            <v>L003 Ankleshwar</v>
          </cell>
          <cell r="B6569">
            <v>731850</v>
          </cell>
          <cell r="C6569" t="str">
            <v>D-900 ANTISTATIC C/F BAG 36"F-301 TO-302</v>
          </cell>
          <cell r="D6569" t="str">
            <v>L0030151                       EnggStore</v>
          </cell>
          <cell r="E6569" t="str">
            <v>E42 E42</v>
          </cell>
          <cell r="F6569" t="str">
            <v>VB Manual reorder point planning</v>
          </cell>
          <cell r="G6569" t="str">
            <v>HIBE Operating supplies</v>
          </cell>
          <cell r="H6569" t="str">
            <v>EN027     Prod&amp;OtherConsumable</v>
          </cell>
          <cell r="I6569" t="str">
            <v>L003 Ankleshwar</v>
          </cell>
          <cell r="J6569" t="str">
            <v>99 Input/Byprodt/Scrap</v>
          </cell>
          <cell r="K6569" t="str">
            <v>10.2012</v>
          </cell>
          <cell r="L6569">
            <v>3</v>
          </cell>
          <cell r="M6569" t="str">
            <v>EA</v>
          </cell>
          <cell r="N6569">
            <v>2190.25</v>
          </cell>
          <cell r="O6569" t="str">
            <v>INR</v>
          </cell>
        </row>
        <row r="6570">
          <cell r="A6570" t="str">
            <v>L003 Ankleshwar</v>
          </cell>
          <cell r="B6570">
            <v>731851</v>
          </cell>
          <cell r="C6570" t="str">
            <v>D-900 ANTISTATIC C/F BAG 48"F-305 TO-306</v>
          </cell>
          <cell r="D6570" t="str">
            <v>L0030151                       EnggStore</v>
          </cell>
          <cell r="E6570" t="str">
            <v>E42 E42</v>
          </cell>
          <cell r="F6570" t="str">
            <v>VB Manual reorder point planning</v>
          </cell>
          <cell r="G6570" t="str">
            <v>HIBE Operating supplies</v>
          </cell>
          <cell r="H6570" t="str">
            <v>EN027     Prod&amp;OtherConsumable</v>
          </cell>
          <cell r="I6570" t="str">
            <v>L003 Ankleshwar</v>
          </cell>
          <cell r="J6570" t="str">
            <v>99 Input/Byprodt/Scrap</v>
          </cell>
          <cell r="K6570" t="str">
            <v>10.2012</v>
          </cell>
          <cell r="L6570">
            <v>4</v>
          </cell>
          <cell r="M6570" t="str">
            <v>EA</v>
          </cell>
          <cell r="N6570">
            <v>4037.48</v>
          </cell>
          <cell r="O6570" t="str">
            <v>INR</v>
          </cell>
        </row>
        <row r="6571">
          <cell r="A6571" t="str">
            <v>L003 Ankleshwar</v>
          </cell>
          <cell r="B6571">
            <v>731872</v>
          </cell>
          <cell r="C6571" t="str">
            <v>DMA PRODUCTION REGISTER</v>
          </cell>
          <cell r="D6571" t="str">
            <v>L0030151                       EnggStore</v>
          </cell>
          <cell r="E6571" t="str">
            <v>E01 E01</v>
          </cell>
          <cell r="F6571" t="str">
            <v>VB Manual reorder point planning</v>
          </cell>
          <cell r="G6571" t="str">
            <v>HIBE Operating supplies</v>
          </cell>
          <cell r="H6571" t="str">
            <v>EN040     Prinitng &amp;Stationery</v>
          </cell>
          <cell r="I6571" t="str">
            <v>L003 Ankleshwar</v>
          </cell>
          <cell r="J6571" t="str">
            <v>99 Input/Byprodt/Scrap</v>
          </cell>
          <cell r="K6571" t="str">
            <v>10.2012</v>
          </cell>
          <cell r="L6571">
            <v>1</v>
          </cell>
          <cell r="M6571" t="str">
            <v>EA</v>
          </cell>
          <cell r="N6571">
            <v>325</v>
          </cell>
          <cell r="O6571" t="str">
            <v>INR</v>
          </cell>
        </row>
        <row r="6572">
          <cell r="A6572" t="str">
            <v>L003 Ankleshwar</v>
          </cell>
          <cell r="B6572">
            <v>731908</v>
          </cell>
          <cell r="C6572" t="str">
            <v>LABEL OF DRY CEPHALEXIN AFTER COMPACTING</v>
          </cell>
          <cell r="D6572" t="str">
            <v>L0030151                       EnggStore</v>
          </cell>
          <cell r="E6572" t="str">
            <v>E01 E01</v>
          </cell>
          <cell r="F6572" t="str">
            <v>VB Manual reorder point planning</v>
          </cell>
          <cell r="G6572" t="str">
            <v>HIBE Operating supplies</v>
          </cell>
          <cell r="H6572" t="str">
            <v>EN040     Prinitng &amp;Stationery</v>
          </cell>
          <cell r="I6572" t="str">
            <v>L003 Ankleshwar</v>
          </cell>
          <cell r="J6572" t="str">
            <v>99 Input/Byprodt/Scrap</v>
          </cell>
          <cell r="K6572" t="str">
            <v>10.2012</v>
          </cell>
          <cell r="L6572">
            <v>900</v>
          </cell>
          <cell r="M6572" t="str">
            <v>EA</v>
          </cell>
          <cell r="N6572">
            <v>900</v>
          </cell>
          <cell r="O6572" t="str">
            <v>INR</v>
          </cell>
        </row>
        <row r="6573">
          <cell r="A6573" t="str">
            <v>L003 Ankleshwar</v>
          </cell>
          <cell r="B6573">
            <v>731909</v>
          </cell>
          <cell r="C6573" t="str">
            <v>LABEL OF DRY CEPHALEXIN (TAIL END)</v>
          </cell>
          <cell r="D6573" t="str">
            <v>L0030151                       EnggStore</v>
          </cell>
          <cell r="E6573" t="str">
            <v>E01 E01</v>
          </cell>
          <cell r="F6573" t="str">
            <v>VB Manual reorder point planning</v>
          </cell>
          <cell r="G6573" t="str">
            <v>HIBE Operating supplies</v>
          </cell>
          <cell r="H6573" t="str">
            <v>EN040     Prinitng &amp;Stationery</v>
          </cell>
          <cell r="I6573" t="str">
            <v>L003 Ankleshwar</v>
          </cell>
          <cell r="J6573" t="str">
            <v>99 Input/Byprodt/Scrap</v>
          </cell>
          <cell r="K6573" t="str">
            <v>10.2012</v>
          </cell>
          <cell r="L6573">
            <v>940</v>
          </cell>
          <cell r="M6573" t="str">
            <v>EA</v>
          </cell>
          <cell r="N6573">
            <v>940</v>
          </cell>
          <cell r="O6573" t="str">
            <v>INR</v>
          </cell>
        </row>
        <row r="6574">
          <cell r="A6574" t="str">
            <v>L003 Ankleshwar</v>
          </cell>
          <cell r="B6574">
            <v>731910</v>
          </cell>
          <cell r="C6574" t="str">
            <v>LABEL OF DRY CEPHALEXIN AFTER SIFTING</v>
          </cell>
          <cell r="D6574" t="str">
            <v>L0030151                       EnggStore</v>
          </cell>
          <cell r="E6574" t="str">
            <v>E01 E01</v>
          </cell>
          <cell r="F6574" t="str">
            <v>VB Manual reorder point planning</v>
          </cell>
          <cell r="G6574" t="str">
            <v>HIBE Operating supplies</v>
          </cell>
          <cell r="H6574" t="str">
            <v>EN040     Prinitng &amp;Stationery</v>
          </cell>
          <cell r="I6574" t="str">
            <v>L003 Ankleshwar</v>
          </cell>
          <cell r="J6574" t="str">
            <v>99 Input/Byprodt/Scrap</v>
          </cell>
          <cell r="K6574" t="str">
            <v>10.2012</v>
          </cell>
          <cell r="L6574">
            <v>20</v>
          </cell>
          <cell r="M6574" t="str">
            <v>EA</v>
          </cell>
          <cell r="N6574">
            <v>20</v>
          </cell>
          <cell r="O6574" t="str">
            <v>INR</v>
          </cell>
        </row>
        <row r="6575">
          <cell r="A6575" t="str">
            <v>L003 Ankleshwar</v>
          </cell>
          <cell r="B6575">
            <v>731910</v>
          </cell>
          <cell r="C6575" t="str">
            <v>LABEL OF DRY CEPHALEXIN AFTER SIFTING</v>
          </cell>
          <cell r="D6575" t="str">
            <v>L0030201                       Cons StoreKP</v>
          </cell>
          <cell r="E6575" t="str">
            <v>E01 E01</v>
          </cell>
          <cell r="F6575" t="str">
            <v>VB Manual reorder point planning</v>
          </cell>
          <cell r="G6575" t="str">
            <v>HIBE Operating supplies</v>
          </cell>
          <cell r="H6575" t="str">
            <v>EN040     Prinitng &amp;Stationery</v>
          </cell>
          <cell r="I6575" t="str">
            <v>L003 Ankleshwar</v>
          </cell>
          <cell r="J6575" t="str">
            <v>99 Input/Byprodt/Scrap</v>
          </cell>
          <cell r="K6575" t="str">
            <v>10.2012</v>
          </cell>
          <cell r="L6575">
            <v>1000</v>
          </cell>
          <cell r="M6575" t="str">
            <v>EA</v>
          </cell>
          <cell r="N6575">
            <v>1000</v>
          </cell>
          <cell r="O6575" t="str">
            <v>INR</v>
          </cell>
        </row>
        <row r="6576">
          <cell r="A6576" t="str">
            <v>L003 Ankleshwar</v>
          </cell>
          <cell r="B6576">
            <v>731921</v>
          </cell>
          <cell r="C6576" t="str">
            <v>LABEL OF DRY CEPHALEXIN (OVERSIZE)</v>
          </cell>
          <cell r="D6576" t="str">
            <v>L0030151                       EnggStore</v>
          </cell>
          <cell r="E6576" t="str">
            <v>E01 E01</v>
          </cell>
          <cell r="F6576" t="str">
            <v>VB Manual reorder point planning</v>
          </cell>
          <cell r="G6576" t="str">
            <v>HIBE Operating supplies</v>
          </cell>
          <cell r="H6576" t="str">
            <v>EN040     Prinitng &amp;Stationery</v>
          </cell>
          <cell r="I6576" t="str">
            <v>L003 Ankleshwar</v>
          </cell>
          <cell r="J6576" t="str">
            <v>99 Input/Byprodt/Scrap</v>
          </cell>
          <cell r="K6576" t="str">
            <v>10.2012</v>
          </cell>
          <cell r="L6576">
            <v>950</v>
          </cell>
          <cell r="M6576" t="str">
            <v>EA</v>
          </cell>
          <cell r="N6576">
            <v>950</v>
          </cell>
          <cell r="O6576" t="str">
            <v>INR</v>
          </cell>
        </row>
        <row r="6577">
          <cell r="A6577" t="str">
            <v>L003 Ankleshwar</v>
          </cell>
          <cell r="B6577">
            <v>731922</v>
          </cell>
          <cell r="C6577" t="str">
            <v>LABEL OF WET CEPHALEXIN</v>
          </cell>
          <cell r="D6577" t="str">
            <v>L0030151                       EnggStore</v>
          </cell>
          <cell r="E6577" t="str">
            <v>E01 E01</v>
          </cell>
          <cell r="F6577" t="str">
            <v>VB Manual reorder point planning</v>
          </cell>
          <cell r="G6577" t="str">
            <v>HIBE Operating supplies</v>
          </cell>
          <cell r="H6577" t="str">
            <v>EN040     Prinitng &amp;Stationery</v>
          </cell>
          <cell r="I6577" t="str">
            <v>L003 Ankleshwar</v>
          </cell>
          <cell r="J6577" t="str">
            <v>99 Input/Byprodt/Scrap</v>
          </cell>
          <cell r="K6577" t="str">
            <v>10.2012</v>
          </cell>
          <cell r="L6577">
            <v>1000</v>
          </cell>
          <cell r="M6577" t="str">
            <v>EA</v>
          </cell>
          <cell r="N6577">
            <v>1000</v>
          </cell>
          <cell r="O6577" t="str">
            <v>INR</v>
          </cell>
        </row>
        <row r="6578">
          <cell r="A6578" t="str">
            <v>L003 Ankleshwar</v>
          </cell>
          <cell r="B6578">
            <v>731923</v>
          </cell>
          <cell r="C6578" t="str">
            <v>LABEL OF DRY CEPHALEXIN</v>
          </cell>
          <cell r="D6578" t="str">
            <v>L0030201                       Cons StoreKP</v>
          </cell>
          <cell r="E6578" t="str">
            <v>E01 E01</v>
          </cell>
          <cell r="F6578" t="str">
            <v>VB Manual reorder point planning</v>
          </cell>
          <cell r="G6578" t="str">
            <v>HIBE Operating supplies</v>
          </cell>
          <cell r="H6578" t="str">
            <v>EN040     Prinitng &amp;Stationery</v>
          </cell>
          <cell r="I6578" t="str">
            <v>L003 Ankleshwar</v>
          </cell>
          <cell r="J6578" t="str">
            <v>99 Input/Byprodt/Scrap</v>
          </cell>
          <cell r="K6578" t="str">
            <v>10.2012</v>
          </cell>
          <cell r="L6578">
            <v>1000</v>
          </cell>
          <cell r="M6578" t="str">
            <v>EA</v>
          </cell>
          <cell r="N6578">
            <v>1000</v>
          </cell>
          <cell r="O6578" t="str">
            <v>INR</v>
          </cell>
        </row>
        <row r="6579">
          <cell r="A6579" t="str">
            <v>L003 Ankleshwar</v>
          </cell>
          <cell r="B6579">
            <v>731924</v>
          </cell>
          <cell r="C6579" t="str">
            <v>LABEL OF DRY CEPHALEXIN AFTER MILLING</v>
          </cell>
          <cell r="D6579" t="str">
            <v>L0030151                       EnggStore</v>
          </cell>
          <cell r="E6579" t="str">
            <v>E01 E01</v>
          </cell>
          <cell r="F6579" t="str">
            <v>VB Manual reorder point planning</v>
          </cell>
          <cell r="G6579" t="str">
            <v>HIBE Operating supplies</v>
          </cell>
          <cell r="H6579" t="str">
            <v>EN040     Prinitng &amp;Stationery</v>
          </cell>
          <cell r="I6579" t="str">
            <v>L003 Ankleshwar</v>
          </cell>
          <cell r="J6579" t="str">
            <v>99 Input/Byprodt/Scrap</v>
          </cell>
          <cell r="K6579" t="str">
            <v>10.2012</v>
          </cell>
          <cell r="L6579">
            <v>650</v>
          </cell>
          <cell r="M6579" t="str">
            <v>EA</v>
          </cell>
          <cell r="N6579">
            <v>650</v>
          </cell>
          <cell r="O6579" t="str">
            <v>INR</v>
          </cell>
        </row>
        <row r="6580">
          <cell r="A6580" t="str">
            <v>L003 Ankleshwar</v>
          </cell>
          <cell r="B6580">
            <v>731925</v>
          </cell>
          <cell r="C6580" t="str">
            <v>LABEL OF DRY CEPHALEXIN AFTER BLENDING</v>
          </cell>
          <cell r="D6580" t="str">
            <v>L0030151                       EnggStore</v>
          </cell>
          <cell r="E6580" t="str">
            <v>E01 E01</v>
          </cell>
          <cell r="F6580" t="str">
            <v>VB Manual reorder point planning</v>
          </cell>
          <cell r="G6580" t="str">
            <v>HIBE Operating supplies</v>
          </cell>
          <cell r="H6580" t="str">
            <v>EN040     Prinitng &amp;Stationery</v>
          </cell>
          <cell r="I6580" t="str">
            <v>L003 Ankleshwar</v>
          </cell>
          <cell r="J6580" t="str">
            <v>99 Input/Byprodt/Scrap</v>
          </cell>
          <cell r="K6580" t="str">
            <v>10.2012</v>
          </cell>
          <cell r="L6580">
            <v>450</v>
          </cell>
          <cell r="M6580" t="str">
            <v>EA</v>
          </cell>
          <cell r="N6580">
            <v>450</v>
          </cell>
          <cell r="O6580" t="str">
            <v>INR</v>
          </cell>
        </row>
        <row r="6581">
          <cell r="A6581" t="str">
            <v>L003 Ankleshwar</v>
          </cell>
          <cell r="B6581">
            <v>731926</v>
          </cell>
          <cell r="C6581" t="str">
            <v>LABEL OF DRY CEPHALEXIN AFTERMICRONISING</v>
          </cell>
          <cell r="D6581" t="str">
            <v>L0030151                       EnggStore</v>
          </cell>
          <cell r="E6581" t="str">
            <v>E01 E01</v>
          </cell>
          <cell r="F6581" t="str">
            <v>VB Manual reorder point planning</v>
          </cell>
          <cell r="G6581" t="str">
            <v>HIBE Operating supplies</v>
          </cell>
          <cell r="H6581" t="str">
            <v>EN040     Prinitng &amp;Stationery</v>
          </cell>
          <cell r="I6581" t="str">
            <v>L003 Ankleshwar</v>
          </cell>
          <cell r="J6581" t="str">
            <v>99 Input/Byprodt/Scrap</v>
          </cell>
          <cell r="K6581" t="str">
            <v>10.2012</v>
          </cell>
          <cell r="L6581">
            <v>800</v>
          </cell>
          <cell r="M6581" t="str">
            <v>EA</v>
          </cell>
          <cell r="N6581">
            <v>800</v>
          </cell>
          <cell r="O6581" t="str">
            <v>INR</v>
          </cell>
        </row>
        <row r="6582">
          <cell r="A6582" t="str">
            <v>L003 Ankleshwar</v>
          </cell>
          <cell r="B6582">
            <v>731928</v>
          </cell>
          <cell r="C6582" t="str">
            <v>LABEL OF DRY 2ND CROP CEPHALEXIN</v>
          </cell>
          <cell r="D6582" t="str">
            <v>L0030151                       EnggStore</v>
          </cell>
          <cell r="E6582" t="str">
            <v>E01 E01</v>
          </cell>
          <cell r="F6582" t="str">
            <v>VB Manual reorder point planning</v>
          </cell>
          <cell r="G6582" t="str">
            <v>HIBE Operating supplies</v>
          </cell>
          <cell r="H6582" t="str">
            <v>EN040     Prinitng &amp;Stationery</v>
          </cell>
          <cell r="I6582" t="str">
            <v>L003 Ankleshwar</v>
          </cell>
          <cell r="J6582" t="str">
            <v>99 Input/Byprodt/Scrap</v>
          </cell>
          <cell r="K6582" t="str">
            <v>10.2012</v>
          </cell>
          <cell r="L6582">
            <v>305</v>
          </cell>
          <cell r="M6582" t="str">
            <v>EA</v>
          </cell>
          <cell r="N6582">
            <v>305</v>
          </cell>
          <cell r="O6582" t="str">
            <v>INR</v>
          </cell>
        </row>
        <row r="6583">
          <cell r="A6583" t="str">
            <v>L003 Ankleshwar</v>
          </cell>
          <cell r="B6583">
            <v>731954</v>
          </cell>
          <cell r="C6583" t="str">
            <v>S S ROUND SIEVE FOR 30" SIFTER,70 MESH</v>
          </cell>
          <cell r="D6583" t="str">
            <v>L0030151                       EnggStore</v>
          </cell>
          <cell r="E6583" t="str">
            <v>E01 E01</v>
          </cell>
          <cell r="F6583" t="str">
            <v>VB Manual reorder point planning</v>
          </cell>
          <cell r="G6583" t="str">
            <v>HIBE Operating supplies</v>
          </cell>
          <cell r="H6583" t="str">
            <v>EN027     Prod&amp;OtherConsumable</v>
          </cell>
          <cell r="I6583" t="str">
            <v>L003 Ankleshwar</v>
          </cell>
          <cell r="J6583" t="str">
            <v>99 Input/Byprodt/Scrap</v>
          </cell>
          <cell r="K6583" t="str">
            <v>10.2012</v>
          </cell>
          <cell r="L6583">
            <v>1</v>
          </cell>
          <cell r="M6583" t="str">
            <v>EA</v>
          </cell>
          <cell r="N6583">
            <v>2933.32</v>
          </cell>
          <cell r="O6583" t="str">
            <v>INR</v>
          </cell>
        </row>
        <row r="6584">
          <cell r="A6584" t="str">
            <v>L003 Ankleshwar</v>
          </cell>
          <cell r="B6584">
            <v>731956</v>
          </cell>
          <cell r="C6584" t="str">
            <v>RUBBER O RING 50MM I.DX3MM THK</v>
          </cell>
          <cell r="D6584" t="str">
            <v>L0030151                       EnggStore</v>
          </cell>
          <cell r="E6584" t="str">
            <v>E01 E01</v>
          </cell>
          <cell r="F6584" t="str">
            <v>VB Manual reorder point planning</v>
          </cell>
          <cell r="G6584" t="str">
            <v>HIBE Operating supplies</v>
          </cell>
          <cell r="H6584" t="str">
            <v>EN027     Prod&amp;OtherConsumable</v>
          </cell>
          <cell r="I6584" t="str">
            <v>L003 Ankleshwar</v>
          </cell>
          <cell r="J6584" t="str">
            <v>99 Input/Byprodt/Scrap</v>
          </cell>
          <cell r="K6584" t="str">
            <v>10.2012</v>
          </cell>
          <cell r="L6584">
            <v>28</v>
          </cell>
          <cell r="M6584" t="str">
            <v>EA</v>
          </cell>
          <cell r="N6584">
            <v>196</v>
          </cell>
          <cell r="O6584" t="str">
            <v>INR</v>
          </cell>
        </row>
        <row r="6585">
          <cell r="A6585" t="str">
            <v>L003 Ankleshwar</v>
          </cell>
          <cell r="B6585">
            <v>731957</v>
          </cell>
          <cell r="C6585" t="str">
            <v>RUBBER O RING 120MM O.D X95MM I.D</v>
          </cell>
          <cell r="D6585" t="str">
            <v>L0030151                       EnggStore</v>
          </cell>
          <cell r="E6585" t="str">
            <v>E01 E01</v>
          </cell>
          <cell r="F6585" t="str">
            <v>VB Manual reorder point planning</v>
          </cell>
          <cell r="G6585" t="str">
            <v>HIBE Operating supplies</v>
          </cell>
          <cell r="H6585" t="str">
            <v>EN027     Prod&amp;OtherConsumable</v>
          </cell>
          <cell r="I6585" t="str">
            <v>L003 Ankleshwar</v>
          </cell>
          <cell r="J6585" t="str">
            <v>99 Input/Byprodt/Scrap</v>
          </cell>
          <cell r="K6585" t="str">
            <v>10.2012</v>
          </cell>
          <cell r="L6585">
            <v>20</v>
          </cell>
          <cell r="M6585" t="str">
            <v>EA</v>
          </cell>
          <cell r="N6585">
            <v>1575</v>
          </cell>
          <cell r="O6585" t="str">
            <v>INR</v>
          </cell>
        </row>
        <row r="6586">
          <cell r="A6586" t="str">
            <v>L003 Ankleshwar</v>
          </cell>
          <cell r="B6586">
            <v>731960</v>
          </cell>
          <cell r="C6586" t="str">
            <v>S S ROUND SIEVE FOR 30" SIFTER,40 MESH</v>
          </cell>
          <cell r="D6586" t="str">
            <v>L0030151                       EnggStore</v>
          </cell>
          <cell r="E6586" t="str">
            <v>E01 E01</v>
          </cell>
          <cell r="F6586" t="str">
            <v>ND No planning</v>
          </cell>
          <cell r="G6586" t="str">
            <v>HIBE Operating supplies</v>
          </cell>
          <cell r="H6586" t="str">
            <v>EN027     Prod&amp;OtherConsumable</v>
          </cell>
          <cell r="I6586" t="str">
            <v>L003 Ankleshwar</v>
          </cell>
          <cell r="J6586" t="str">
            <v>99 Input/Byprodt/Scrap</v>
          </cell>
          <cell r="K6586" t="str">
            <v>10.2012</v>
          </cell>
          <cell r="L6586">
            <v>3</v>
          </cell>
          <cell r="M6586" t="str">
            <v>EA</v>
          </cell>
          <cell r="N6586">
            <v>8799.9500000000007</v>
          </cell>
          <cell r="O6586" t="str">
            <v>INR</v>
          </cell>
        </row>
        <row r="6587">
          <cell r="A6587" t="str">
            <v>L003 Ankleshwar</v>
          </cell>
          <cell r="B6587">
            <v>731993</v>
          </cell>
          <cell r="C6587" t="str">
            <v>DP/PP 900-S ANTISTATIC C/F BAG 36"F-510</v>
          </cell>
          <cell r="D6587" t="str">
            <v>L0030151                       EnggStore</v>
          </cell>
          <cell r="E6587" t="str">
            <v>E42 E42</v>
          </cell>
          <cell r="F6587" t="str">
            <v>VB Manual reorder point planning</v>
          </cell>
          <cell r="G6587" t="str">
            <v>HIBE Operating supplies</v>
          </cell>
          <cell r="H6587" t="str">
            <v>EN027     Prod&amp;OtherConsumable</v>
          </cell>
          <cell r="I6587" t="str">
            <v>L003 Ankleshwar</v>
          </cell>
          <cell r="J6587" t="str">
            <v>99 Input/Byprodt/Scrap</v>
          </cell>
          <cell r="K6587" t="str">
            <v>10.2012</v>
          </cell>
          <cell r="L6587">
            <v>2</v>
          </cell>
          <cell r="M6587" t="str">
            <v>EA</v>
          </cell>
          <cell r="N6587">
            <v>2302.67</v>
          </cell>
          <cell r="O6587" t="str">
            <v>INR</v>
          </cell>
        </row>
        <row r="6588">
          <cell r="A6588" t="str">
            <v>L003 Ankleshwar</v>
          </cell>
          <cell r="B6588">
            <v>731994</v>
          </cell>
          <cell r="C6588" t="str">
            <v>HOSEPIPE-CHEMICALRUBBERDUNLOP:FExFE1"X3M</v>
          </cell>
          <cell r="D6588" t="str">
            <v>L0030151                       EnggStore</v>
          </cell>
          <cell r="E6588" t="str">
            <v>E01 E01</v>
          </cell>
          <cell r="F6588" t="str">
            <v>VB Manual reorder point planning</v>
          </cell>
          <cell r="G6588" t="str">
            <v>HIBE Operating supplies</v>
          </cell>
          <cell r="H6588" t="str">
            <v>EN027     Prod&amp;OtherConsumable</v>
          </cell>
          <cell r="I6588" t="str">
            <v>L003 Ankleshwar</v>
          </cell>
          <cell r="J6588" t="str">
            <v>99 Input/Byprodt/Scrap</v>
          </cell>
          <cell r="K6588" t="str">
            <v>10.2012</v>
          </cell>
          <cell r="L6588">
            <v>1</v>
          </cell>
          <cell r="M6588" t="str">
            <v>EA</v>
          </cell>
          <cell r="N6588">
            <v>2244</v>
          </cell>
          <cell r="O6588" t="str">
            <v>INR</v>
          </cell>
        </row>
        <row r="6589">
          <cell r="A6589" t="str">
            <v>L003 Ankleshwar</v>
          </cell>
          <cell r="B6589">
            <v>732013</v>
          </cell>
          <cell r="C6589" t="str">
            <v>DP/PP-900S ANTISTATIC C/FBAG 36"F-506</v>
          </cell>
          <cell r="D6589" t="str">
            <v>L0030151                       EnggStore</v>
          </cell>
          <cell r="E6589" t="str">
            <v>E42 E42</v>
          </cell>
          <cell r="F6589" t="str">
            <v>VB Manual reorder point planning</v>
          </cell>
          <cell r="G6589" t="str">
            <v>HIBE Operating supplies</v>
          </cell>
          <cell r="H6589" t="str">
            <v>EN027     Prod&amp;OtherConsumable</v>
          </cell>
          <cell r="I6589" t="str">
            <v>L003 Ankleshwar</v>
          </cell>
          <cell r="J6589" t="str">
            <v>99 Input/Byprodt/Scrap</v>
          </cell>
          <cell r="K6589" t="str">
            <v>10.2012</v>
          </cell>
          <cell r="L6589">
            <v>6</v>
          </cell>
          <cell r="M6589" t="str">
            <v>EA</v>
          </cell>
          <cell r="N6589">
            <v>7362</v>
          </cell>
          <cell r="O6589" t="str">
            <v>INR</v>
          </cell>
        </row>
        <row r="6590">
          <cell r="A6590" t="str">
            <v>L003 Ankleshwar</v>
          </cell>
          <cell r="B6590">
            <v>732062</v>
          </cell>
          <cell r="C6590" t="str">
            <v>EVAPORATION OF L2AB SO4ML BATCH SHEET</v>
          </cell>
          <cell r="D6590" t="str">
            <v>L0030201                       Cons StoreKP</v>
          </cell>
          <cell r="E6590" t="str">
            <v>E01 E01</v>
          </cell>
          <cell r="F6590" t="str">
            <v>VB Manual reorder point planning</v>
          </cell>
          <cell r="G6590" t="str">
            <v>HIBE Operating supplies</v>
          </cell>
          <cell r="H6590" t="str">
            <v>EN040     Prinitng &amp;Stationery</v>
          </cell>
          <cell r="I6590" t="str">
            <v>L003 Ankleshwar</v>
          </cell>
          <cell r="J6590" t="str">
            <v>99 Input/Byprodt/Scrap</v>
          </cell>
          <cell r="K6590" t="str">
            <v>10.2012</v>
          </cell>
          <cell r="L6590">
            <v>4</v>
          </cell>
          <cell r="M6590" t="str">
            <v>EA</v>
          </cell>
          <cell r="N6590">
            <v>240</v>
          </cell>
          <cell r="O6590" t="str">
            <v>INR</v>
          </cell>
        </row>
        <row r="6591">
          <cell r="A6591" t="str">
            <v>L003 Ankleshwar</v>
          </cell>
          <cell r="B6591">
            <v>732063</v>
          </cell>
          <cell r="C6591" t="str">
            <v>L2AB SO4ML CRACKING BATCH SHEET 1X100P</v>
          </cell>
          <cell r="D6591" t="str">
            <v>L0030151                       EnggStore</v>
          </cell>
          <cell r="E6591" t="str">
            <v>E01 E01</v>
          </cell>
          <cell r="F6591" t="str">
            <v>VB Manual reorder point planning</v>
          </cell>
          <cell r="G6591" t="str">
            <v>HIBE Operating supplies</v>
          </cell>
          <cell r="H6591" t="str">
            <v>EN040     Prinitng &amp;Stationery</v>
          </cell>
          <cell r="I6591" t="str">
            <v>L003 Ankleshwar</v>
          </cell>
          <cell r="J6591" t="str">
            <v>99 Input/Byprodt/Scrap</v>
          </cell>
          <cell r="K6591" t="str">
            <v>10.2012</v>
          </cell>
          <cell r="L6591">
            <v>1</v>
          </cell>
          <cell r="M6591" t="str">
            <v>EA</v>
          </cell>
          <cell r="N6591">
            <v>82.269999999999897</v>
          </cell>
          <cell r="O6591" t="str">
            <v>INR</v>
          </cell>
        </row>
        <row r="6592">
          <cell r="A6592" t="str">
            <v>L003 Ankleshwar</v>
          </cell>
          <cell r="B6592">
            <v>732063</v>
          </cell>
          <cell r="C6592" t="str">
            <v>L2AB SO4ML CRACKING BATCH SHEET 1X100P</v>
          </cell>
          <cell r="D6592" t="str">
            <v>L0030201                       Cons StoreKP</v>
          </cell>
          <cell r="E6592" t="str">
            <v>E01 E01</v>
          </cell>
          <cell r="F6592" t="str">
            <v>VB Manual reorder point planning</v>
          </cell>
          <cell r="G6592" t="str">
            <v>HIBE Operating supplies</v>
          </cell>
          <cell r="H6592" t="str">
            <v>EN040     Prinitng &amp;Stationery</v>
          </cell>
          <cell r="I6592" t="str">
            <v>L003 Ankleshwar</v>
          </cell>
          <cell r="J6592" t="str">
            <v>99 Input/Byprodt/Scrap</v>
          </cell>
          <cell r="K6592" t="str">
            <v>10.2012</v>
          </cell>
          <cell r="L6592">
            <v>10</v>
          </cell>
          <cell r="M6592" t="str">
            <v>EA</v>
          </cell>
          <cell r="N6592">
            <v>822.73</v>
          </cell>
          <cell r="O6592" t="str">
            <v>INR</v>
          </cell>
        </row>
        <row r="6593">
          <cell r="A6593" t="str">
            <v>L003 Ankleshwar</v>
          </cell>
          <cell r="B6593">
            <v>732088</v>
          </cell>
          <cell r="C6593" t="str">
            <v>SPRING CLIP  FILE SVS</v>
          </cell>
          <cell r="D6593" t="str">
            <v>L0030151                       EnggStore</v>
          </cell>
          <cell r="E6593" t="str">
            <v>E01 E01</v>
          </cell>
          <cell r="F6593" t="str">
            <v>VB Manual reorder point planning</v>
          </cell>
          <cell r="G6593" t="str">
            <v>HIBE Operating supplies</v>
          </cell>
          <cell r="H6593" t="str">
            <v>EN040     Prinitng &amp;Stationery</v>
          </cell>
          <cell r="I6593" t="str">
            <v>L003 Ankleshwar</v>
          </cell>
          <cell r="J6593" t="str">
            <v>99 Input/Byprodt/Scrap</v>
          </cell>
          <cell r="K6593" t="str">
            <v>10.2012</v>
          </cell>
          <cell r="L6593">
            <v>10</v>
          </cell>
          <cell r="M6593" t="str">
            <v>EA</v>
          </cell>
          <cell r="N6593">
            <v>127.75</v>
          </cell>
          <cell r="O6593" t="str">
            <v>INR</v>
          </cell>
        </row>
        <row r="6594">
          <cell r="A6594" t="str">
            <v>L003 Ankleshwar</v>
          </cell>
          <cell r="B6594">
            <v>732159</v>
          </cell>
          <cell r="C6594" t="str">
            <v>SPIDER CONTROL BOARD (PACK OF 15)</v>
          </cell>
          <cell r="D6594" t="str">
            <v>L0030151                       EnggStore</v>
          </cell>
          <cell r="E6594" t="str">
            <v>E01 E01</v>
          </cell>
          <cell r="F6594" t="str">
            <v>VB Manual reorder point planning</v>
          </cell>
          <cell r="G6594" t="str">
            <v>HIBE Operating supplies</v>
          </cell>
          <cell r="H6594" t="str">
            <v>EN014     Housekeeping</v>
          </cell>
          <cell r="I6594" t="str">
            <v>L003 Ankleshwar</v>
          </cell>
          <cell r="J6594" t="str">
            <v>99 Input/Byprodt/Scrap</v>
          </cell>
          <cell r="K6594" t="str">
            <v>10.2012</v>
          </cell>
          <cell r="L6594">
            <v>2</v>
          </cell>
          <cell r="M6594" t="str">
            <v>EA</v>
          </cell>
          <cell r="N6594">
            <v>5274.3599999999897</v>
          </cell>
          <cell r="O6594" t="str">
            <v>INR</v>
          </cell>
        </row>
        <row r="6595">
          <cell r="A6595" t="str">
            <v>L003 Ankleshwar</v>
          </cell>
          <cell r="B6595">
            <v>732179</v>
          </cell>
          <cell r="C6595" t="str">
            <v>DAILY REPORT OF ETB PLANT 1X100 PAGE</v>
          </cell>
          <cell r="D6595" t="str">
            <v>L0030151                       EnggStore</v>
          </cell>
          <cell r="E6595" t="str">
            <v>E42 E42</v>
          </cell>
          <cell r="F6595" t="str">
            <v>VB Manual reorder point planning</v>
          </cell>
          <cell r="G6595" t="str">
            <v>HIBE Operating supplies</v>
          </cell>
          <cell r="H6595" t="str">
            <v>EN040     Prinitng &amp;Stationery</v>
          </cell>
          <cell r="I6595" t="str">
            <v>L003 Ankleshwar</v>
          </cell>
          <cell r="J6595" t="str">
            <v>99 Input/Byprodt/Scrap</v>
          </cell>
          <cell r="K6595" t="str">
            <v>10.2012</v>
          </cell>
          <cell r="L6595">
            <v>6</v>
          </cell>
          <cell r="M6595" t="str">
            <v>EA</v>
          </cell>
          <cell r="N6595">
            <v>842.5</v>
          </cell>
          <cell r="O6595" t="str">
            <v>INR</v>
          </cell>
        </row>
        <row r="6596">
          <cell r="A6596" t="str">
            <v>L003 Ankleshwar</v>
          </cell>
          <cell r="B6596">
            <v>732185</v>
          </cell>
          <cell r="C6596" t="str">
            <v>CONVEYANCE REIMBRUSEMENT VOUCHER 1X100P</v>
          </cell>
          <cell r="D6596" t="str">
            <v>L0030151                       EnggStore</v>
          </cell>
          <cell r="E6596" t="str">
            <v>E02 E02</v>
          </cell>
          <cell r="F6596" t="str">
            <v>VB Manual reorder point planning</v>
          </cell>
          <cell r="G6596" t="str">
            <v>HIBE Operating supplies</v>
          </cell>
          <cell r="H6596" t="str">
            <v>EN040     Prinitng &amp;Stationery</v>
          </cell>
          <cell r="I6596" t="str">
            <v>L003 Ankleshwar</v>
          </cell>
          <cell r="J6596" t="str">
            <v>99 Input/Byprodt/Scrap</v>
          </cell>
          <cell r="K6596" t="str">
            <v>10.2012</v>
          </cell>
          <cell r="L6596">
            <v>14</v>
          </cell>
          <cell r="M6596" t="str">
            <v>EA</v>
          </cell>
          <cell r="N6596">
            <v>661.5</v>
          </cell>
          <cell r="O6596" t="str">
            <v>INR</v>
          </cell>
        </row>
        <row r="6597">
          <cell r="A6597" t="str">
            <v>L003 Ankleshwar</v>
          </cell>
          <cell r="B6597">
            <v>732187</v>
          </cell>
          <cell r="C6597" t="str">
            <v>PURCHASE BOOKING VOUCHER CAPITAL 1X100P</v>
          </cell>
          <cell r="D6597" t="str">
            <v>L0030151                       EnggStore</v>
          </cell>
          <cell r="E6597" t="str">
            <v>E02 E02</v>
          </cell>
          <cell r="F6597" t="str">
            <v>VB Manual reorder point planning</v>
          </cell>
          <cell r="G6597" t="str">
            <v>HIBE Operating supplies</v>
          </cell>
          <cell r="H6597" t="str">
            <v>EN040     Prinitng &amp;Stationery</v>
          </cell>
          <cell r="I6597" t="str">
            <v>L003 Ankleshwar</v>
          </cell>
          <cell r="J6597" t="str">
            <v>99 Input/Byprodt/Scrap</v>
          </cell>
          <cell r="K6597" t="str">
            <v>10.2012</v>
          </cell>
          <cell r="L6597">
            <v>10</v>
          </cell>
          <cell r="M6597" t="str">
            <v>EA</v>
          </cell>
          <cell r="N6597">
            <v>399</v>
          </cell>
          <cell r="O6597" t="str">
            <v>INR</v>
          </cell>
        </row>
        <row r="6598">
          <cell r="A6598" t="str">
            <v>L003 Ankleshwar</v>
          </cell>
          <cell r="B6598">
            <v>732195</v>
          </cell>
          <cell r="C6598" t="str">
            <v>MS KEY FOR NITROGEN GAS CYLINDER</v>
          </cell>
          <cell r="D6598" t="str">
            <v>L0030151                       EnggStore</v>
          </cell>
          <cell r="E6598" t="str">
            <v>099 099</v>
          </cell>
          <cell r="F6598" t="str">
            <v>VB Manual reorder point planning</v>
          </cell>
          <cell r="G6598" t="str">
            <v>HIBE Operating supplies</v>
          </cell>
          <cell r="H6598" t="str">
            <v>EN024     EnggConsumables</v>
          </cell>
          <cell r="I6598" t="str">
            <v>L003 Ankleshwar</v>
          </cell>
          <cell r="J6598" t="str">
            <v>99 Input/Byprodt/Scrap</v>
          </cell>
          <cell r="K6598" t="str">
            <v>10.2012</v>
          </cell>
          <cell r="L6598">
            <v>7</v>
          </cell>
          <cell r="M6598" t="str">
            <v>EA</v>
          </cell>
          <cell r="N6598">
            <v>764.75</v>
          </cell>
          <cell r="O6598" t="str">
            <v>INR</v>
          </cell>
        </row>
        <row r="6599">
          <cell r="A6599" t="str">
            <v>L003 Ankleshwar</v>
          </cell>
          <cell r="B6599">
            <v>732211</v>
          </cell>
          <cell r="C6599" t="str">
            <v>CHLORO ANF OPERATION BATCH SHEET X100</v>
          </cell>
          <cell r="D6599" t="str">
            <v>L0030151                       EnggStore</v>
          </cell>
          <cell r="E6599" t="str">
            <v>099 099</v>
          </cell>
          <cell r="F6599" t="str">
            <v>VB Manual reorder point planning</v>
          </cell>
          <cell r="G6599" t="str">
            <v>HIBE Operating supplies</v>
          </cell>
          <cell r="H6599" t="str">
            <v>EN040     Prinitng &amp;Stationery</v>
          </cell>
          <cell r="I6599" t="str">
            <v>L003 Ankleshwar</v>
          </cell>
          <cell r="J6599" t="str">
            <v>99 Input/Byprodt/Scrap</v>
          </cell>
          <cell r="K6599" t="str">
            <v>10.2012</v>
          </cell>
          <cell r="L6599">
            <v>1</v>
          </cell>
          <cell r="M6599" t="str">
            <v>EA</v>
          </cell>
          <cell r="N6599">
            <v>91.84</v>
          </cell>
          <cell r="O6599" t="str">
            <v>INR</v>
          </cell>
        </row>
        <row r="6600">
          <cell r="A6600" t="str">
            <v>L003 Ankleshwar</v>
          </cell>
          <cell r="B6600">
            <v>732211</v>
          </cell>
          <cell r="C6600" t="str">
            <v>CHLORO ANF OPERATION BATCH SHEET X100</v>
          </cell>
          <cell r="D6600" t="str">
            <v>L0030201                       Cons StoreKP</v>
          </cell>
          <cell r="E6600" t="str">
            <v>099 099</v>
          </cell>
          <cell r="F6600" t="str">
            <v>VB Manual reorder point planning</v>
          </cell>
          <cell r="G6600" t="str">
            <v>HIBE Operating supplies</v>
          </cell>
          <cell r="H6600" t="str">
            <v>EN040     Prinitng &amp;Stationery</v>
          </cell>
          <cell r="I6600" t="str">
            <v>L003 Ankleshwar</v>
          </cell>
          <cell r="J6600" t="str">
            <v>99 Input/Byprodt/Scrap</v>
          </cell>
          <cell r="K6600" t="str">
            <v>10.2012</v>
          </cell>
          <cell r="L6600">
            <v>9</v>
          </cell>
          <cell r="M6600" t="str">
            <v>EA</v>
          </cell>
          <cell r="N6600">
            <v>826.55999999999904</v>
          </cell>
          <cell r="O6600" t="str">
            <v>INR</v>
          </cell>
        </row>
        <row r="6601">
          <cell r="A6601" t="str">
            <v>L003 Ankleshwar</v>
          </cell>
          <cell r="B6601">
            <v>732212</v>
          </cell>
          <cell r="C6601" t="str">
            <v>CHS ANF OPERATION BATCH SHEET X100 PAGE</v>
          </cell>
          <cell r="D6601" t="str">
            <v>L0030151                       EnggStore</v>
          </cell>
          <cell r="E6601" t="str">
            <v>099 099</v>
          </cell>
          <cell r="F6601" t="str">
            <v>VB Manual reorder point planning</v>
          </cell>
          <cell r="G6601" t="str">
            <v>HIBE Operating supplies</v>
          </cell>
          <cell r="H6601" t="str">
            <v>EN040     Prinitng &amp;Stationery</v>
          </cell>
          <cell r="I6601" t="str">
            <v>L003 Ankleshwar</v>
          </cell>
          <cell r="J6601" t="str">
            <v>99 Input/Byprodt/Scrap</v>
          </cell>
          <cell r="K6601" t="str">
            <v>10.2012</v>
          </cell>
          <cell r="L6601">
            <v>6</v>
          </cell>
          <cell r="M6601" t="str">
            <v>EA</v>
          </cell>
          <cell r="N6601">
            <v>528.69000000000005</v>
          </cell>
          <cell r="O6601" t="str">
            <v>INR</v>
          </cell>
        </row>
        <row r="6602">
          <cell r="A6602" t="str">
            <v>L003 Ankleshwar</v>
          </cell>
          <cell r="B6602">
            <v>732223</v>
          </cell>
          <cell r="C6602" t="str">
            <v>ADVANCE REQUEST VOUCHER 1X100P</v>
          </cell>
          <cell r="D6602" t="str">
            <v>L0030151                       EnggStore</v>
          </cell>
          <cell r="E6602" t="str">
            <v>E02 E02</v>
          </cell>
          <cell r="F6602" t="str">
            <v>VB Manual reorder point planning</v>
          </cell>
          <cell r="G6602" t="str">
            <v>HIBE Operating supplies</v>
          </cell>
          <cell r="H6602" t="str">
            <v>EN040     Prinitng &amp;Stationery</v>
          </cell>
          <cell r="I6602" t="str">
            <v>L003 Ankleshwar</v>
          </cell>
          <cell r="J6602" t="str">
            <v>99 Input/Byprodt/Scrap</v>
          </cell>
          <cell r="K6602" t="str">
            <v>10.2012</v>
          </cell>
          <cell r="L6602">
            <v>4</v>
          </cell>
          <cell r="M6602" t="str">
            <v>EA</v>
          </cell>
          <cell r="N6602">
            <v>200</v>
          </cell>
          <cell r="O6602" t="str">
            <v>INR</v>
          </cell>
        </row>
        <row r="6603">
          <cell r="A6603" t="str">
            <v>L003 Ankleshwar</v>
          </cell>
          <cell r="B6603">
            <v>732230</v>
          </cell>
          <cell r="C6603" t="str">
            <v>PH RECORD OF FINAL SCRUBBER AT HMDS100P</v>
          </cell>
          <cell r="D6603" t="str">
            <v>L0030151                       EnggStore</v>
          </cell>
          <cell r="E6603" t="str">
            <v>099 099</v>
          </cell>
          <cell r="F6603" t="str">
            <v>VB Manual reorder point planning</v>
          </cell>
          <cell r="G6603" t="str">
            <v>HIBE Operating supplies</v>
          </cell>
          <cell r="H6603" t="str">
            <v>EN040     Prinitng &amp;Stationery</v>
          </cell>
          <cell r="I6603" t="str">
            <v>L003 Ankleshwar</v>
          </cell>
          <cell r="J6603" t="str">
            <v>99 Input/Byprodt/Scrap</v>
          </cell>
          <cell r="K6603" t="str">
            <v>10.2012</v>
          </cell>
          <cell r="L6603">
            <v>10</v>
          </cell>
          <cell r="M6603" t="str">
            <v>EA</v>
          </cell>
          <cell r="N6603">
            <v>892.5</v>
          </cell>
          <cell r="O6603" t="str">
            <v>INR</v>
          </cell>
        </row>
        <row r="6604">
          <cell r="A6604" t="str">
            <v>L003 Ankleshwar</v>
          </cell>
          <cell r="B6604">
            <v>732251</v>
          </cell>
          <cell r="C6604" t="str">
            <v>ARE-1(SIX DIFFRENT COLOR PAGES)forexport</v>
          </cell>
          <cell r="D6604" t="str">
            <v>L0030151                       EnggStore</v>
          </cell>
          <cell r="E6604" t="str">
            <v>099 099</v>
          </cell>
          <cell r="F6604" t="str">
            <v>VB Manual reorder point planning</v>
          </cell>
          <cell r="G6604" t="str">
            <v>HIBE Operating supplies</v>
          </cell>
          <cell r="H6604" t="str">
            <v>EN040     Prinitng &amp;Stationery</v>
          </cell>
          <cell r="I6604" t="str">
            <v>L003 Ankleshwar</v>
          </cell>
          <cell r="J6604" t="str">
            <v>99 Input/Byprodt/Scrap</v>
          </cell>
          <cell r="K6604" t="str">
            <v>10.2012</v>
          </cell>
          <cell r="L6604">
            <v>175</v>
          </cell>
          <cell r="M6604" t="str">
            <v>SET</v>
          </cell>
          <cell r="N6604">
            <v>918.75</v>
          </cell>
          <cell r="O6604" t="str">
            <v>INR</v>
          </cell>
        </row>
        <row r="6605">
          <cell r="A6605" t="str">
            <v>L003 Ankleshwar</v>
          </cell>
          <cell r="B6605">
            <v>732257</v>
          </cell>
          <cell r="C6605" t="str">
            <v>PANEL TYPE FILTER 610X610X535X535X300MM</v>
          </cell>
          <cell r="D6605" t="str">
            <v>L0030201                       Cons StoreKP</v>
          </cell>
          <cell r="E6605">
            <v>0</v>
          </cell>
          <cell r="F6605" t="str">
            <v>ND No planning</v>
          </cell>
          <cell r="G6605" t="str">
            <v>HIBE Operating supplies</v>
          </cell>
          <cell r="H6605" t="str">
            <v>EN027     Prod&amp;OtherConsumable</v>
          </cell>
          <cell r="I6605" t="str">
            <v>L003 Ankleshwar</v>
          </cell>
          <cell r="J6605" t="str">
            <v>99 Input/Byprodt/Scrap</v>
          </cell>
          <cell r="K6605" t="str">
            <v>10.2012</v>
          </cell>
          <cell r="L6605">
            <v>1</v>
          </cell>
          <cell r="M6605" t="str">
            <v>EA</v>
          </cell>
          <cell r="N6605">
            <v>1068.0599999999899</v>
          </cell>
          <cell r="O6605" t="str">
            <v>INR</v>
          </cell>
        </row>
        <row r="6606">
          <cell r="A6606" t="str">
            <v>L003 Ankleshwar</v>
          </cell>
          <cell r="B6606">
            <v>732260</v>
          </cell>
          <cell r="C6606" t="str">
            <v>PANEL TYPE FILTER 587X355X510X280X45MM</v>
          </cell>
          <cell r="D6606" t="str">
            <v>L0030151                       EnggStore</v>
          </cell>
          <cell r="E6606">
            <v>0</v>
          </cell>
          <cell r="F6606" t="str">
            <v>ND No planning</v>
          </cell>
          <cell r="G6606" t="str">
            <v>HIBE Operating supplies</v>
          </cell>
          <cell r="H6606" t="str">
            <v>EN027     Prod&amp;OtherConsumable</v>
          </cell>
          <cell r="I6606" t="str">
            <v>L003 Ankleshwar</v>
          </cell>
          <cell r="J6606" t="str">
            <v>99 Input/Byprodt/Scrap</v>
          </cell>
          <cell r="K6606" t="str">
            <v>10.2012</v>
          </cell>
          <cell r="L6606">
            <v>1</v>
          </cell>
          <cell r="M6606" t="str">
            <v>EA</v>
          </cell>
          <cell r="N6606">
            <v>924</v>
          </cell>
          <cell r="O6606" t="str">
            <v>INR</v>
          </cell>
        </row>
        <row r="6607">
          <cell r="A6607" t="str">
            <v>L003 Ankleshwar</v>
          </cell>
          <cell r="B6607">
            <v>732268</v>
          </cell>
          <cell r="C6607" t="str">
            <v>LABEL OF L-MANDELIC ACID(DRY/SHIFTED)</v>
          </cell>
          <cell r="D6607" t="str">
            <v>L0030151                       EnggStore</v>
          </cell>
          <cell r="E6607" t="str">
            <v>099 099</v>
          </cell>
          <cell r="F6607" t="str">
            <v>VB Manual reorder point planning</v>
          </cell>
          <cell r="G6607" t="str">
            <v>HIBE Operating supplies</v>
          </cell>
          <cell r="H6607" t="str">
            <v>EN040     Prinitng &amp;Stationery</v>
          </cell>
          <cell r="I6607" t="str">
            <v>L003 Ankleshwar</v>
          </cell>
          <cell r="J6607" t="str">
            <v>99 Input/Byprodt/Scrap</v>
          </cell>
          <cell r="K6607" t="str">
            <v>10.2012</v>
          </cell>
          <cell r="L6607">
            <v>250</v>
          </cell>
          <cell r="M6607" t="str">
            <v>EA</v>
          </cell>
          <cell r="N6607">
            <v>250</v>
          </cell>
          <cell r="O6607" t="str">
            <v>INR</v>
          </cell>
        </row>
        <row r="6608">
          <cell r="A6608" t="str">
            <v>L003 Ankleshwar</v>
          </cell>
          <cell r="B6608">
            <v>732269</v>
          </cell>
          <cell r="C6608" t="str">
            <v>LABEL OF L-MANDELIC ACID(WET)</v>
          </cell>
          <cell r="D6608" t="str">
            <v>L0030151                       EnggStore</v>
          </cell>
          <cell r="E6608" t="str">
            <v>099 099</v>
          </cell>
          <cell r="F6608" t="str">
            <v>VB Manual reorder point planning</v>
          </cell>
          <cell r="G6608" t="str">
            <v>HIBE Operating supplies</v>
          </cell>
          <cell r="H6608" t="str">
            <v>EN040     Prinitng &amp;Stationery</v>
          </cell>
          <cell r="I6608" t="str">
            <v>L003 Ankleshwar</v>
          </cell>
          <cell r="J6608" t="str">
            <v>99 Input/Byprodt/Scrap</v>
          </cell>
          <cell r="K6608" t="str">
            <v>10.2012</v>
          </cell>
          <cell r="L6608">
            <v>600</v>
          </cell>
          <cell r="M6608" t="str">
            <v>EA</v>
          </cell>
          <cell r="N6608">
            <v>600</v>
          </cell>
          <cell r="O6608" t="str">
            <v>INR</v>
          </cell>
        </row>
        <row r="6609">
          <cell r="A6609" t="str">
            <v>L003 Ankleshwar</v>
          </cell>
          <cell r="B6609">
            <v>732309</v>
          </cell>
          <cell r="C6609" t="str">
            <v>SUCTION AHU-5 FILTER :610X610X150X10 MIC</v>
          </cell>
          <cell r="D6609" t="str">
            <v>L0030151                       EnggStore</v>
          </cell>
          <cell r="E6609">
            <v>0</v>
          </cell>
          <cell r="F6609" t="str">
            <v>ND No planning</v>
          </cell>
          <cell r="G6609" t="str">
            <v>HIBE Operating supplies</v>
          </cell>
          <cell r="H6609" t="str">
            <v>EN027     Prod&amp;OtherConsumable</v>
          </cell>
          <cell r="I6609" t="str">
            <v>L003 Ankleshwar</v>
          </cell>
          <cell r="J6609" t="str">
            <v>99 Input/Byprodt/Scrap</v>
          </cell>
          <cell r="K6609" t="str">
            <v>10.2012</v>
          </cell>
          <cell r="L6609">
            <v>1</v>
          </cell>
          <cell r="M6609" t="str">
            <v>EA</v>
          </cell>
          <cell r="N6609">
            <v>1857.42</v>
          </cell>
          <cell r="O6609" t="str">
            <v>INR</v>
          </cell>
        </row>
        <row r="6610">
          <cell r="A6610" t="str">
            <v>L003 Ankleshwar</v>
          </cell>
          <cell r="B6610">
            <v>732309</v>
          </cell>
          <cell r="C6610" t="str">
            <v>SUCTION AHU-5 FILTER :610X610X150X10 MIC</v>
          </cell>
          <cell r="D6610" t="str">
            <v>L0030201                       Cons StoreKP</v>
          </cell>
          <cell r="E6610">
            <v>0</v>
          </cell>
          <cell r="F6610" t="str">
            <v>ND No planning</v>
          </cell>
          <cell r="G6610" t="str">
            <v>HIBE Operating supplies</v>
          </cell>
          <cell r="H6610" t="str">
            <v>EN027     Prod&amp;OtherConsumable</v>
          </cell>
          <cell r="I6610" t="str">
            <v>L003 Ankleshwar</v>
          </cell>
          <cell r="J6610" t="str">
            <v>99 Input/Byprodt/Scrap</v>
          </cell>
          <cell r="K6610" t="str">
            <v>10.2012</v>
          </cell>
          <cell r="L6610">
            <v>1</v>
          </cell>
          <cell r="M6610" t="str">
            <v>EA</v>
          </cell>
          <cell r="N6610">
            <v>1857.41</v>
          </cell>
          <cell r="O6610" t="str">
            <v>INR</v>
          </cell>
        </row>
        <row r="6611">
          <cell r="A6611" t="str">
            <v>L003 Ankleshwar</v>
          </cell>
          <cell r="B6611">
            <v>732310</v>
          </cell>
          <cell r="C6611" t="str">
            <v>TERMINAL AHU-5 FILTER :520X370X150X5 MIC</v>
          </cell>
          <cell r="D6611" t="str">
            <v>L0030151                       EnggStore</v>
          </cell>
          <cell r="E6611">
            <v>0</v>
          </cell>
          <cell r="F6611" t="str">
            <v>ND No planning</v>
          </cell>
          <cell r="G6611" t="str">
            <v>HIBE Operating supplies</v>
          </cell>
          <cell r="H6611" t="str">
            <v>EN027     Prod&amp;OtherConsumable</v>
          </cell>
          <cell r="I6611" t="str">
            <v>L003 Ankleshwar</v>
          </cell>
          <cell r="J6611" t="str">
            <v>99 Input/Byprodt/Scrap</v>
          </cell>
          <cell r="K6611" t="str">
            <v>10.2012</v>
          </cell>
          <cell r="L6611">
            <v>2</v>
          </cell>
          <cell r="M6611" t="str">
            <v>EA</v>
          </cell>
          <cell r="N6611">
            <v>2573</v>
          </cell>
          <cell r="O6611" t="str">
            <v>INR</v>
          </cell>
        </row>
        <row r="6612">
          <cell r="A6612" t="str">
            <v>L003 Ankleshwar</v>
          </cell>
          <cell r="B6612">
            <v>732331</v>
          </cell>
          <cell r="C6612" t="str">
            <v>RETURN AHU-5 FILTER :610X300X20 MIC</v>
          </cell>
          <cell r="D6612" t="str">
            <v>L0030151                       EnggStore</v>
          </cell>
          <cell r="E6612">
            <v>0</v>
          </cell>
          <cell r="F6612" t="str">
            <v>ND No planning</v>
          </cell>
          <cell r="G6612" t="str">
            <v>HIBE Operating supplies</v>
          </cell>
          <cell r="H6612" t="str">
            <v>EN027     Prod&amp;OtherConsumable</v>
          </cell>
          <cell r="I6612" t="str">
            <v>L003 Ankleshwar</v>
          </cell>
          <cell r="J6612" t="str">
            <v>99 Input/Byprodt/Scrap</v>
          </cell>
          <cell r="K6612" t="str">
            <v>10.2012</v>
          </cell>
          <cell r="L6612">
            <v>2</v>
          </cell>
          <cell r="M6612" t="str">
            <v>EA</v>
          </cell>
          <cell r="N6612">
            <v>5600</v>
          </cell>
          <cell r="O6612" t="str">
            <v>INR</v>
          </cell>
        </row>
        <row r="6613">
          <cell r="A6613" t="str">
            <v>L003 Ankleshwar</v>
          </cell>
          <cell r="B6613">
            <v>732332</v>
          </cell>
          <cell r="C6613" t="str">
            <v>TERMINAL AHU-2&amp;-5 FILTER450X450X150X5MIC</v>
          </cell>
          <cell r="D6613" t="str">
            <v>L0030151                       EnggStore</v>
          </cell>
          <cell r="E6613">
            <v>0</v>
          </cell>
          <cell r="F6613" t="str">
            <v>ND No planning</v>
          </cell>
          <cell r="G6613" t="str">
            <v>HIBE Operating supplies</v>
          </cell>
          <cell r="H6613" t="str">
            <v>EN027     Prod&amp;OtherConsumable</v>
          </cell>
          <cell r="I6613" t="str">
            <v>L003 Ankleshwar</v>
          </cell>
          <cell r="J6613" t="str">
            <v>99 Input/Byprodt/Scrap</v>
          </cell>
          <cell r="K6613" t="str">
            <v>10.2012</v>
          </cell>
          <cell r="L6613">
            <v>4</v>
          </cell>
          <cell r="M6613" t="str">
            <v>EA</v>
          </cell>
          <cell r="N6613">
            <v>5146</v>
          </cell>
          <cell r="O6613" t="str">
            <v>INR</v>
          </cell>
        </row>
        <row r="6614">
          <cell r="A6614" t="str">
            <v>L003 Ankleshwar</v>
          </cell>
          <cell r="B6614">
            <v>732333</v>
          </cell>
          <cell r="C6614" t="str">
            <v>RETURN  AHU-2 FILTER :305X235X235X20 MIC</v>
          </cell>
          <cell r="D6614" t="str">
            <v>L0030151                       EnggStore</v>
          </cell>
          <cell r="E6614">
            <v>0</v>
          </cell>
          <cell r="F6614" t="str">
            <v>ND No planning</v>
          </cell>
          <cell r="G6614" t="str">
            <v>HIBE Operating supplies</v>
          </cell>
          <cell r="H6614" t="str">
            <v>EN027     Prod&amp;OtherConsumable</v>
          </cell>
          <cell r="I6614" t="str">
            <v>L003 Ankleshwar</v>
          </cell>
          <cell r="J6614" t="str">
            <v>99 Input/Byprodt/Scrap</v>
          </cell>
          <cell r="K6614" t="str">
            <v>10.2012</v>
          </cell>
          <cell r="L6614">
            <v>1</v>
          </cell>
          <cell r="M6614" t="str">
            <v>EA</v>
          </cell>
          <cell r="N6614">
            <v>4100</v>
          </cell>
          <cell r="O6614" t="str">
            <v>INR</v>
          </cell>
        </row>
        <row r="6615">
          <cell r="A6615" t="str">
            <v>L003 Ankleshwar</v>
          </cell>
          <cell r="B6615">
            <v>732382</v>
          </cell>
          <cell r="C6615" t="str">
            <v>AHU-1 PRE FILTER 610X610X75X10 MIC</v>
          </cell>
          <cell r="D6615" t="str">
            <v>L0030151                       EnggStore</v>
          </cell>
          <cell r="E6615">
            <v>0</v>
          </cell>
          <cell r="F6615" t="str">
            <v>ND No planning</v>
          </cell>
          <cell r="G6615" t="str">
            <v>HIBE Operating supplies</v>
          </cell>
          <cell r="H6615" t="str">
            <v>EN027     Prod&amp;OtherConsumable</v>
          </cell>
          <cell r="I6615" t="str">
            <v>L003 Ankleshwar</v>
          </cell>
          <cell r="J6615" t="str">
            <v>99 Input/Byprodt/Scrap</v>
          </cell>
          <cell r="K6615" t="str">
            <v>10.2012</v>
          </cell>
          <cell r="L6615">
            <v>5</v>
          </cell>
          <cell r="M6615" t="str">
            <v>EA</v>
          </cell>
          <cell r="N6615">
            <v>6975</v>
          </cell>
          <cell r="O6615" t="str">
            <v>INR</v>
          </cell>
        </row>
        <row r="6616">
          <cell r="A6616" t="str">
            <v>L003 Ankleshwar</v>
          </cell>
          <cell r="B6616">
            <v>732385</v>
          </cell>
          <cell r="C6616" t="str">
            <v>AHU-2 PRE FILTER 610X610X50X10 MIC</v>
          </cell>
          <cell r="D6616" t="str">
            <v>L0030151                       EnggStore</v>
          </cell>
          <cell r="E6616">
            <v>0</v>
          </cell>
          <cell r="F6616" t="str">
            <v>ND No planning</v>
          </cell>
          <cell r="G6616" t="str">
            <v>HIBE Operating supplies</v>
          </cell>
          <cell r="H6616" t="str">
            <v>EN027     Prod&amp;OtherConsumable</v>
          </cell>
          <cell r="I6616" t="str">
            <v>L003 Ankleshwar</v>
          </cell>
          <cell r="J6616" t="str">
            <v>99 Input/Byprodt/Scrap</v>
          </cell>
          <cell r="K6616" t="str">
            <v>10.2012</v>
          </cell>
          <cell r="L6616">
            <v>4</v>
          </cell>
          <cell r="M6616" t="str">
            <v>EA</v>
          </cell>
          <cell r="N6616">
            <v>3960</v>
          </cell>
          <cell r="O6616" t="str">
            <v>INR</v>
          </cell>
        </row>
        <row r="6617">
          <cell r="A6617" t="str">
            <v>L003 Ankleshwar</v>
          </cell>
          <cell r="B6617">
            <v>732391</v>
          </cell>
          <cell r="C6617" t="str">
            <v>AHU-3 SECON FILTER 610X610X300X3 MIC</v>
          </cell>
          <cell r="D6617" t="str">
            <v>L0030151                       EnggStore</v>
          </cell>
          <cell r="E6617">
            <v>0</v>
          </cell>
          <cell r="F6617" t="str">
            <v>ND No planning</v>
          </cell>
          <cell r="G6617" t="str">
            <v>HIBE Operating supplies</v>
          </cell>
          <cell r="H6617" t="str">
            <v>EN027     Prod&amp;OtherConsumable</v>
          </cell>
          <cell r="I6617" t="str">
            <v>L003 Ankleshwar</v>
          </cell>
          <cell r="J6617" t="str">
            <v>99 Input/Byprodt/Scrap</v>
          </cell>
          <cell r="K6617" t="str">
            <v>10.2012</v>
          </cell>
          <cell r="L6617">
            <v>2</v>
          </cell>
          <cell r="M6617" t="str">
            <v>EA</v>
          </cell>
          <cell r="N6617">
            <v>6840</v>
          </cell>
          <cell r="O6617" t="str">
            <v>INR</v>
          </cell>
        </row>
        <row r="6618">
          <cell r="A6618" t="str">
            <v>L003 Ankleshwar</v>
          </cell>
          <cell r="B6618">
            <v>732402</v>
          </cell>
          <cell r="C6618" t="str">
            <v>WIPER WITH PLASTIC STRIP(MEGHA TIP TOP)</v>
          </cell>
          <cell r="D6618" t="str">
            <v>L0030151                       EnggStore</v>
          </cell>
          <cell r="E6618" t="str">
            <v>E42 E42</v>
          </cell>
          <cell r="F6618" t="str">
            <v>VB Manual reorder point planning</v>
          </cell>
          <cell r="G6618" t="str">
            <v>HIBE Operating supplies</v>
          </cell>
          <cell r="H6618" t="str">
            <v>EN014     Housekeeping</v>
          </cell>
          <cell r="I6618" t="str">
            <v>L003 Ankleshwar</v>
          </cell>
          <cell r="J6618" t="str">
            <v>99 Input/Byprodt/Scrap</v>
          </cell>
          <cell r="K6618" t="str">
            <v>10.2012</v>
          </cell>
          <cell r="L6618">
            <v>36</v>
          </cell>
          <cell r="M6618" t="str">
            <v>EA</v>
          </cell>
          <cell r="N6618">
            <v>2898</v>
          </cell>
          <cell r="O6618" t="str">
            <v>INR</v>
          </cell>
        </row>
        <row r="6619">
          <cell r="A6619" t="str">
            <v>L003 Ankleshwar</v>
          </cell>
          <cell r="B6619">
            <v>732402</v>
          </cell>
          <cell r="C6619" t="str">
            <v>WIPER WITH PLASTIC STRIP(MEGHA TIP TOP)</v>
          </cell>
          <cell r="D6619" t="str">
            <v>L0030201                       Cons StoreKP</v>
          </cell>
          <cell r="E6619" t="str">
            <v>E42 E42</v>
          </cell>
          <cell r="F6619" t="str">
            <v>VB Manual reorder point planning</v>
          </cell>
          <cell r="G6619" t="str">
            <v>HIBE Operating supplies</v>
          </cell>
          <cell r="H6619" t="str">
            <v>EN014     Housekeeping</v>
          </cell>
          <cell r="I6619" t="str">
            <v>L003 Ankleshwar</v>
          </cell>
          <cell r="J6619" t="str">
            <v>99 Input/Byprodt/Scrap</v>
          </cell>
          <cell r="K6619" t="str">
            <v>10.2012</v>
          </cell>
          <cell r="L6619">
            <v>19</v>
          </cell>
          <cell r="M6619" t="str">
            <v>EA</v>
          </cell>
          <cell r="N6619">
            <v>1529.5</v>
          </cell>
          <cell r="O6619" t="str">
            <v>INR</v>
          </cell>
        </row>
        <row r="6620">
          <cell r="A6620" t="str">
            <v>L003 Ankleshwar</v>
          </cell>
          <cell r="B6620">
            <v>732420</v>
          </cell>
          <cell r="C6620" t="str">
            <v>DA-104 ANTI SIFTER SUIT 17"CIRX20"HX15"</v>
          </cell>
          <cell r="D6620" t="str">
            <v>L0030151                       EnggStore</v>
          </cell>
          <cell r="E6620" t="str">
            <v>E42 E42</v>
          </cell>
          <cell r="F6620" t="str">
            <v>VB Manual reorder point planning</v>
          </cell>
          <cell r="G6620" t="str">
            <v>HIBE Operating supplies</v>
          </cell>
          <cell r="H6620" t="str">
            <v>EN027     Prod&amp;OtherConsumable</v>
          </cell>
          <cell r="I6620" t="str">
            <v>L003 Ankleshwar</v>
          </cell>
          <cell r="J6620" t="str">
            <v>99 Input/Byprodt/Scrap</v>
          </cell>
          <cell r="K6620" t="str">
            <v>10.2012</v>
          </cell>
          <cell r="L6620">
            <v>2</v>
          </cell>
          <cell r="M6620" t="str">
            <v>EA</v>
          </cell>
          <cell r="N6620">
            <v>1200</v>
          </cell>
          <cell r="O6620" t="str">
            <v>INR</v>
          </cell>
        </row>
        <row r="6621">
          <cell r="A6621" t="str">
            <v>L003 Ankleshwar</v>
          </cell>
          <cell r="B6621">
            <v>732442</v>
          </cell>
          <cell r="C6621" t="str">
            <v>DA-104 ANTI SIFTER SUIT 18"CIRX24"HX15"</v>
          </cell>
          <cell r="D6621" t="str">
            <v>L0030151                       EnggStore</v>
          </cell>
          <cell r="E6621" t="str">
            <v>E42 E42</v>
          </cell>
          <cell r="F6621" t="str">
            <v>VB Manual reorder point planning</v>
          </cell>
          <cell r="G6621" t="str">
            <v>HIBE Operating supplies</v>
          </cell>
          <cell r="H6621" t="str">
            <v>EN027     Prod&amp;OtherConsumable</v>
          </cell>
          <cell r="I6621" t="str">
            <v>L003 Ankleshwar</v>
          </cell>
          <cell r="J6621" t="str">
            <v>99 Input/Byprodt/Scrap</v>
          </cell>
          <cell r="K6621" t="str">
            <v>10.2012</v>
          </cell>
          <cell r="L6621">
            <v>2</v>
          </cell>
          <cell r="M6621" t="str">
            <v>EA</v>
          </cell>
          <cell r="N6621">
            <v>2800</v>
          </cell>
          <cell r="O6621" t="str">
            <v>INR</v>
          </cell>
        </row>
        <row r="6622">
          <cell r="A6622" t="str">
            <v>L003 Ankleshwar</v>
          </cell>
          <cell r="B6622">
            <v>732443</v>
          </cell>
          <cell r="C6622" t="str">
            <v>DA-104 ANTI SIFTER SUIT 17"CIRX17"HX15"</v>
          </cell>
          <cell r="D6622" t="str">
            <v>L0030151                       EnggStore</v>
          </cell>
          <cell r="E6622" t="str">
            <v>E42 E42</v>
          </cell>
          <cell r="F6622" t="str">
            <v>VB Manual reorder point planning</v>
          </cell>
          <cell r="G6622" t="str">
            <v>HIBE Operating supplies</v>
          </cell>
          <cell r="H6622" t="str">
            <v>EN027     Prod&amp;OtherConsumable</v>
          </cell>
          <cell r="I6622" t="str">
            <v>L003 Ankleshwar</v>
          </cell>
          <cell r="J6622" t="str">
            <v>99 Input/Byprodt/Scrap</v>
          </cell>
          <cell r="K6622" t="str">
            <v>10.2012</v>
          </cell>
          <cell r="L6622">
            <v>2</v>
          </cell>
          <cell r="M6622" t="str">
            <v>EA</v>
          </cell>
          <cell r="N6622">
            <v>1200</v>
          </cell>
          <cell r="O6622" t="str">
            <v>INR</v>
          </cell>
        </row>
        <row r="6623">
          <cell r="A6623" t="str">
            <v>L003 Ankleshwar</v>
          </cell>
          <cell r="B6623">
            <v>732626</v>
          </cell>
          <cell r="C6623" t="str">
            <v>D-119 ANTISTA C/F BAG 48" F-1002 BOTTOM</v>
          </cell>
          <cell r="D6623" t="str">
            <v>L0030201                       Cons StoreKP</v>
          </cell>
          <cell r="E6623" t="str">
            <v>E42 E42</v>
          </cell>
          <cell r="F6623" t="str">
            <v>VB Manual reorder point planning</v>
          </cell>
          <cell r="G6623" t="str">
            <v>HIBE Operating supplies</v>
          </cell>
          <cell r="H6623" t="str">
            <v>EN027     Prod&amp;OtherConsumable</v>
          </cell>
          <cell r="I6623" t="str">
            <v>L003 Ankleshwar</v>
          </cell>
          <cell r="J6623" t="str">
            <v>99 Input/Byprodt/Scrap</v>
          </cell>
          <cell r="K6623" t="str">
            <v>10.2012</v>
          </cell>
          <cell r="L6623">
            <v>1</v>
          </cell>
          <cell r="M6623" t="str">
            <v>EA</v>
          </cell>
          <cell r="N6623">
            <v>2110</v>
          </cell>
          <cell r="O6623" t="str">
            <v>INR</v>
          </cell>
        </row>
        <row r="6624">
          <cell r="A6624" t="str">
            <v>L003 Ankleshwar</v>
          </cell>
          <cell r="B6624">
            <v>732628</v>
          </cell>
          <cell r="C6624" t="str">
            <v>D-119 ANTISTA C/F BAG 48" F-1005 BOTTOM</v>
          </cell>
          <cell r="D6624" t="str">
            <v>L0030201                       Cons StoreKP</v>
          </cell>
          <cell r="E6624" t="str">
            <v>E42 E42</v>
          </cell>
          <cell r="F6624" t="str">
            <v>VB Manual reorder point planning</v>
          </cell>
          <cell r="G6624" t="str">
            <v>HIBE Operating supplies</v>
          </cell>
          <cell r="H6624" t="str">
            <v>EN027     Prod&amp;OtherConsumable</v>
          </cell>
          <cell r="I6624" t="str">
            <v>L003 Ankleshwar</v>
          </cell>
          <cell r="J6624" t="str">
            <v>99 Input/Byprodt/Scrap</v>
          </cell>
          <cell r="K6624" t="str">
            <v>10.2012</v>
          </cell>
          <cell r="L6624">
            <v>1</v>
          </cell>
          <cell r="M6624" t="str">
            <v>EA</v>
          </cell>
          <cell r="N6624">
            <v>2110</v>
          </cell>
          <cell r="O6624" t="str">
            <v>INR</v>
          </cell>
        </row>
        <row r="6625">
          <cell r="A6625" t="str">
            <v>L003 Ankleshwar</v>
          </cell>
          <cell r="B6625">
            <v>732630</v>
          </cell>
          <cell r="C6625" t="str">
            <v>D-119 ANTISTA C/F BAG 48" F-1004 BOTTOM</v>
          </cell>
          <cell r="D6625" t="str">
            <v>L0030201                       Cons StoreKP</v>
          </cell>
          <cell r="E6625" t="str">
            <v>E42 E42</v>
          </cell>
          <cell r="F6625" t="str">
            <v>VB Manual reorder point planning</v>
          </cell>
          <cell r="G6625" t="str">
            <v>HIBE Operating supplies</v>
          </cell>
          <cell r="H6625" t="str">
            <v>EN027     Prod&amp;OtherConsumable</v>
          </cell>
          <cell r="I6625" t="str">
            <v>L003 Ankleshwar</v>
          </cell>
          <cell r="J6625" t="str">
            <v>99 Input/Byprodt/Scrap</v>
          </cell>
          <cell r="K6625" t="str">
            <v>10.2012</v>
          </cell>
          <cell r="L6625">
            <v>1</v>
          </cell>
          <cell r="M6625" t="str">
            <v>EA</v>
          </cell>
          <cell r="N6625">
            <v>2055.4699999999898</v>
          </cell>
          <cell r="O6625" t="str">
            <v>INR</v>
          </cell>
        </row>
        <row r="6626">
          <cell r="A6626" t="str">
            <v>L003 Ankleshwar</v>
          </cell>
          <cell r="B6626">
            <v>732796</v>
          </cell>
          <cell r="C6626" t="str">
            <v>PP ANTISTATIC BAG D-1100 AT 48 CF-9101B</v>
          </cell>
          <cell r="D6626" t="str">
            <v>L0030201                       Cons StoreKP</v>
          </cell>
          <cell r="E6626" t="str">
            <v>E42 E42</v>
          </cell>
          <cell r="F6626" t="str">
            <v>VB Manual reorder point planning</v>
          </cell>
          <cell r="G6626" t="str">
            <v>HIBE Operating supplies</v>
          </cell>
          <cell r="H6626" t="str">
            <v>EN027     Prod&amp;OtherConsumable</v>
          </cell>
          <cell r="I6626" t="str">
            <v>L003 Ankleshwar</v>
          </cell>
          <cell r="J6626" t="str">
            <v>99 Input/Byprodt/Scrap</v>
          </cell>
          <cell r="K6626" t="str">
            <v>10.2012</v>
          </cell>
          <cell r="L6626">
            <v>2</v>
          </cell>
          <cell r="M6626" t="str">
            <v>EA</v>
          </cell>
          <cell r="N6626">
            <v>4220</v>
          </cell>
          <cell r="O6626" t="str">
            <v>INR</v>
          </cell>
        </row>
        <row r="6627">
          <cell r="A6627" t="str">
            <v>L003 Ankleshwar</v>
          </cell>
          <cell r="B6627">
            <v>732798</v>
          </cell>
          <cell r="C6627" t="str">
            <v>PP ANTISTATIC BAG D-1100 AT 48 CF-9201A</v>
          </cell>
          <cell r="D6627" t="str">
            <v>L0030201                       Cons StoreKP</v>
          </cell>
          <cell r="E6627" t="str">
            <v>E42 E42</v>
          </cell>
          <cell r="F6627" t="str">
            <v>VB Manual reorder point planning</v>
          </cell>
          <cell r="G6627" t="str">
            <v>HIBE Operating supplies</v>
          </cell>
          <cell r="H6627" t="str">
            <v>EN027     Prod&amp;OtherConsumable</v>
          </cell>
          <cell r="I6627" t="str">
            <v>L003 Ankleshwar</v>
          </cell>
          <cell r="J6627" t="str">
            <v>99 Input/Byprodt/Scrap</v>
          </cell>
          <cell r="K6627" t="str">
            <v>10.2012</v>
          </cell>
          <cell r="L6627">
            <v>2</v>
          </cell>
          <cell r="M6627" t="str">
            <v>EA</v>
          </cell>
          <cell r="N6627">
            <v>4220</v>
          </cell>
          <cell r="O6627" t="str">
            <v>INR</v>
          </cell>
        </row>
        <row r="6628">
          <cell r="A6628" t="str">
            <v>L003 Ankleshwar</v>
          </cell>
          <cell r="B6628">
            <v>732799</v>
          </cell>
          <cell r="C6628" t="str">
            <v>PP ANTISTATIC BAG D-1100 AT 48 CF-9202</v>
          </cell>
          <cell r="D6628" t="str">
            <v>L0030151                       EnggStore</v>
          </cell>
          <cell r="E6628" t="str">
            <v>E42 E42</v>
          </cell>
          <cell r="F6628" t="str">
            <v>VB Manual reorder point planning</v>
          </cell>
          <cell r="G6628" t="str">
            <v>HIBE Operating supplies</v>
          </cell>
          <cell r="H6628" t="str">
            <v>EN027     Prod&amp;OtherConsumable</v>
          </cell>
          <cell r="I6628" t="str">
            <v>L003 Ankleshwar</v>
          </cell>
          <cell r="J6628" t="str">
            <v>99 Input/Byprodt/Scrap</v>
          </cell>
          <cell r="K6628" t="str">
            <v>10.2012</v>
          </cell>
          <cell r="L6628">
            <v>2</v>
          </cell>
          <cell r="M6628" t="str">
            <v>EA</v>
          </cell>
          <cell r="N6628">
            <v>4220</v>
          </cell>
          <cell r="O6628" t="str">
            <v>INR</v>
          </cell>
        </row>
        <row r="6629">
          <cell r="A6629" t="str">
            <v>L003 Ankleshwar</v>
          </cell>
          <cell r="B6629">
            <v>732799</v>
          </cell>
          <cell r="C6629" t="str">
            <v>PP ANTISTATIC BAG D-1100 AT 48 CF-9202</v>
          </cell>
          <cell r="D6629" t="str">
            <v>L0030201                       Cons StoreKP</v>
          </cell>
          <cell r="E6629" t="str">
            <v>E42 E42</v>
          </cell>
          <cell r="F6629" t="str">
            <v>VB Manual reorder point planning</v>
          </cell>
          <cell r="G6629" t="str">
            <v>HIBE Operating supplies</v>
          </cell>
          <cell r="H6629" t="str">
            <v>EN027     Prod&amp;OtherConsumable</v>
          </cell>
          <cell r="I6629" t="str">
            <v>L003 Ankleshwar</v>
          </cell>
          <cell r="J6629" t="str">
            <v>99 Input/Byprodt/Scrap</v>
          </cell>
          <cell r="K6629" t="str">
            <v>10.2012</v>
          </cell>
          <cell r="L6629">
            <v>3</v>
          </cell>
          <cell r="M6629" t="str">
            <v>EA</v>
          </cell>
          <cell r="N6629">
            <v>6330</v>
          </cell>
          <cell r="O6629" t="str">
            <v>INR</v>
          </cell>
        </row>
        <row r="6630">
          <cell r="A6630" t="str">
            <v>L003 Ankleshwar</v>
          </cell>
          <cell r="B6630">
            <v>732800</v>
          </cell>
          <cell r="C6630" t="str">
            <v>PP ANTISTATIC BAG D-1100 AT 48 CF-6101</v>
          </cell>
          <cell r="D6630" t="str">
            <v>L0030151                       EnggStore</v>
          </cell>
          <cell r="E6630" t="str">
            <v>E42 E42</v>
          </cell>
          <cell r="F6630" t="str">
            <v>VB Manual reorder point planning</v>
          </cell>
          <cell r="G6630" t="str">
            <v>HIBE Operating supplies</v>
          </cell>
          <cell r="H6630" t="str">
            <v>EN027     Prod&amp;OtherConsumable</v>
          </cell>
          <cell r="I6630" t="str">
            <v>L003 Ankleshwar</v>
          </cell>
          <cell r="J6630" t="str">
            <v>99 Input/Byprodt/Scrap</v>
          </cell>
          <cell r="K6630" t="str">
            <v>10.2012</v>
          </cell>
          <cell r="L6630">
            <v>1</v>
          </cell>
          <cell r="M6630" t="str">
            <v>EA</v>
          </cell>
          <cell r="N6630">
            <v>2110</v>
          </cell>
          <cell r="O6630" t="str">
            <v>INR</v>
          </cell>
        </row>
        <row r="6631">
          <cell r="A6631" t="str">
            <v>L003 Ankleshwar</v>
          </cell>
          <cell r="B6631">
            <v>732801</v>
          </cell>
          <cell r="C6631" t="str">
            <v>PP ANTISTATIC BAG D-1100 AT 48 CF-6102</v>
          </cell>
          <cell r="D6631" t="str">
            <v>L0030151                       EnggStore</v>
          </cell>
          <cell r="E6631" t="str">
            <v>E42 E42</v>
          </cell>
          <cell r="F6631" t="str">
            <v>VB Manual reorder point planning</v>
          </cell>
          <cell r="G6631" t="str">
            <v>HIBE Operating supplies</v>
          </cell>
          <cell r="H6631" t="str">
            <v>EN027     Prod&amp;OtherConsumable</v>
          </cell>
          <cell r="I6631" t="str">
            <v>L003 Ankleshwar</v>
          </cell>
          <cell r="J6631" t="str">
            <v>99 Input/Byprodt/Scrap</v>
          </cell>
          <cell r="K6631" t="str">
            <v>10.2012</v>
          </cell>
          <cell r="L6631">
            <v>1</v>
          </cell>
          <cell r="M6631" t="str">
            <v>EA</v>
          </cell>
          <cell r="N6631">
            <v>2066.67</v>
          </cell>
          <cell r="O6631" t="str">
            <v>INR</v>
          </cell>
        </row>
        <row r="6632">
          <cell r="A6632" t="str">
            <v>L003 Ankleshwar</v>
          </cell>
          <cell r="B6632">
            <v>732801</v>
          </cell>
          <cell r="C6632" t="str">
            <v>PP ANTISTATIC BAG D-1100 AT 48 CF-6102</v>
          </cell>
          <cell r="D6632" t="str">
            <v>L0030201                       Cons StoreKP</v>
          </cell>
          <cell r="E6632" t="str">
            <v>E42 E42</v>
          </cell>
          <cell r="F6632" t="str">
            <v>VB Manual reorder point planning</v>
          </cell>
          <cell r="G6632" t="str">
            <v>HIBE Operating supplies</v>
          </cell>
          <cell r="H6632" t="str">
            <v>EN027     Prod&amp;OtherConsumable</v>
          </cell>
          <cell r="I6632" t="str">
            <v>L003 Ankleshwar</v>
          </cell>
          <cell r="J6632" t="str">
            <v>99 Input/Byprodt/Scrap</v>
          </cell>
          <cell r="K6632" t="str">
            <v>10.2012</v>
          </cell>
          <cell r="L6632">
            <v>1</v>
          </cell>
          <cell r="M6632" t="str">
            <v>EA</v>
          </cell>
          <cell r="N6632">
            <v>2066.6599999999899</v>
          </cell>
          <cell r="O6632" t="str">
            <v>INR</v>
          </cell>
        </row>
        <row r="6633">
          <cell r="A6633" t="str">
            <v>L003 Ankleshwar</v>
          </cell>
          <cell r="B6633">
            <v>732802</v>
          </cell>
          <cell r="C6633" t="str">
            <v>PP ANTISTATIC BAG D-1100 AT 48 CF-6201</v>
          </cell>
          <cell r="D6633" t="str">
            <v>L0030151                       EnggStore</v>
          </cell>
          <cell r="E6633" t="str">
            <v>E42 E42</v>
          </cell>
          <cell r="F6633" t="str">
            <v>VB Manual reorder point planning</v>
          </cell>
          <cell r="G6633" t="str">
            <v>HIBE Operating supplies</v>
          </cell>
          <cell r="H6633" t="str">
            <v>EN027     Prod&amp;OtherConsumable</v>
          </cell>
          <cell r="I6633" t="str">
            <v>L003 Ankleshwar</v>
          </cell>
          <cell r="J6633" t="str">
            <v>99 Input/Byprodt/Scrap</v>
          </cell>
          <cell r="K6633" t="str">
            <v>10.2012</v>
          </cell>
          <cell r="L6633">
            <v>1</v>
          </cell>
          <cell r="M6633" t="str">
            <v>EA</v>
          </cell>
          <cell r="N6633">
            <v>2110</v>
          </cell>
          <cell r="O6633" t="str">
            <v>INR</v>
          </cell>
        </row>
        <row r="6634">
          <cell r="A6634" t="str">
            <v>L003 Ankleshwar</v>
          </cell>
          <cell r="B6634">
            <v>732802</v>
          </cell>
          <cell r="C6634" t="str">
            <v>PP ANTISTATIC BAG D-1100 AT 48 CF-6201</v>
          </cell>
          <cell r="D6634" t="str">
            <v>L0030201                       Cons StoreKP</v>
          </cell>
          <cell r="E6634" t="str">
            <v>E42 E42</v>
          </cell>
          <cell r="F6634" t="str">
            <v>VB Manual reorder point planning</v>
          </cell>
          <cell r="G6634" t="str">
            <v>HIBE Operating supplies</v>
          </cell>
          <cell r="H6634" t="str">
            <v>EN027     Prod&amp;OtherConsumable</v>
          </cell>
          <cell r="I6634" t="str">
            <v>L003 Ankleshwar</v>
          </cell>
          <cell r="J6634" t="str">
            <v>99 Input/Byprodt/Scrap</v>
          </cell>
          <cell r="K6634" t="str">
            <v>10.2012</v>
          </cell>
          <cell r="L6634">
            <v>3</v>
          </cell>
          <cell r="M6634" t="str">
            <v>EA</v>
          </cell>
          <cell r="N6634">
            <v>6330</v>
          </cell>
          <cell r="O6634" t="str">
            <v>INR</v>
          </cell>
        </row>
        <row r="6635">
          <cell r="A6635" t="str">
            <v>L003 Ankleshwar</v>
          </cell>
          <cell r="B6635">
            <v>732844</v>
          </cell>
          <cell r="C6635" t="str">
            <v>ORGANIC VAPOUR NOSE MASK</v>
          </cell>
          <cell r="D6635" t="str">
            <v>L0030151                       EnggStore</v>
          </cell>
          <cell r="E6635" t="str">
            <v>E01 E01</v>
          </cell>
          <cell r="F6635" t="str">
            <v>VB Manual reorder point planning</v>
          </cell>
          <cell r="G6635" t="str">
            <v>HIBE Operating supplies</v>
          </cell>
          <cell r="H6635" t="str">
            <v>EN010     Fire&amp;safety</v>
          </cell>
          <cell r="I6635" t="str">
            <v>L003 Ankleshwar</v>
          </cell>
          <cell r="J6635" t="str">
            <v>99 Input/Byprodt/Scrap</v>
          </cell>
          <cell r="K6635" t="str">
            <v>10.2012</v>
          </cell>
          <cell r="L6635">
            <v>180</v>
          </cell>
          <cell r="M6635" t="str">
            <v>EA</v>
          </cell>
          <cell r="N6635">
            <v>14960.44</v>
          </cell>
          <cell r="O6635" t="str">
            <v>INR</v>
          </cell>
        </row>
        <row r="6636">
          <cell r="A6636" t="str">
            <v>L003 Ankleshwar</v>
          </cell>
          <cell r="B6636">
            <v>732844</v>
          </cell>
          <cell r="C6636" t="str">
            <v>ORGANIC VAPOUR NOSE MASK</v>
          </cell>
          <cell r="D6636" t="str">
            <v>L0030201                       Cons StoreKP</v>
          </cell>
          <cell r="E6636" t="str">
            <v>E01 E01</v>
          </cell>
          <cell r="F6636" t="str">
            <v>VB Manual reorder point planning</v>
          </cell>
          <cell r="G6636" t="str">
            <v>HIBE Operating supplies</v>
          </cell>
          <cell r="H6636" t="str">
            <v>EN010     Fire&amp;safety</v>
          </cell>
          <cell r="I6636" t="str">
            <v>L003 Ankleshwar</v>
          </cell>
          <cell r="J6636" t="str">
            <v>99 Input/Byprodt/Scrap</v>
          </cell>
          <cell r="K6636" t="str">
            <v>10.2012</v>
          </cell>
          <cell r="L6636">
            <v>109</v>
          </cell>
          <cell r="M6636" t="str">
            <v>EA</v>
          </cell>
          <cell r="N6636">
            <v>9059.3700000000008</v>
          </cell>
          <cell r="O6636" t="str">
            <v>INR</v>
          </cell>
        </row>
        <row r="6637">
          <cell r="A6637" t="str">
            <v>L003 Ankleshwar</v>
          </cell>
          <cell r="B6637">
            <v>732851</v>
          </cell>
          <cell r="C6637" t="str">
            <v>LABEL OF 3 PGCLE (DRY) 7STAR PLANT</v>
          </cell>
          <cell r="D6637" t="str">
            <v>L0030201                       Cons StoreKP</v>
          </cell>
          <cell r="E6637" t="str">
            <v>099 099</v>
          </cell>
          <cell r="F6637" t="str">
            <v>VB Manual reorder point planning</v>
          </cell>
          <cell r="G6637" t="str">
            <v>HIBE Operating supplies</v>
          </cell>
          <cell r="H6637" t="str">
            <v>EN040     Prinitng &amp;Stationery</v>
          </cell>
          <cell r="I6637" t="str">
            <v>L003 Ankleshwar</v>
          </cell>
          <cell r="J6637" t="str">
            <v>99 Input/Byprodt/Scrap</v>
          </cell>
          <cell r="K6637" t="str">
            <v>10.2012</v>
          </cell>
          <cell r="L6637">
            <v>500</v>
          </cell>
          <cell r="M6637" t="str">
            <v>EA</v>
          </cell>
          <cell r="N6637">
            <v>500</v>
          </cell>
          <cell r="O6637" t="str">
            <v>INR</v>
          </cell>
        </row>
        <row r="6638">
          <cell r="A6638" t="str">
            <v>L003 Ankleshwar</v>
          </cell>
          <cell r="B6638">
            <v>732852</v>
          </cell>
          <cell r="C6638" t="str">
            <v>LABEL OF 3 PGCLE (WET) 7STAR PLANT</v>
          </cell>
          <cell r="D6638" t="str">
            <v>L0030201                       Cons StoreKP</v>
          </cell>
          <cell r="E6638" t="str">
            <v>099 099</v>
          </cell>
          <cell r="F6638" t="str">
            <v>VB Manual reorder point planning</v>
          </cell>
          <cell r="G6638" t="str">
            <v>HIBE Operating supplies</v>
          </cell>
          <cell r="H6638" t="str">
            <v>EN040     Prinitng &amp;Stationery</v>
          </cell>
          <cell r="I6638" t="str">
            <v>L003 Ankleshwar</v>
          </cell>
          <cell r="J6638" t="str">
            <v>99 Input/Byprodt/Scrap</v>
          </cell>
          <cell r="K6638" t="str">
            <v>10.2012</v>
          </cell>
          <cell r="L6638">
            <v>500</v>
          </cell>
          <cell r="M6638" t="str">
            <v>EA</v>
          </cell>
          <cell r="N6638">
            <v>500</v>
          </cell>
          <cell r="O6638" t="str">
            <v>INR</v>
          </cell>
        </row>
        <row r="6639">
          <cell r="A6639" t="str">
            <v>L003 Ankleshwar</v>
          </cell>
          <cell r="B6639">
            <v>732855</v>
          </cell>
          <cell r="C6639" t="str">
            <v>LABEL OF 7 AMCA (DRY) 7STAR PLANT</v>
          </cell>
          <cell r="D6639" t="str">
            <v>L0030201                       Cons StoreKP</v>
          </cell>
          <cell r="E6639" t="str">
            <v>099 099</v>
          </cell>
          <cell r="F6639" t="str">
            <v>VB Manual reorder point planning</v>
          </cell>
          <cell r="G6639" t="str">
            <v>HIBE Operating supplies</v>
          </cell>
          <cell r="H6639" t="str">
            <v>EN040     Prinitng &amp;Stationery</v>
          </cell>
          <cell r="I6639" t="str">
            <v>L003 Ankleshwar</v>
          </cell>
          <cell r="J6639" t="str">
            <v>99 Input/Byprodt/Scrap</v>
          </cell>
          <cell r="K6639" t="str">
            <v>10.2012</v>
          </cell>
          <cell r="L6639">
            <v>1000</v>
          </cell>
          <cell r="M6639" t="str">
            <v>EA</v>
          </cell>
          <cell r="N6639">
            <v>1000</v>
          </cell>
          <cell r="O6639" t="str">
            <v>INR</v>
          </cell>
        </row>
        <row r="6640">
          <cell r="A6640" t="str">
            <v>L003 Ankleshwar</v>
          </cell>
          <cell r="B6640">
            <v>732856</v>
          </cell>
          <cell r="C6640" t="str">
            <v>LABEL OF 7 AMCA (WET) 7STAR PLANT</v>
          </cell>
          <cell r="D6640" t="str">
            <v>L0030201                       Cons StoreKP</v>
          </cell>
          <cell r="E6640" t="str">
            <v>099 099</v>
          </cell>
          <cell r="F6640" t="str">
            <v>VB Manual reorder point planning</v>
          </cell>
          <cell r="G6640" t="str">
            <v>HIBE Operating supplies</v>
          </cell>
          <cell r="H6640" t="str">
            <v>EN040     Prinitng &amp;Stationery</v>
          </cell>
          <cell r="I6640" t="str">
            <v>L003 Ankleshwar</v>
          </cell>
          <cell r="J6640" t="str">
            <v>99 Input/Byprodt/Scrap</v>
          </cell>
          <cell r="K6640" t="str">
            <v>10.2012</v>
          </cell>
          <cell r="L6640">
            <v>1000</v>
          </cell>
          <cell r="M6640" t="str">
            <v>EA</v>
          </cell>
          <cell r="N6640">
            <v>1000</v>
          </cell>
          <cell r="O6640" t="str">
            <v>INR</v>
          </cell>
        </row>
        <row r="6641">
          <cell r="A6641" t="str">
            <v>L003 Ankleshwar</v>
          </cell>
          <cell r="B6641">
            <v>732858</v>
          </cell>
          <cell r="C6641" t="str">
            <v>LABEL OF CEPHADOXIME ACID CRUDE (WET)</v>
          </cell>
          <cell r="D6641" t="str">
            <v>L0030201                       Cons StoreKP</v>
          </cell>
          <cell r="E6641" t="str">
            <v>099 099</v>
          </cell>
          <cell r="F6641" t="str">
            <v>VB Manual reorder point planning</v>
          </cell>
          <cell r="G6641" t="str">
            <v>HIBE Operating supplies</v>
          </cell>
          <cell r="H6641" t="str">
            <v>EN040     Prinitng &amp;Stationery</v>
          </cell>
          <cell r="I6641" t="str">
            <v>L003 Ankleshwar</v>
          </cell>
          <cell r="J6641" t="str">
            <v>99 Input/Byprodt/Scrap</v>
          </cell>
          <cell r="K6641" t="str">
            <v>10.2012</v>
          </cell>
          <cell r="L6641">
            <v>500</v>
          </cell>
          <cell r="M6641" t="str">
            <v>EA</v>
          </cell>
          <cell r="N6641">
            <v>500</v>
          </cell>
          <cell r="O6641" t="str">
            <v>INR</v>
          </cell>
        </row>
        <row r="6642">
          <cell r="A6642" t="str">
            <v>L003 Ankleshwar</v>
          </cell>
          <cell r="B6642">
            <v>732860</v>
          </cell>
          <cell r="C6642" t="str">
            <v>LABEL OF 7 AMINO ESTER SALT (WET)</v>
          </cell>
          <cell r="D6642" t="str">
            <v>L0030201                       Cons StoreKP</v>
          </cell>
          <cell r="E6642" t="str">
            <v>099 099</v>
          </cell>
          <cell r="F6642" t="str">
            <v>VB Manual reorder point planning</v>
          </cell>
          <cell r="G6642" t="str">
            <v>HIBE Operating supplies</v>
          </cell>
          <cell r="H6642" t="str">
            <v>EN040     Prinitng &amp;Stationery</v>
          </cell>
          <cell r="I6642" t="str">
            <v>L003 Ankleshwar</v>
          </cell>
          <cell r="J6642" t="str">
            <v>99 Input/Byprodt/Scrap</v>
          </cell>
          <cell r="K6642" t="str">
            <v>10.2012</v>
          </cell>
          <cell r="L6642">
            <v>500</v>
          </cell>
          <cell r="M6642" t="str">
            <v>EA</v>
          </cell>
          <cell r="N6642">
            <v>500</v>
          </cell>
          <cell r="O6642" t="str">
            <v>INR</v>
          </cell>
        </row>
        <row r="6643">
          <cell r="A6643" t="str">
            <v>L003 Ankleshwar</v>
          </cell>
          <cell r="B6643">
            <v>732874</v>
          </cell>
          <cell r="C6643" t="str">
            <v>ANTISTATIC PLASTIC SHEET 21"X36"X400G</v>
          </cell>
          <cell r="D6643" t="str">
            <v>L0030151                       EnggStore</v>
          </cell>
          <cell r="E6643" t="str">
            <v>E42 E42</v>
          </cell>
          <cell r="F6643" t="str">
            <v>VB Manual reorder point planning</v>
          </cell>
          <cell r="G6643" t="str">
            <v>HIBE Operating supplies</v>
          </cell>
          <cell r="H6643" t="str">
            <v>EN027     Prod&amp;OtherConsumable</v>
          </cell>
          <cell r="I6643" t="str">
            <v>L003 Ankleshwar</v>
          </cell>
          <cell r="J6643" t="str">
            <v>99 Input/Byprodt/Scrap</v>
          </cell>
          <cell r="K6643" t="str">
            <v>10.2012</v>
          </cell>
          <cell r="L6643">
            <v>156.80000000000001</v>
          </cell>
          <cell r="M6643" t="str">
            <v>KG</v>
          </cell>
          <cell r="N6643">
            <v>16388.38</v>
          </cell>
          <cell r="O6643" t="str">
            <v>INR</v>
          </cell>
        </row>
        <row r="6644">
          <cell r="A6644" t="str">
            <v>L003 Ankleshwar</v>
          </cell>
          <cell r="B6644">
            <v>732874</v>
          </cell>
          <cell r="C6644" t="str">
            <v>ANTISTATIC PLASTIC SHEET 21"X36"X400G</v>
          </cell>
          <cell r="D6644" t="str">
            <v>L0030201                       Cons StoreKP</v>
          </cell>
          <cell r="E6644" t="str">
            <v>E42 E42</v>
          </cell>
          <cell r="F6644" t="str">
            <v>VB Manual reorder point planning</v>
          </cell>
          <cell r="G6644" t="str">
            <v>HIBE Operating supplies</v>
          </cell>
          <cell r="H6644" t="str">
            <v>EN027     Prod&amp;OtherConsumable</v>
          </cell>
          <cell r="I6644" t="str">
            <v>L003 Ankleshwar</v>
          </cell>
          <cell r="J6644" t="str">
            <v>99 Input/Byprodt/Scrap</v>
          </cell>
          <cell r="K6644" t="str">
            <v>10.2012</v>
          </cell>
          <cell r="L6644">
            <v>208.8</v>
          </cell>
          <cell r="M6644" t="str">
            <v>KG</v>
          </cell>
          <cell r="N6644">
            <v>21823.31</v>
          </cell>
          <cell r="O6644" t="str">
            <v>INR</v>
          </cell>
        </row>
        <row r="6645">
          <cell r="A6645" t="str">
            <v>L003 Ankleshwar</v>
          </cell>
          <cell r="B6645">
            <v>732875</v>
          </cell>
          <cell r="C6645" t="str">
            <v>ANTISTATIC PLASTIC SHEET 46"X26"X400G</v>
          </cell>
          <cell r="D6645" t="str">
            <v>L0030151                       EnggStore</v>
          </cell>
          <cell r="E6645" t="str">
            <v>E42 E42</v>
          </cell>
          <cell r="F6645" t="str">
            <v>VB Manual reorder point planning</v>
          </cell>
          <cell r="G6645" t="str">
            <v>HIBE Operating supplies</v>
          </cell>
          <cell r="H6645" t="str">
            <v>EN027     Prod&amp;OtherConsumable</v>
          </cell>
          <cell r="I6645" t="str">
            <v>L003 Ankleshwar</v>
          </cell>
          <cell r="J6645" t="str">
            <v>99 Input/Byprodt/Scrap</v>
          </cell>
          <cell r="K6645" t="str">
            <v>10.2012</v>
          </cell>
          <cell r="L6645">
            <v>170</v>
          </cell>
          <cell r="M6645" t="str">
            <v>KG</v>
          </cell>
          <cell r="N6645">
            <v>17201.400000000001</v>
          </cell>
          <cell r="O6645" t="str">
            <v>INR</v>
          </cell>
        </row>
        <row r="6646">
          <cell r="A6646" t="str">
            <v>L003 Ankleshwar</v>
          </cell>
          <cell r="B6646">
            <v>732875</v>
          </cell>
          <cell r="C6646" t="str">
            <v>ANTISTATIC PLASTIC SHEET 46"X26"X400G</v>
          </cell>
          <cell r="D6646" t="str">
            <v>L0030201                       Cons StoreKP</v>
          </cell>
          <cell r="E6646" t="str">
            <v>E42 E42</v>
          </cell>
          <cell r="F6646" t="str">
            <v>VB Manual reorder point planning</v>
          </cell>
          <cell r="G6646" t="str">
            <v>HIBE Operating supplies</v>
          </cell>
          <cell r="H6646" t="str">
            <v>EN027     Prod&amp;OtherConsumable</v>
          </cell>
          <cell r="I6646" t="str">
            <v>L003 Ankleshwar</v>
          </cell>
          <cell r="J6646" t="str">
            <v>99 Input/Byprodt/Scrap</v>
          </cell>
          <cell r="K6646" t="str">
            <v>10.2012</v>
          </cell>
          <cell r="L6646">
            <v>40</v>
          </cell>
          <cell r="M6646" t="str">
            <v>KG</v>
          </cell>
          <cell r="N6646">
            <v>4047.3899999999899</v>
          </cell>
          <cell r="O6646" t="str">
            <v>INR</v>
          </cell>
        </row>
        <row r="6647">
          <cell r="A6647" t="str">
            <v>L003 Ankleshwar</v>
          </cell>
          <cell r="B6647">
            <v>732915</v>
          </cell>
          <cell r="C6647" t="str">
            <v>7ADCA SAP DETAILS  BOOK 1X100 PAGE</v>
          </cell>
          <cell r="D6647" t="str">
            <v>L0030151                       EnggStore</v>
          </cell>
          <cell r="E6647" t="str">
            <v>099 099</v>
          </cell>
          <cell r="F6647" t="str">
            <v>VB Manual reorder point planning</v>
          </cell>
          <cell r="G6647" t="str">
            <v>HIBE Operating supplies</v>
          </cell>
          <cell r="H6647" t="str">
            <v>EN040     Prinitng &amp;Stationery</v>
          </cell>
          <cell r="I6647" t="str">
            <v>L003 Ankleshwar</v>
          </cell>
          <cell r="J6647" t="str">
            <v>99 Input/Byprodt/Scrap</v>
          </cell>
          <cell r="K6647" t="str">
            <v>10.2012</v>
          </cell>
          <cell r="L6647">
            <v>5</v>
          </cell>
          <cell r="M6647" t="str">
            <v>EA</v>
          </cell>
          <cell r="N6647">
            <v>1050</v>
          </cell>
          <cell r="O6647" t="str">
            <v>INR</v>
          </cell>
        </row>
        <row r="6648">
          <cell r="A6648" t="str">
            <v>L003 Ankleshwar</v>
          </cell>
          <cell r="B6648">
            <v>732957</v>
          </cell>
          <cell r="C6648" t="str">
            <v>LOG BOOK BHS 1X100 PAGE, 7ADCA</v>
          </cell>
          <cell r="D6648" t="str">
            <v>L0030201                       Cons StoreKP</v>
          </cell>
          <cell r="E6648" t="str">
            <v>E02 E02</v>
          </cell>
          <cell r="F6648" t="str">
            <v>VB Manual reorder point planning</v>
          </cell>
          <cell r="G6648" t="str">
            <v>HIBE Operating supplies</v>
          </cell>
          <cell r="H6648" t="str">
            <v>EN040     Prinitng &amp;Stationery</v>
          </cell>
          <cell r="I6648" t="str">
            <v>L003 Ankleshwar</v>
          </cell>
          <cell r="J6648" t="str">
            <v>99 Input/Byprodt/Scrap</v>
          </cell>
          <cell r="K6648" t="str">
            <v>10.2012</v>
          </cell>
          <cell r="L6648">
            <v>3</v>
          </cell>
          <cell r="M6648" t="str">
            <v>EA</v>
          </cell>
          <cell r="N6648">
            <v>1275</v>
          </cell>
          <cell r="O6648" t="str">
            <v>INR</v>
          </cell>
        </row>
        <row r="6649">
          <cell r="A6649" t="str">
            <v>L003 Ankleshwar</v>
          </cell>
          <cell r="B6649">
            <v>732958</v>
          </cell>
          <cell r="C6649" t="str">
            <v>LOG BOOK DISSOLUTION 1X100PAGE, 7ADCA</v>
          </cell>
          <cell r="D6649" t="str">
            <v>L0030151                       EnggStore</v>
          </cell>
          <cell r="E6649" t="str">
            <v>E02 E02</v>
          </cell>
          <cell r="F6649" t="str">
            <v>VB Manual reorder point planning</v>
          </cell>
          <cell r="G6649" t="str">
            <v>HIBE Operating supplies</v>
          </cell>
          <cell r="H6649" t="str">
            <v>EN040     Prinitng &amp;Stationery</v>
          </cell>
          <cell r="I6649" t="str">
            <v>L003 Ankleshwar</v>
          </cell>
          <cell r="J6649" t="str">
            <v>99 Input/Byprodt/Scrap</v>
          </cell>
          <cell r="K6649" t="str">
            <v>10.2012</v>
          </cell>
          <cell r="L6649">
            <v>4</v>
          </cell>
          <cell r="M6649" t="str">
            <v>EA</v>
          </cell>
          <cell r="N6649">
            <v>1700</v>
          </cell>
          <cell r="O6649" t="str">
            <v>INR</v>
          </cell>
        </row>
        <row r="6650">
          <cell r="A6650" t="str">
            <v>L003 Ankleshwar</v>
          </cell>
          <cell r="B6650">
            <v>732959</v>
          </cell>
          <cell r="C6650" t="str">
            <v>PLANT LOG BOOK 1X100 PAGE 7ADCA</v>
          </cell>
          <cell r="D6650" t="str">
            <v>L0030201                       Cons StoreKP</v>
          </cell>
          <cell r="E6650" t="str">
            <v>E02 E02</v>
          </cell>
          <cell r="F6650" t="str">
            <v>VB Manual reorder point planning</v>
          </cell>
          <cell r="G6650" t="str">
            <v>HIBE Operating supplies</v>
          </cell>
          <cell r="H6650" t="str">
            <v>EN040     Prinitng &amp;Stationery</v>
          </cell>
          <cell r="I6650" t="str">
            <v>L003 Ankleshwar</v>
          </cell>
          <cell r="J6650" t="str">
            <v>99 Input/Byprodt/Scrap</v>
          </cell>
          <cell r="K6650" t="str">
            <v>10.2012</v>
          </cell>
          <cell r="L6650">
            <v>4</v>
          </cell>
          <cell r="M6650" t="str">
            <v>EA</v>
          </cell>
          <cell r="N6650">
            <v>1700</v>
          </cell>
          <cell r="O6650" t="str">
            <v>INR</v>
          </cell>
        </row>
        <row r="6651">
          <cell r="A6651" t="str">
            <v>L003 Ankleshwar</v>
          </cell>
          <cell r="B6651">
            <v>732961</v>
          </cell>
          <cell r="C6651" t="str">
            <v>D-119 AT ANTISTATIC C/F BAG 36" F-11302</v>
          </cell>
          <cell r="D6651" t="str">
            <v>L0030201                       Cons StoreKP</v>
          </cell>
          <cell r="E6651" t="str">
            <v>E42 E42</v>
          </cell>
          <cell r="F6651" t="str">
            <v>VB Manual reorder point planning</v>
          </cell>
          <cell r="G6651" t="str">
            <v>HIBE Operating supplies</v>
          </cell>
          <cell r="H6651" t="str">
            <v>EN027     Prod&amp;OtherConsumable</v>
          </cell>
          <cell r="I6651" t="str">
            <v>L003 Ankleshwar</v>
          </cell>
          <cell r="J6651" t="str">
            <v>99 Input/Byprodt/Scrap</v>
          </cell>
          <cell r="K6651" t="str">
            <v>10.2012</v>
          </cell>
          <cell r="L6651">
            <v>3</v>
          </cell>
          <cell r="M6651" t="str">
            <v>EA</v>
          </cell>
          <cell r="N6651">
            <v>2940</v>
          </cell>
          <cell r="O6651" t="str">
            <v>INR</v>
          </cell>
        </row>
        <row r="6652">
          <cell r="A6652" t="str">
            <v>L003 Ankleshwar</v>
          </cell>
          <cell r="B6652">
            <v>732962</v>
          </cell>
          <cell r="C6652" t="str">
            <v>D-119 AT ANTISTATIC C/F BAG 36" F-11401</v>
          </cell>
          <cell r="D6652" t="str">
            <v>L0030151                       EnggStore</v>
          </cell>
          <cell r="E6652" t="str">
            <v>E42 E42</v>
          </cell>
          <cell r="F6652" t="str">
            <v>VB Manual reorder point planning</v>
          </cell>
          <cell r="G6652" t="str">
            <v>HIBE Operating supplies</v>
          </cell>
          <cell r="H6652" t="str">
            <v>EN027     Prod&amp;OtherConsumable</v>
          </cell>
          <cell r="I6652" t="str">
            <v>L003 Ankleshwar</v>
          </cell>
          <cell r="J6652" t="str">
            <v>99 Input/Byprodt/Scrap</v>
          </cell>
          <cell r="K6652" t="str">
            <v>10.2012</v>
          </cell>
          <cell r="L6652">
            <v>3</v>
          </cell>
          <cell r="M6652" t="str">
            <v>EA</v>
          </cell>
          <cell r="N6652">
            <v>3026.67</v>
          </cell>
          <cell r="O6652" t="str">
            <v>INR</v>
          </cell>
        </row>
        <row r="6653">
          <cell r="A6653" t="str">
            <v>L003 Ankleshwar</v>
          </cell>
          <cell r="B6653">
            <v>733001</v>
          </cell>
          <cell r="C6653" t="str">
            <v>7 STAR SOLVENT RECOVERY PLANT</v>
          </cell>
          <cell r="D6653" t="str">
            <v>L0030151                       EnggStore</v>
          </cell>
          <cell r="E6653" t="str">
            <v>099 099</v>
          </cell>
          <cell r="F6653" t="str">
            <v>VB Manual reorder point planning</v>
          </cell>
          <cell r="G6653" t="str">
            <v>HIBE Operating supplies</v>
          </cell>
          <cell r="H6653" t="str">
            <v>EN040     Prinitng &amp;Stationery</v>
          </cell>
          <cell r="I6653" t="str">
            <v>L003 Ankleshwar</v>
          </cell>
          <cell r="J6653" t="str">
            <v>99 Input/Byprodt/Scrap</v>
          </cell>
          <cell r="K6653" t="str">
            <v>10.2012</v>
          </cell>
          <cell r="L6653">
            <v>6</v>
          </cell>
          <cell r="M6653" t="str">
            <v>EA</v>
          </cell>
          <cell r="N6653">
            <v>1500</v>
          </cell>
          <cell r="O6653" t="str">
            <v>INR</v>
          </cell>
        </row>
        <row r="6654">
          <cell r="A6654" t="str">
            <v>L003 Ankleshwar</v>
          </cell>
          <cell r="B6654">
            <v>733017</v>
          </cell>
          <cell r="C6654" t="str">
            <v>SS316-WIRE BRAI FLEX HOSE 1-½X2MTR WITH</v>
          </cell>
          <cell r="D6654" t="str">
            <v>L0030151                       EnggStore</v>
          </cell>
          <cell r="E6654" t="str">
            <v>099 099</v>
          </cell>
          <cell r="F6654" t="str">
            <v>VB Manual reorder point planning</v>
          </cell>
          <cell r="G6654" t="str">
            <v>HIBE Operating supplies</v>
          </cell>
          <cell r="H6654" t="str">
            <v>EN027     Prod&amp;OtherConsumable</v>
          </cell>
          <cell r="I6654" t="str">
            <v>L003 Ankleshwar</v>
          </cell>
          <cell r="J6654" t="str">
            <v>99 Input/Byprodt/Scrap</v>
          </cell>
          <cell r="K6654" t="str">
            <v>10.2012</v>
          </cell>
          <cell r="L6654">
            <v>2</v>
          </cell>
          <cell r="M6654" t="str">
            <v>EA</v>
          </cell>
          <cell r="N6654">
            <v>1718.0799999999899</v>
          </cell>
          <cell r="O6654" t="str">
            <v>INR</v>
          </cell>
        </row>
        <row r="6655">
          <cell r="A6655" t="str">
            <v>L003 Ankleshwar</v>
          </cell>
          <cell r="B6655">
            <v>733035</v>
          </cell>
          <cell r="C6655" t="str">
            <v>REFIL FOR PP AREA BALL PEN</v>
          </cell>
          <cell r="D6655" t="str">
            <v>L0030151                       EnggStore</v>
          </cell>
          <cell r="E6655" t="str">
            <v>099 099</v>
          </cell>
          <cell r="F6655" t="str">
            <v>VB Manual reorder point planning</v>
          </cell>
          <cell r="G6655" t="str">
            <v>HIBE Operating supplies</v>
          </cell>
          <cell r="H6655" t="str">
            <v>EN040     Prinitng &amp;Stationery</v>
          </cell>
          <cell r="I6655" t="str">
            <v>L003 Ankleshwar</v>
          </cell>
          <cell r="J6655" t="str">
            <v>99 Input/Byprodt/Scrap</v>
          </cell>
          <cell r="K6655" t="str">
            <v>10.2012</v>
          </cell>
          <cell r="L6655">
            <v>100</v>
          </cell>
          <cell r="M6655" t="str">
            <v>EA</v>
          </cell>
          <cell r="N6655">
            <v>157.5</v>
          </cell>
          <cell r="O6655" t="str">
            <v>INR</v>
          </cell>
        </row>
        <row r="6656">
          <cell r="A6656" t="str">
            <v>L003 Ankleshwar</v>
          </cell>
          <cell r="B6656">
            <v>733072</v>
          </cell>
          <cell r="C6656" t="str">
            <v>D-900 ANTISTATIC C/F BAG 48" F-301</v>
          </cell>
          <cell r="D6656" t="str">
            <v>L0030151                       EnggStore</v>
          </cell>
          <cell r="E6656" t="str">
            <v>E42 E42</v>
          </cell>
          <cell r="F6656" t="str">
            <v>VB Manual reorder point planning</v>
          </cell>
          <cell r="G6656" t="str">
            <v>HIBE Operating supplies</v>
          </cell>
          <cell r="H6656" t="str">
            <v>EN027     Prod&amp;OtherConsumable</v>
          </cell>
          <cell r="I6656" t="str">
            <v>L003 Ankleshwar</v>
          </cell>
          <cell r="J6656" t="str">
            <v>99 Input/Byprodt/Scrap</v>
          </cell>
          <cell r="K6656" t="str">
            <v>10.2012</v>
          </cell>
          <cell r="L6656">
            <v>3</v>
          </cell>
          <cell r="M6656" t="str">
            <v>EA</v>
          </cell>
          <cell r="N6656">
            <v>3091.3299999999899</v>
          </cell>
          <cell r="O6656" t="str">
            <v>INR</v>
          </cell>
        </row>
        <row r="6657">
          <cell r="A6657" t="str">
            <v>L003 Ankleshwar</v>
          </cell>
          <cell r="B6657">
            <v>733119</v>
          </cell>
          <cell r="C6657" t="str">
            <v>LOAN ISSUE SLIP BOOK 1X100 PAGE</v>
          </cell>
          <cell r="D6657" t="str">
            <v>L0030151                       EnggStore</v>
          </cell>
          <cell r="E6657" t="str">
            <v>E01 E01</v>
          </cell>
          <cell r="F6657" t="str">
            <v>VB Manual reorder point planning</v>
          </cell>
          <cell r="G6657" t="str">
            <v>HIBE Operating supplies</v>
          </cell>
          <cell r="H6657" t="str">
            <v>EN040     Prinitng &amp;Stationery</v>
          </cell>
          <cell r="I6657" t="str">
            <v>L003 Ankleshwar</v>
          </cell>
          <cell r="J6657" t="str">
            <v>99 Input/Byprodt/Scrap</v>
          </cell>
          <cell r="K6657" t="str">
            <v>10.2012</v>
          </cell>
          <cell r="L6657">
            <v>18</v>
          </cell>
          <cell r="M6657" t="str">
            <v>EA</v>
          </cell>
          <cell r="N6657">
            <v>661.5</v>
          </cell>
          <cell r="O6657" t="str">
            <v>INR</v>
          </cell>
        </row>
        <row r="6658">
          <cell r="A6658" t="str">
            <v>L003 Ankleshwar</v>
          </cell>
          <cell r="B6658">
            <v>733214</v>
          </cell>
          <cell r="C6658" t="str">
            <v>DT-105TERELENEROTOCON CHUTE 14"DIAX23"H</v>
          </cell>
          <cell r="D6658" t="str">
            <v>L0030151                       EnggStore</v>
          </cell>
          <cell r="E6658" t="str">
            <v>099 099</v>
          </cell>
          <cell r="F6658" t="str">
            <v>VB Manual reorder point planning</v>
          </cell>
          <cell r="G6658" t="str">
            <v>HIBE Operating supplies</v>
          </cell>
          <cell r="H6658" t="str">
            <v>EN038     MechanicalSeals&amp;Spar</v>
          </cell>
          <cell r="I6658" t="str">
            <v>L003 Ankleshwar</v>
          </cell>
          <cell r="J6658" t="str">
            <v>99 Input/Byprodt/Scrap</v>
          </cell>
          <cell r="K6658" t="str">
            <v>10.2012</v>
          </cell>
          <cell r="L6658">
            <v>2</v>
          </cell>
          <cell r="M6658" t="str">
            <v>EA</v>
          </cell>
          <cell r="N6658">
            <v>600</v>
          </cell>
          <cell r="O6658" t="str">
            <v>INR</v>
          </cell>
        </row>
        <row r="6659">
          <cell r="A6659" t="str">
            <v>L003 Ankleshwar</v>
          </cell>
          <cell r="B6659">
            <v>733230</v>
          </cell>
          <cell r="C6659" t="str">
            <v>LOGBOOK FOR C.ECONOMIZER</v>
          </cell>
          <cell r="D6659" t="str">
            <v>L0030151                       EnggStore</v>
          </cell>
          <cell r="E6659">
            <v>0</v>
          </cell>
          <cell r="F6659" t="str">
            <v>ND No planning</v>
          </cell>
          <cell r="G6659" t="str">
            <v>HIBE Operating supplies</v>
          </cell>
          <cell r="H6659" t="str">
            <v>EN040     Prinitng &amp;Stationery</v>
          </cell>
          <cell r="I6659" t="str">
            <v>L003 Ankleshwar</v>
          </cell>
          <cell r="J6659" t="str">
            <v>99 Input/Byprodt/Scrap</v>
          </cell>
          <cell r="K6659" t="str">
            <v>10.2012</v>
          </cell>
          <cell r="L6659">
            <v>1</v>
          </cell>
          <cell r="M6659" t="str">
            <v>EA</v>
          </cell>
          <cell r="N6659">
            <v>429</v>
          </cell>
          <cell r="O6659" t="str">
            <v>INR</v>
          </cell>
        </row>
        <row r="6660">
          <cell r="A6660" t="str">
            <v>L003 Ankleshwar</v>
          </cell>
          <cell r="B6660">
            <v>733230</v>
          </cell>
          <cell r="C6660" t="str">
            <v>LOGBOOK FOR C.ECONOMIZER</v>
          </cell>
          <cell r="D6660" t="str">
            <v>L0030201                       Cons StoreKP</v>
          </cell>
          <cell r="E6660">
            <v>0</v>
          </cell>
          <cell r="F6660" t="str">
            <v>ND No planning</v>
          </cell>
          <cell r="G6660" t="str">
            <v>HIBE Operating supplies</v>
          </cell>
          <cell r="H6660" t="str">
            <v>EN040     Prinitng &amp;Stationery</v>
          </cell>
          <cell r="I6660" t="str">
            <v>L003 Ankleshwar</v>
          </cell>
          <cell r="J6660" t="str">
            <v>99 Input/Byprodt/Scrap</v>
          </cell>
          <cell r="K6660" t="str">
            <v>10.2012</v>
          </cell>
          <cell r="L6660">
            <v>1</v>
          </cell>
          <cell r="M6660" t="str">
            <v>EA</v>
          </cell>
          <cell r="N6660">
            <v>429</v>
          </cell>
          <cell r="O6660" t="str">
            <v>INR</v>
          </cell>
        </row>
        <row r="6661">
          <cell r="A6661" t="str">
            <v>L003 Ankleshwar</v>
          </cell>
          <cell r="B6661">
            <v>733271</v>
          </cell>
          <cell r="C6661" t="str">
            <v>RO PLANT FOR L2AB SO4 LEAN STEARM BOOK</v>
          </cell>
          <cell r="D6661" t="str">
            <v>L0030151                       EnggStore</v>
          </cell>
          <cell r="E6661" t="str">
            <v>099 099</v>
          </cell>
          <cell r="F6661" t="str">
            <v>VB Manual reorder point planning</v>
          </cell>
          <cell r="G6661" t="str">
            <v>HIBE Operating supplies</v>
          </cell>
          <cell r="H6661" t="str">
            <v>EN040     Prinitng &amp;Stationery</v>
          </cell>
          <cell r="I6661" t="str">
            <v>L003 Ankleshwar</v>
          </cell>
          <cell r="J6661" t="str">
            <v>99 Input/Byprodt/Scrap</v>
          </cell>
          <cell r="K6661" t="str">
            <v>10.2012</v>
          </cell>
          <cell r="L6661">
            <v>1</v>
          </cell>
          <cell r="M6661" t="str">
            <v>EA</v>
          </cell>
          <cell r="N6661">
            <v>122.069999999999</v>
          </cell>
          <cell r="O6661" t="str">
            <v>INR</v>
          </cell>
        </row>
        <row r="6662">
          <cell r="A6662" t="str">
            <v>L003 Ankleshwar</v>
          </cell>
          <cell r="B6662">
            <v>733271</v>
          </cell>
          <cell r="C6662" t="str">
            <v>RO PLANT FOR L2AB SO4 LEAN STEARM BOOK</v>
          </cell>
          <cell r="D6662" t="str">
            <v>L0030201                       Cons StoreKP</v>
          </cell>
          <cell r="E6662" t="str">
            <v>099 099</v>
          </cell>
          <cell r="F6662" t="str">
            <v>VB Manual reorder point planning</v>
          </cell>
          <cell r="G6662" t="str">
            <v>HIBE Operating supplies</v>
          </cell>
          <cell r="H6662" t="str">
            <v>EN040     Prinitng &amp;Stationery</v>
          </cell>
          <cell r="I6662" t="str">
            <v>L003 Ankleshwar</v>
          </cell>
          <cell r="J6662" t="str">
            <v>99 Input/Byprodt/Scrap</v>
          </cell>
          <cell r="K6662" t="str">
            <v>10.2012</v>
          </cell>
          <cell r="L6662">
            <v>6</v>
          </cell>
          <cell r="M6662" t="str">
            <v>EA</v>
          </cell>
          <cell r="N6662">
            <v>732.42999999999904</v>
          </cell>
          <cell r="O6662" t="str">
            <v>INR</v>
          </cell>
        </row>
        <row r="6663">
          <cell r="A6663" t="str">
            <v>L003 Ankleshwar</v>
          </cell>
          <cell r="B6663">
            <v>733328</v>
          </cell>
          <cell r="C6663" t="str">
            <v>PP-247 PRESSURE FILTER CLOTH  20MX1000MM</v>
          </cell>
          <cell r="D6663" t="str">
            <v>L0030151                       EnggStore</v>
          </cell>
          <cell r="E6663" t="str">
            <v>E42 E42</v>
          </cell>
          <cell r="F6663" t="str">
            <v>VB Manual reorder point planning</v>
          </cell>
          <cell r="G6663" t="str">
            <v>HIBE Operating supplies</v>
          </cell>
          <cell r="H6663" t="str">
            <v>EN027     Prod&amp;OtherConsumable</v>
          </cell>
          <cell r="I6663" t="str">
            <v>L003 Ankleshwar</v>
          </cell>
          <cell r="J6663" t="str">
            <v>99 Input/Byprodt/Scrap</v>
          </cell>
          <cell r="K6663" t="str">
            <v>10.2012</v>
          </cell>
          <cell r="L6663">
            <v>1</v>
          </cell>
          <cell r="M6663" t="str">
            <v>EA</v>
          </cell>
          <cell r="N6663">
            <v>32719.11</v>
          </cell>
          <cell r="O6663" t="str">
            <v>INR</v>
          </cell>
        </row>
        <row r="6664">
          <cell r="A6664" t="str">
            <v>L003 Ankleshwar</v>
          </cell>
          <cell r="B6664">
            <v>733391</v>
          </cell>
          <cell r="C6664" t="str">
            <v>D2AB CLUSTER BOOK OF ETB PLANT</v>
          </cell>
          <cell r="D6664" t="str">
            <v>L0030151                       EnggStore</v>
          </cell>
          <cell r="E6664" t="str">
            <v>099 099</v>
          </cell>
          <cell r="F6664" t="str">
            <v>VB Manual reorder point planning</v>
          </cell>
          <cell r="G6664" t="str">
            <v>HIBE Operating supplies</v>
          </cell>
          <cell r="H6664" t="str">
            <v>EN040     Prinitng &amp;Stationery</v>
          </cell>
          <cell r="I6664" t="str">
            <v>L003 Ankleshwar</v>
          </cell>
          <cell r="J6664" t="str">
            <v>99 Input/Byprodt/Scrap</v>
          </cell>
          <cell r="K6664" t="str">
            <v>10.2012</v>
          </cell>
          <cell r="L6664">
            <v>3</v>
          </cell>
          <cell r="M6664" t="str">
            <v>EA</v>
          </cell>
          <cell r="N6664">
            <v>900</v>
          </cell>
          <cell r="O6664" t="str">
            <v>INR</v>
          </cell>
        </row>
        <row r="6665">
          <cell r="A6665" t="str">
            <v>L003 Ankleshwar</v>
          </cell>
          <cell r="B6665">
            <v>733392</v>
          </cell>
          <cell r="C6665" t="str">
            <v>HAND DRYER</v>
          </cell>
          <cell r="D6665" t="str">
            <v>L0030151                       EnggStore</v>
          </cell>
          <cell r="E6665">
            <v>0</v>
          </cell>
          <cell r="F6665" t="str">
            <v>ND No planning</v>
          </cell>
          <cell r="G6665" t="str">
            <v>HIBE Operating supplies</v>
          </cell>
          <cell r="H6665" t="str">
            <v>EN027     Prod&amp;OtherConsumable</v>
          </cell>
          <cell r="I6665" t="str">
            <v>L003 Ankleshwar</v>
          </cell>
          <cell r="J6665" t="str">
            <v>99 Input/Byprodt/Scrap</v>
          </cell>
          <cell r="K6665" t="str">
            <v>10.2012</v>
          </cell>
          <cell r="L6665">
            <v>1</v>
          </cell>
          <cell r="M6665" t="str">
            <v>EA</v>
          </cell>
          <cell r="N6665">
            <v>5163.6499999999896</v>
          </cell>
          <cell r="O6665" t="str">
            <v>INR</v>
          </cell>
        </row>
        <row r="6666">
          <cell r="A6666" t="str">
            <v>L003 Ankleshwar</v>
          </cell>
          <cell r="B6666">
            <v>733491</v>
          </cell>
          <cell r="C6666" t="str">
            <v>PC-2040  ANTISCALANT</v>
          </cell>
          <cell r="D6666" t="str">
            <v>L0030151                       EnggStore</v>
          </cell>
          <cell r="E6666" t="str">
            <v>099 099</v>
          </cell>
          <cell r="F6666" t="str">
            <v>VB Manual reorder point planning</v>
          </cell>
          <cell r="G6666" t="str">
            <v>HIBE Operating supplies</v>
          </cell>
          <cell r="H6666" t="str">
            <v>EN027     Prod&amp;OtherConsumable</v>
          </cell>
          <cell r="I6666" t="str">
            <v>L003 Ankleshwar</v>
          </cell>
          <cell r="J6666" t="str">
            <v>99 Input/Byprodt/Scrap</v>
          </cell>
          <cell r="K6666" t="str">
            <v>10.2012</v>
          </cell>
          <cell r="L6666">
            <v>23</v>
          </cell>
          <cell r="M6666" t="str">
            <v>KG</v>
          </cell>
          <cell r="N6666">
            <v>14279.549999999899</v>
          </cell>
          <cell r="O6666" t="str">
            <v>INR</v>
          </cell>
        </row>
        <row r="6667">
          <cell r="A6667" t="str">
            <v>L003 Ankleshwar</v>
          </cell>
          <cell r="B6667">
            <v>733511</v>
          </cell>
          <cell r="C6667" t="str">
            <v>PP/DP-900S ANTISTATIC C/F BAG 48"F-3701A</v>
          </cell>
          <cell r="D6667" t="str">
            <v>L0030201                       Cons StoreKP</v>
          </cell>
          <cell r="E6667" t="str">
            <v>E42 E42</v>
          </cell>
          <cell r="F6667" t="str">
            <v>VB Manual reorder point planning</v>
          </cell>
          <cell r="G6667" t="str">
            <v>HIBE Operating supplies</v>
          </cell>
          <cell r="H6667" t="str">
            <v>EN027     Prod&amp;OtherConsumable</v>
          </cell>
          <cell r="I6667" t="str">
            <v>L003 Ankleshwar</v>
          </cell>
          <cell r="J6667" t="str">
            <v>99 Input/Byprodt/Scrap</v>
          </cell>
          <cell r="K6667" t="str">
            <v>10.2012</v>
          </cell>
          <cell r="L6667">
            <v>2</v>
          </cell>
          <cell r="M6667" t="str">
            <v>EA</v>
          </cell>
          <cell r="N6667">
            <v>4306</v>
          </cell>
          <cell r="O6667" t="str">
            <v>INR</v>
          </cell>
        </row>
        <row r="6668">
          <cell r="A6668" t="str">
            <v>L003 Ankleshwar</v>
          </cell>
          <cell r="B6668">
            <v>733512</v>
          </cell>
          <cell r="C6668" t="str">
            <v>PP/DP-900S ANTISTATIC C/F BAG 48"F-3701B</v>
          </cell>
          <cell r="D6668" t="str">
            <v>L0030151                       EnggStore</v>
          </cell>
          <cell r="E6668" t="str">
            <v>E42 E42</v>
          </cell>
          <cell r="F6668" t="str">
            <v>VB Manual reorder point planning</v>
          </cell>
          <cell r="G6668" t="str">
            <v>HIBE Operating supplies</v>
          </cell>
          <cell r="H6668" t="str">
            <v>EN027     Prod&amp;OtherConsumable</v>
          </cell>
          <cell r="I6668" t="str">
            <v>L003 Ankleshwar</v>
          </cell>
          <cell r="J6668" t="str">
            <v>99 Input/Byprodt/Scrap</v>
          </cell>
          <cell r="K6668" t="str">
            <v>10.2012</v>
          </cell>
          <cell r="L6668">
            <v>2</v>
          </cell>
          <cell r="M6668" t="str">
            <v>EA</v>
          </cell>
          <cell r="N6668">
            <v>4040</v>
          </cell>
          <cell r="O6668" t="str">
            <v>INR</v>
          </cell>
        </row>
        <row r="6669">
          <cell r="A6669" t="str">
            <v>L003 Ankleshwar</v>
          </cell>
          <cell r="B6669">
            <v>733534</v>
          </cell>
          <cell r="C6669" t="str">
            <v>D-929 PP WOVEN BAG FILTER 7"X32"</v>
          </cell>
          <cell r="D6669" t="str">
            <v>L0030151                       EnggStore</v>
          </cell>
          <cell r="E6669" t="str">
            <v>099 099</v>
          </cell>
          <cell r="F6669" t="str">
            <v>VB Manual reorder point planning</v>
          </cell>
          <cell r="G6669" t="str">
            <v>HIBE Operating supplies</v>
          </cell>
          <cell r="H6669" t="str">
            <v>EN027     Prod&amp;OtherConsumable</v>
          </cell>
          <cell r="I6669" t="str">
            <v>L003 Ankleshwar</v>
          </cell>
          <cell r="J6669" t="str">
            <v>99 Input/Byprodt/Scrap</v>
          </cell>
          <cell r="K6669" t="str">
            <v>10.2012</v>
          </cell>
          <cell r="L6669">
            <v>4</v>
          </cell>
          <cell r="M6669" t="str">
            <v>EA</v>
          </cell>
          <cell r="N6669">
            <v>1400</v>
          </cell>
          <cell r="O6669" t="str">
            <v>INR</v>
          </cell>
        </row>
        <row r="6670">
          <cell r="A6670" t="str">
            <v>L003 Ankleshwar</v>
          </cell>
          <cell r="B6670">
            <v>733577</v>
          </cell>
          <cell r="C6670" t="str">
            <v>CEFADROXIL PRODUCTION REGISTER1x100page</v>
          </cell>
          <cell r="D6670" t="str">
            <v>L0030151                       EnggStore</v>
          </cell>
          <cell r="E6670" t="str">
            <v>099 099</v>
          </cell>
          <cell r="F6670" t="str">
            <v>VB Manual reorder point planning</v>
          </cell>
          <cell r="G6670" t="str">
            <v>HIBE Operating supplies</v>
          </cell>
          <cell r="H6670" t="str">
            <v>EN040     Prinitng &amp;Stationery</v>
          </cell>
          <cell r="I6670" t="str">
            <v>L003 Ankleshwar</v>
          </cell>
          <cell r="J6670" t="str">
            <v>99 Input/Byprodt/Scrap</v>
          </cell>
          <cell r="K6670" t="str">
            <v>10.2012</v>
          </cell>
          <cell r="L6670">
            <v>1</v>
          </cell>
          <cell r="M6670" t="str">
            <v>EA</v>
          </cell>
          <cell r="N6670">
            <v>350</v>
          </cell>
          <cell r="O6670" t="str">
            <v>INR</v>
          </cell>
        </row>
        <row r="6671">
          <cell r="A6671" t="str">
            <v>L003 Ankleshwar</v>
          </cell>
          <cell r="B6671">
            <v>733762</v>
          </cell>
          <cell r="C6671" t="str">
            <v>STICKER OF 2ND CROP ETB HCL(CONTROL NO)</v>
          </cell>
          <cell r="D6671" t="str">
            <v>L0030151                       EnggStore</v>
          </cell>
          <cell r="E6671" t="str">
            <v>E01 E01</v>
          </cell>
          <cell r="F6671" t="str">
            <v>VB Manual reorder point planning</v>
          </cell>
          <cell r="G6671" t="str">
            <v>HIBE Operating supplies</v>
          </cell>
          <cell r="H6671" t="str">
            <v>EN040     Prinitng &amp;Stationery</v>
          </cell>
          <cell r="I6671" t="str">
            <v>L003 Ankleshwar</v>
          </cell>
          <cell r="J6671" t="str">
            <v>99 Input/Byprodt/Scrap</v>
          </cell>
          <cell r="K6671" t="str">
            <v>10.2012</v>
          </cell>
          <cell r="L6671">
            <v>3000</v>
          </cell>
          <cell r="M6671" t="str">
            <v>EA</v>
          </cell>
          <cell r="N6671">
            <v>3000</v>
          </cell>
          <cell r="O6671" t="str">
            <v>INR</v>
          </cell>
        </row>
        <row r="6672">
          <cell r="A6672" t="str">
            <v>L003 Ankleshwar</v>
          </cell>
          <cell r="B6672">
            <v>733812</v>
          </cell>
          <cell r="C6672" t="str">
            <v>RVPD FILTER BAG CIV:28"X30.5"H W/O COLL</v>
          </cell>
          <cell r="D6672" t="str">
            <v>L0030201                       Cons StoreKP</v>
          </cell>
          <cell r="E6672" t="str">
            <v>099 099</v>
          </cell>
          <cell r="F6672" t="str">
            <v>VB Manual reorder point planning</v>
          </cell>
          <cell r="G6672" t="str">
            <v>HIBE Operating supplies</v>
          </cell>
          <cell r="H6672" t="str">
            <v>EN027     Prod&amp;OtherConsumable</v>
          </cell>
          <cell r="I6672" t="str">
            <v>L003 Ankleshwar</v>
          </cell>
          <cell r="J6672" t="str">
            <v>99 Input/Byprodt/Scrap</v>
          </cell>
          <cell r="K6672" t="str">
            <v>10.2012</v>
          </cell>
          <cell r="L6672">
            <v>21</v>
          </cell>
          <cell r="M6672" t="str">
            <v>EA</v>
          </cell>
          <cell r="N6672">
            <v>16842</v>
          </cell>
          <cell r="O6672" t="str">
            <v>INR</v>
          </cell>
        </row>
        <row r="6673">
          <cell r="A6673" t="str">
            <v>L003 Ankleshwar</v>
          </cell>
          <cell r="B6673">
            <v>733831</v>
          </cell>
          <cell r="C6673" t="str">
            <v>TRACKER LABLES IN SHEET FORM 16 LABLES</v>
          </cell>
          <cell r="D6673" t="str">
            <v>L0030151                       EnggStore</v>
          </cell>
          <cell r="E6673">
            <v>0</v>
          </cell>
          <cell r="F6673" t="str">
            <v>ND No planning</v>
          </cell>
          <cell r="G6673" t="str">
            <v>HIBE Operating supplies</v>
          </cell>
          <cell r="H6673" t="str">
            <v>EN040     Prinitng &amp;Stationery</v>
          </cell>
          <cell r="I6673" t="str">
            <v>L003 Ankleshwar</v>
          </cell>
          <cell r="J6673" t="str">
            <v>99 Input/Byprodt/Scrap</v>
          </cell>
          <cell r="K6673" t="str">
            <v>10.2012</v>
          </cell>
          <cell r="L6673">
            <v>1000</v>
          </cell>
          <cell r="M6673" t="str">
            <v>EA</v>
          </cell>
          <cell r="N6673">
            <v>3410</v>
          </cell>
          <cell r="O6673" t="str">
            <v>INR</v>
          </cell>
        </row>
        <row r="6674">
          <cell r="A6674" t="str">
            <v>L003 Ankleshwar</v>
          </cell>
          <cell r="B6674">
            <v>733841</v>
          </cell>
          <cell r="C6674" t="str">
            <v>CARPET BRUSH</v>
          </cell>
          <cell r="D6674" t="str">
            <v>L0030151                       EnggStore</v>
          </cell>
          <cell r="E6674" t="str">
            <v>099 099</v>
          </cell>
          <cell r="F6674" t="str">
            <v>VB Manual reorder point planning</v>
          </cell>
          <cell r="G6674" t="str">
            <v>HIBE Operating supplies</v>
          </cell>
          <cell r="H6674" t="str">
            <v>EN014     Housekeeping</v>
          </cell>
          <cell r="I6674" t="str">
            <v>L003 Ankleshwar</v>
          </cell>
          <cell r="J6674" t="str">
            <v>99 Input/Byprodt/Scrap</v>
          </cell>
          <cell r="K6674" t="str">
            <v>10.2012</v>
          </cell>
          <cell r="L6674">
            <v>19</v>
          </cell>
          <cell r="M6674" t="str">
            <v>EA</v>
          </cell>
          <cell r="N6674">
            <v>874</v>
          </cell>
          <cell r="O6674" t="str">
            <v>INR</v>
          </cell>
        </row>
        <row r="6675">
          <cell r="A6675" t="str">
            <v>L003 Ankleshwar</v>
          </cell>
          <cell r="B6675">
            <v>733987</v>
          </cell>
          <cell r="C6675" t="str">
            <v>EQUIPMENT LOG BOOK, CHS TOSYL&amp;ENAMINE</v>
          </cell>
          <cell r="D6675" t="str">
            <v>L0030151                       EnggStore</v>
          </cell>
          <cell r="E6675" t="str">
            <v>099 099</v>
          </cell>
          <cell r="F6675" t="str">
            <v>VB Manual reorder point planning</v>
          </cell>
          <cell r="G6675" t="str">
            <v>HIBE Operating supplies</v>
          </cell>
          <cell r="H6675" t="str">
            <v>EN040     Prinitng &amp;Stationery</v>
          </cell>
          <cell r="I6675" t="str">
            <v>L003 Ankleshwar</v>
          </cell>
          <cell r="J6675" t="str">
            <v>99 Input/Byprodt/Scrap</v>
          </cell>
          <cell r="K6675" t="str">
            <v>10.2012</v>
          </cell>
          <cell r="L6675">
            <v>2</v>
          </cell>
          <cell r="M6675" t="str">
            <v>EA</v>
          </cell>
          <cell r="N6675">
            <v>777.00999999999897</v>
          </cell>
          <cell r="O6675" t="str">
            <v>INR</v>
          </cell>
        </row>
        <row r="6676">
          <cell r="A6676" t="str">
            <v>L003 Ankleshwar</v>
          </cell>
          <cell r="B6676">
            <v>733993</v>
          </cell>
          <cell r="C6676" t="str">
            <v>AHU AIR  FILTER 610X305X550X245X50MM</v>
          </cell>
          <cell r="D6676" t="str">
            <v>L0030151                       EnggStore</v>
          </cell>
          <cell r="E6676">
            <v>0</v>
          </cell>
          <cell r="F6676" t="str">
            <v>ND No planning</v>
          </cell>
          <cell r="G6676" t="str">
            <v>HIBE Operating supplies</v>
          </cell>
          <cell r="H6676" t="str">
            <v>EN027     Prod&amp;OtherConsumable</v>
          </cell>
          <cell r="I6676" t="str">
            <v>L003 Ankleshwar</v>
          </cell>
          <cell r="J6676" t="str">
            <v>99 Input/Byprodt/Scrap</v>
          </cell>
          <cell r="K6676" t="str">
            <v>10.2012</v>
          </cell>
          <cell r="L6676">
            <v>2</v>
          </cell>
          <cell r="M6676" t="str">
            <v>EA</v>
          </cell>
          <cell r="N6676">
            <v>1700</v>
          </cell>
          <cell r="O6676" t="str">
            <v>INR</v>
          </cell>
        </row>
        <row r="6677">
          <cell r="A6677" t="str">
            <v>L003 Ankleshwar</v>
          </cell>
          <cell r="B6677">
            <v>734101</v>
          </cell>
          <cell r="C6677" t="str">
            <v>BLUE OIL PAINT</v>
          </cell>
          <cell r="D6677" t="str">
            <v>L0030151                       EnggStore</v>
          </cell>
          <cell r="E6677">
            <v>0</v>
          </cell>
          <cell r="F6677" t="str">
            <v>ND No planning</v>
          </cell>
          <cell r="G6677" t="str">
            <v>HIBE Operating supplies</v>
          </cell>
          <cell r="H6677" t="str">
            <v>EN024     EnggConsumables</v>
          </cell>
          <cell r="I6677" t="str">
            <v>L003 Ankleshwar</v>
          </cell>
          <cell r="J6677" t="str">
            <v>99 Input/Byprodt/Scrap</v>
          </cell>
          <cell r="K6677" t="str">
            <v>10.2012</v>
          </cell>
          <cell r="L6677">
            <v>9</v>
          </cell>
          <cell r="M6677" t="str">
            <v>L</v>
          </cell>
          <cell r="N6677">
            <v>2260.2600000000002</v>
          </cell>
          <cell r="O6677" t="str">
            <v>INR</v>
          </cell>
        </row>
        <row r="6678">
          <cell r="A6678" t="str">
            <v>L003 Ankleshwar</v>
          </cell>
          <cell r="B6678">
            <v>734102</v>
          </cell>
          <cell r="C6678" t="str">
            <v>YELLOW OIL PAINT</v>
          </cell>
          <cell r="D6678" t="str">
            <v>L0030151                       EnggStore</v>
          </cell>
          <cell r="E6678">
            <v>0</v>
          </cell>
          <cell r="F6678" t="str">
            <v>ND No planning</v>
          </cell>
          <cell r="G6678" t="str">
            <v>HIBE Operating supplies</v>
          </cell>
          <cell r="H6678" t="str">
            <v>EN024     EnggConsumables</v>
          </cell>
          <cell r="I6678" t="str">
            <v>L003 Ankleshwar</v>
          </cell>
          <cell r="J6678" t="str">
            <v>99 Input/Byprodt/Scrap</v>
          </cell>
          <cell r="K6678" t="str">
            <v>10.2012</v>
          </cell>
          <cell r="L6678">
            <v>10</v>
          </cell>
          <cell r="M6678" t="str">
            <v>L</v>
          </cell>
          <cell r="N6678">
            <v>2963.4</v>
          </cell>
          <cell r="O6678" t="str">
            <v>INR</v>
          </cell>
        </row>
        <row r="6679">
          <cell r="A6679" t="str">
            <v>L003 Ankleshwar</v>
          </cell>
          <cell r="B6679">
            <v>734104</v>
          </cell>
          <cell r="C6679" t="str">
            <v>GREEN OIL PAINT</v>
          </cell>
          <cell r="D6679" t="str">
            <v>L0030151                       EnggStore</v>
          </cell>
          <cell r="E6679">
            <v>0</v>
          </cell>
          <cell r="F6679" t="str">
            <v>ND No planning</v>
          </cell>
          <cell r="G6679" t="str">
            <v>HIBE Operating supplies</v>
          </cell>
          <cell r="H6679" t="str">
            <v>EN024     EnggConsumables</v>
          </cell>
          <cell r="I6679" t="str">
            <v>L003 Ankleshwar</v>
          </cell>
          <cell r="J6679" t="str">
            <v>99 Input/Byprodt/Scrap</v>
          </cell>
          <cell r="K6679" t="str">
            <v>10.2012</v>
          </cell>
          <cell r="L6679">
            <v>5</v>
          </cell>
          <cell r="M6679" t="str">
            <v>L</v>
          </cell>
          <cell r="N6679">
            <v>1201.94</v>
          </cell>
          <cell r="O6679" t="str">
            <v>INR</v>
          </cell>
        </row>
        <row r="6680">
          <cell r="A6680" t="str">
            <v>L003 Ankleshwar</v>
          </cell>
          <cell r="B6680">
            <v>734107</v>
          </cell>
          <cell r="C6680" t="str">
            <v>MANDELIC ACID TARE WEIGHT BOOK</v>
          </cell>
          <cell r="D6680" t="str">
            <v>L0030151                       EnggStore</v>
          </cell>
          <cell r="E6680" t="str">
            <v>E01 E01</v>
          </cell>
          <cell r="F6680" t="str">
            <v>VB Manual reorder point planning</v>
          </cell>
          <cell r="G6680" t="str">
            <v>HIBE Operating supplies</v>
          </cell>
          <cell r="H6680" t="str">
            <v>EN040     Prinitng &amp;Stationery</v>
          </cell>
          <cell r="I6680" t="str">
            <v>L003 Ankleshwar</v>
          </cell>
          <cell r="J6680" t="str">
            <v>99 Input/Byprodt/Scrap</v>
          </cell>
          <cell r="K6680" t="str">
            <v>10.2012</v>
          </cell>
          <cell r="L6680">
            <v>11</v>
          </cell>
          <cell r="M6680" t="str">
            <v>EA</v>
          </cell>
          <cell r="N6680">
            <v>878.75</v>
          </cell>
          <cell r="O6680" t="str">
            <v>INR</v>
          </cell>
        </row>
        <row r="6681">
          <cell r="A6681" t="str">
            <v>L003 Ankleshwar</v>
          </cell>
          <cell r="B6681">
            <v>734148</v>
          </cell>
          <cell r="C6681" t="str">
            <v>D-119 ANTISTATIC C/F BAG 36" F-1007 TOP</v>
          </cell>
          <cell r="D6681" t="str">
            <v>L0030201                       Cons StoreKP</v>
          </cell>
          <cell r="E6681" t="str">
            <v>E42 E42</v>
          </cell>
          <cell r="F6681" t="str">
            <v>VB Manual reorder point planning</v>
          </cell>
          <cell r="G6681" t="str">
            <v>HIBE Operating supplies</v>
          </cell>
          <cell r="H6681" t="str">
            <v>EN027     Prod&amp;OtherConsumable</v>
          </cell>
          <cell r="I6681" t="str">
            <v>L003 Ankleshwar</v>
          </cell>
          <cell r="J6681" t="str">
            <v>99 Input/Byprodt/Scrap</v>
          </cell>
          <cell r="K6681" t="str">
            <v>10.2012</v>
          </cell>
          <cell r="L6681">
            <v>4</v>
          </cell>
          <cell r="M6681" t="str">
            <v>EA</v>
          </cell>
          <cell r="N6681">
            <v>3920</v>
          </cell>
          <cell r="O6681" t="str">
            <v>INR</v>
          </cell>
        </row>
        <row r="6682">
          <cell r="A6682" t="str">
            <v>L003 Ankleshwar</v>
          </cell>
          <cell r="B6682">
            <v>734149</v>
          </cell>
          <cell r="C6682" t="str">
            <v>D-119 ANTISTATICC/F BAG 36"F-1007 BOTTOM</v>
          </cell>
          <cell r="D6682" t="str">
            <v>L0030201                       Cons StoreKP</v>
          </cell>
          <cell r="E6682" t="str">
            <v>E42 E42</v>
          </cell>
          <cell r="F6682" t="str">
            <v>VB Manual reorder point planning</v>
          </cell>
          <cell r="G6682" t="str">
            <v>HIBE Operating supplies</v>
          </cell>
          <cell r="H6682" t="str">
            <v>EN027     Prod&amp;OtherConsumable</v>
          </cell>
          <cell r="I6682" t="str">
            <v>L003 Ankleshwar</v>
          </cell>
          <cell r="J6682" t="str">
            <v>99 Input/Byprodt/Scrap</v>
          </cell>
          <cell r="K6682" t="str">
            <v>10.2012</v>
          </cell>
          <cell r="L6682">
            <v>3</v>
          </cell>
          <cell r="M6682" t="str">
            <v>EA</v>
          </cell>
          <cell r="N6682">
            <v>2940</v>
          </cell>
          <cell r="O6682" t="str">
            <v>INR</v>
          </cell>
        </row>
        <row r="6683">
          <cell r="A6683" t="str">
            <v>L003 Ankleshwar</v>
          </cell>
          <cell r="B6683">
            <v>734170</v>
          </cell>
          <cell r="C6683" t="str">
            <v>OLD SS-316 WIREBRAID HOSE1-1/2"X500MMB/E</v>
          </cell>
          <cell r="D6683" t="str">
            <v>L0030201                       Cons StoreKP</v>
          </cell>
          <cell r="E6683">
            <v>0</v>
          </cell>
          <cell r="F6683" t="str">
            <v>ND No planning</v>
          </cell>
          <cell r="G6683" t="str">
            <v>HIBE Operating supplies</v>
          </cell>
          <cell r="H6683" t="str">
            <v>EN027     Prod&amp;OtherConsumable</v>
          </cell>
          <cell r="I6683" t="str">
            <v>L003 Ankleshwar</v>
          </cell>
          <cell r="J6683" t="str">
            <v>99 Input/Byprodt/Scrap</v>
          </cell>
          <cell r="K6683" t="str">
            <v>10.2012</v>
          </cell>
          <cell r="L6683">
            <v>1</v>
          </cell>
          <cell r="M6683" t="str">
            <v>EA</v>
          </cell>
          <cell r="N6683">
            <v>1989.5</v>
          </cell>
          <cell r="O6683" t="str">
            <v>INR</v>
          </cell>
        </row>
        <row r="6684">
          <cell r="A6684" t="str">
            <v>L003 Ankleshwar</v>
          </cell>
          <cell r="B6684">
            <v>734172</v>
          </cell>
          <cell r="C6684" t="str">
            <v>OLD SS-31 WIREBRAID HOSE 2"X900MMCAMLOC</v>
          </cell>
          <cell r="D6684" t="str">
            <v>L0030151                       EnggStore</v>
          </cell>
          <cell r="E6684">
            <v>0</v>
          </cell>
          <cell r="F6684" t="str">
            <v>ND No planning</v>
          </cell>
          <cell r="G6684" t="str">
            <v>HIBE Operating supplies</v>
          </cell>
          <cell r="H6684" t="str">
            <v>EN027     Prod&amp;OtherConsumable</v>
          </cell>
          <cell r="I6684" t="str">
            <v>L003 Ankleshwar</v>
          </cell>
          <cell r="J6684" t="str">
            <v>99 Input/Byprodt/Scrap</v>
          </cell>
          <cell r="K6684" t="str">
            <v>10.2012</v>
          </cell>
          <cell r="L6684">
            <v>3</v>
          </cell>
          <cell r="M6684" t="str">
            <v>EA</v>
          </cell>
          <cell r="N6684">
            <v>2178.59</v>
          </cell>
          <cell r="O6684" t="str">
            <v>INR</v>
          </cell>
        </row>
        <row r="6685">
          <cell r="A6685" t="str">
            <v>L003 Ankleshwar</v>
          </cell>
          <cell r="B6685">
            <v>734191</v>
          </cell>
          <cell r="C6685" t="str">
            <v>D-1100 BAG FILTER 10-1/2"x19"HX3"COLLAR</v>
          </cell>
          <cell r="D6685" t="str">
            <v>L0030151                       EnggStore</v>
          </cell>
          <cell r="E6685" t="str">
            <v>099 099</v>
          </cell>
          <cell r="F6685" t="str">
            <v>VB Manual reorder point planning</v>
          </cell>
          <cell r="G6685" t="str">
            <v>HIBE Operating supplies</v>
          </cell>
          <cell r="H6685" t="str">
            <v>EN027     Prod&amp;OtherConsumable</v>
          </cell>
          <cell r="I6685" t="str">
            <v>L003 Ankleshwar</v>
          </cell>
          <cell r="J6685" t="str">
            <v>99 Input/Byprodt/Scrap</v>
          </cell>
          <cell r="K6685" t="str">
            <v>10.2012</v>
          </cell>
          <cell r="L6685">
            <v>1</v>
          </cell>
          <cell r="M6685" t="str">
            <v>EA</v>
          </cell>
          <cell r="N6685">
            <v>550</v>
          </cell>
          <cell r="O6685" t="str">
            <v>INR</v>
          </cell>
        </row>
        <row r="6686">
          <cell r="A6686" t="str">
            <v>L003 Ankleshwar</v>
          </cell>
          <cell r="B6686">
            <v>734224</v>
          </cell>
          <cell r="C6686" t="str">
            <v>LOG BOOK OF CP-3AIR COMRESSOR PLOT NO:9</v>
          </cell>
          <cell r="D6686" t="str">
            <v>L0030151                       EnggStore</v>
          </cell>
          <cell r="E6686" t="str">
            <v>099 099</v>
          </cell>
          <cell r="F6686" t="str">
            <v>VB Manual reorder point planning</v>
          </cell>
          <cell r="G6686" t="str">
            <v>HIBE Operating supplies</v>
          </cell>
          <cell r="H6686" t="str">
            <v>EN040     Prinitng &amp;Stationery</v>
          </cell>
          <cell r="I6686" t="str">
            <v>L003 Ankleshwar</v>
          </cell>
          <cell r="J6686" t="str">
            <v>99 Input/Byprodt/Scrap</v>
          </cell>
          <cell r="K6686" t="str">
            <v>10.2012</v>
          </cell>
          <cell r="L6686">
            <v>4</v>
          </cell>
          <cell r="M6686" t="str">
            <v>EA</v>
          </cell>
          <cell r="N6686">
            <v>1094.48</v>
          </cell>
          <cell r="O6686" t="str">
            <v>INR</v>
          </cell>
        </row>
        <row r="6687">
          <cell r="A6687" t="str">
            <v>L003 Ankleshwar</v>
          </cell>
          <cell r="B6687">
            <v>734272</v>
          </cell>
          <cell r="C6687" t="str">
            <v>D-119 ANTISTATIC C/F BAG 48" F-1006 TOP</v>
          </cell>
          <cell r="D6687" t="str">
            <v>L0030201                       Cons StoreKP</v>
          </cell>
          <cell r="E6687" t="str">
            <v>E42 E42</v>
          </cell>
          <cell r="F6687" t="str">
            <v>VB Manual reorder point planning</v>
          </cell>
          <cell r="G6687" t="str">
            <v>HIBE Operating supplies</v>
          </cell>
          <cell r="H6687" t="str">
            <v>EN027     Prod&amp;OtherConsumable</v>
          </cell>
          <cell r="I6687" t="str">
            <v>L003 Ankleshwar</v>
          </cell>
          <cell r="J6687" t="str">
            <v>99 Input/Byprodt/Scrap</v>
          </cell>
          <cell r="K6687" t="str">
            <v>10.2012</v>
          </cell>
          <cell r="L6687">
            <v>3</v>
          </cell>
          <cell r="M6687" t="str">
            <v>EA</v>
          </cell>
          <cell r="N6687">
            <v>6330</v>
          </cell>
          <cell r="O6687" t="str">
            <v>INR</v>
          </cell>
        </row>
        <row r="6688">
          <cell r="A6688" t="str">
            <v>L003 Ankleshwar</v>
          </cell>
          <cell r="B6688">
            <v>734273</v>
          </cell>
          <cell r="C6688" t="str">
            <v>D-119 ANTISTATIC C/F BAG 48" F-1006BOTTO</v>
          </cell>
          <cell r="D6688" t="str">
            <v>L0030151                       EnggStore</v>
          </cell>
          <cell r="E6688" t="str">
            <v>E42 E42</v>
          </cell>
          <cell r="F6688" t="str">
            <v>VB Manual reorder point planning</v>
          </cell>
          <cell r="G6688" t="str">
            <v>HIBE Operating supplies</v>
          </cell>
          <cell r="H6688" t="str">
            <v>EN027     Prod&amp;OtherConsumable</v>
          </cell>
          <cell r="I6688" t="str">
            <v>L003 Ankleshwar</v>
          </cell>
          <cell r="J6688" t="str">
            <v>99 Input/Byprodt/Scrap</v>
          </cell>
          <cell r="K6688" t="str">
            <v>10.2012</v>
          </cell>
          <cell r="L6688">
            <v>1</v>
          </cell>
          <cell r="M6688" t="str">
            <v>EA</v>
          </cell>
          <cell r="N6688">
            <v>2077.5</v>
          </cell>
          <cell r="O6688" t="str">
            <v>INR</v>
          </cell>
        </row>
        <row r="6689">
          <cell r="A6689" t="str">
            <v>L003 Ankleshwar</v>
          </cell>
          <cell r="B6689">
            <v>734273</v>
          </cell>
          <cell r="C6689" t="str">
            <v>D-119 ANTISTATIC C/F BAG 48" F-1006BOTTO</v>
          </cell>
          <cell r="D6689" t="str">
            <v>L0030201                       Cons StoreKP</v>
          </cell>
          <cell r="E6689" t="str">
            <v>E42 E42</v>
          </cell>
          <cell r="F6689" t="str">
            <v>VB Manual reorder point planning</v>
          </cell>
          <cell r="G6689" t="str">
            <v>HIBE Operating supplies</v>
          </cell>
          <cell r="H6689" t="str">
            <v>EN027     Prod&amp;OtherConsumable</v>
          </cell>
          <cell r="I6689" t="str">
            <v>L003 Ankleshwar</v>
          </cell>
          <cell r="J6689" t="str">
            <v>99 Input/Byprodt/Scrap</v>
          </cell>
          <cell r="K6689" t="str">
            <v>10.2012</v>
          </cell>
          <cell r="L6689">
            <v>1</v>
          </cell>
          <cell r="M6689" t="str">
            <v>EA</v>
          </cell>
          <cell r="N6689">
            <v>2077.5</v>
          </cell>
          <cell r="O6689" t="str">
            <v>INR</v>
          </cell>
        </row>
        <row r="6690">
          <cell r="A6690" t="str">
            <v>L003 Ankleshwar</v>
          </cell>
          <cell r="B6690">
            <v>734451</v>
          </cell>
          <cell r="C6690" t="str">
            <v>SS316-WIRE BRAIDED FLEX HOSE 1"X8M B/E</v>
          </cell>
          <cell r="D6690" t="str">
            <v>L0030151                       EnggStore</v>
          </cell>
          <cell r="E6690">
            <v>0</v>
          </cell>
          <cell r="F6690" t="str">
            <v>ND No planning</v>
          </cell>
          <cell r="G6690" t="str">
            <v>HIBE Operating supplies</v>
          </cell>
          <cell r="H6690" t="str">
            <v>EN027     Prod&amp;OtherConsumable</v>
          </cell>
          <cell r="I6690" t="str">
            <v>L003 Ankleshwar</v>
          </cell>
          <cell r="J6690" t="str">
            <v>99 Input/Byprodt/Scrap</v>
          </cell>
          <cell r="K6690" t="str">
            <v>10.2012</v>
          </cell>
          <cell r="L6690">
            <v>1</v>
          </cell>
          <cell r="M6690" t="str">
            <v>EA</v>
          </cell>
          <cell r="N6690">
            <v>2267.2199999999898</v>
          </cell>
          <cell r="O6690" t="str">
            <v>INR</v>
          </cell>
        </row>
        <row r="6691">
          <cell r="A6691" t="str">
            <v>L003 Ankleshwar</v>
          </cell>
          <cell r="B6691">
            <v>734535</v>
          </cell>
          <cell r="C6691" t="str">
            <v>SS-SIFTER SIEVE 10 MESH: 48"</v>
          </cell>
          <cell r="D6691" t="str">
            <v>L0030151                       EnggStore</v>
          </cell>
          <cell r="E6691" t="str">
            <v>E42 E42</v>
          </cell>
          <cell r="F6691" t="str">
            <v>VB Manual reorder point planning</v>
          </cell>
          <cell r="G6691" t="str">
            <v>HIBE Operating supplies</v>
          </cell>
          <cell r="H6691" t="str">
            <v>EN027     Prod&amp;OtherConsumable</v>
          </cell>
          <cell r="I6691" t="str">
            <v>L003 Ankleshwar</v>
          </cell>
          <cell r="J6691" t="str">
            <v>99 Input/Byprodt/Scrap</v>
          </cell>
          <cell r="K6691" t="str">
            <v>10.2012</v>
          </cell>
          <cell r="L6691">
            <v>2</v>
          </cell>
          <cell r="M6691" t="str">
            <v>EA</v>
          </cell>
          <cell r="N6691">
            <v>20315.299999999901</v>
          </cell>
          <cell r="O6691" t="str">
            <v>INR</v>
          </cell>
        </row>
        <row r="6692">
          <cell r="A6692" t="str">
            <v>L003 Ankleshwar</v>
          </cell>
          <cell r="B6692">
            <v>734601</v>
          </cell>
          <cell r="C6692" t="str">
            <v>SS-316 GRANULATOR SIEVE 15"X18"X10MESH</v>
          </cell>
          <cell r="D6692" t="str">
            <v>L0030151                       EnggStore</v>
          </cell>
          <cell r="E6692" t="str">
            <v>E42 E42</v>
          </cell>
          <cell r="F6692" t="str">
            <v>VB Manual reorder point planning</v>
          </cell>
          <cell r="G6692" t="str">
            <v>HIBE Operating supplies</v>
          </cell>
          <cell r="H6692" t="str">
            <v>EN027     Prod&amp;OtherConsumable</v>
          </cell>
          <cell r="I6692" t="str">
            <v>L003 Ankleshwar</v>
          </cell>
          <cell r="J6692" t="str">
            <v>99 Input/Byprodt/Scrap</v>
          </cell>
          <cell r="K6692" t="str">
            <v>10.2012</v>
          </cell>
          <cell r="L6692">
            <v>3</v>
          </cell>
          <cell r="M6692" t="str">
            <v>EA</v>
          </cell>
          <cell r="N6692">
            <v>630</v>
          </cell>
          <cell r="O6692" t="str">
            <v>INR</v>
          </cell>
        </row>
        <row r="6693">
          <cell r="A6693" t="str">
            <v>L003 Ankleshwar</v>
          </cell>
          <cell r="B6693">
            <v>734630</v>
          </cell>
          <cell r="C6693" t="str">
            <v>UHMW TROLLYWHEEL170X50MM F/R STRACKER</v>
          </cell>
          <cell r="D6693" t="str">
            <v>L0030151                       EnggStore</v>
          </cell>
          <cell r="E6693" t="str">
            <v>E42 E42</v>
          </cell>
          <cell r="F6693" t="str">
            <v>VB Manual reorder point planning</v>
          </cell>
          <cell r="G6693" t="str">
            <v>HIBE Operating supplies</v>
          </cell>
          <cell r="H6693" t="str">
            <v>EN024     EnggConsumables</v>
          </cell>
          <cell r="I6693" t="str">
            <v>L003 Ankleshwar</v>
          </cell>
          <cell r="J6693" t="str">
            <v>99 Input/Byprodt/Scrap</v>
          </cell>
          <cell r="K6693" t="str">
            <v>10.2012</v>
          </cell>
          <cell r="L6693">
            <v>2</v>
          </cell>
          <cell r="M6693" t="str">
            <v>EA</v>
          </cell>
          <cell r="N6693">
            <v>1550</v>
          </cell>
          <cell r="O6693" t="str">
            <v>INR</v>
          </cell>
        </row>
        <row r="6694">
          <cell r="A6694" t="str">
            <v>L003 Ankleshwar</v>
          </cell>
          <cell r="B6694">
            <v>734645</v>
          </cell>
          <cell r="C6694" t="str">
            <v>ENVELOP 9.5"X4.75" WITHOUT LUPIN LOGO</v>
          </cell>
          <cell r="D6694" t="str">
            <v>L0030151                       EnggStore</v>
          </cell>
          <cell r="E6694" t="str">
            <v>E42 E42</v>
          </cell>
          <cell r="F6694" t="str">
            <v>VB Manual reorder point planning</v>
          </cell>
          <cell r="G6694" t="str">
            <v>HIBE Operating supplies</v>
          </cell>
          <cell r="H6694" t="str">
            <v>EN040     Prinitng &amp;Stationery</v>
          </cell>
          <cell r="I6694" t="str">
            <v>L003 Ankleshwar</v>
          </cell>
          <cell r="J6694" t="str">
            <v>99 Input/Byprodt/Scrap</v>
          </cell>
          <cell r="K6694" t="str">
            <v>10.2012</v>
          </cell>
          <cell r="L6694">
            <v>217</v>
          </cell>
          <cell r="M6694" t="str">
            <v>EA</v>
          </cell>
          <cell r="N6694">
            <v>86.579999999999899</v>
          </cell>
          <cell r="O6694" t="str">
            <v>INR</v>
          </cell>
        </row>
        <row r="6695">
          <cell r="A6695" t="str">
            <v>L003 Ankleshwar</v>
          </cell>
          <cell r="B6695">
            <v>734646</v>
          </cell>
          <cell r="C6695" t="str">
            <v>ENVELOP (WINDOW)9-1/2"X4-1/2"WITH LOGO</v>
          </cell>
          <cell r="D6695" t="str">
            <v>L0030151                       EnggStore</v>
          </cell>
          <cell r="E6695" t="str">
            <v>E42 E42</v>
          </cell>
          <cell r="F6695" t="str">
            <v>VB Manual reorder point planning</v>
          </cell>
          <cell r="G6695" t="str">
            <v>HIBE Operating supplies</v>
          </cell>
          <cell r="H6695" t="str">
            <v>EN040     Prinitng &amp;Stationery</v>
          </cell>
          <cell r="I6695" t="str">
            <v>L003 Ankleshwar</v>
          </cell>
          <cell r="J6695" t="str">
            <v>99 Input/Byprodt/Scrap</v>
          </cell>
          <cell r="K6695" t="str">
            <v>10.2012</v>
          </cell>
          <cell r="L6695">
            <v>200</v>
          </cell>
          <cell r="M6695" t="str">
            <v>EA</v>
          </cell>
          <cell r="N6695">
            <v>157.5</v>
          </cell>
          <cell r="O6695" t="str">
            <v>INR</v>
          </cell>
        </row>
        <row r="6696">
          <cell r="A6696" t="str">
            <v>L003 Ankleshwar</v>
          </cell>
          <cell r="B6696">
            <v>734647</v>
          </cell>
          <cell r="C6696" t="str">
            <v>INNER HARNESS PVC STRIP JOSEPH</v>
          </cell>
          <cell r="D6696" t="str">
            <v>L0030151                       EnggStore</v>
          </cell>
          <cell r="E6696" t="str">
            <v>E42 E42</v>
          </cell>
          <cell r="F6696" t="str">
            <v>VB Manual reorder point planning</v>
          </cell>
          <cell r="G6696" t="str">
            <v>HIBE Operating supplies</v>
          </cell>
          <cell r="H6696" t="str">
            <v>EN010     Fire&amp;safety</v>
          </cell>
          <cell r="I6696" t="str">
            <v>L003 Ankleshwar</v>
          </cell>
          <cell r="J6696" t="str">
            <v>99 Input/Byprodt/Scrap</v>
          </cell>
          <cell r="K6696" t="str">
            <v>10.2012</v>
          </cell>
          <cell r="L6696">
            <v>62</v>
          </cell>
          <cell r="M6696" t="str">
            <v>EA</v>
          </cell>
          <cell r="N6696">
            <v>4340</v>
          </cell>
          <cell r="O6696" t="str">
            <v>INR</v>
          </cell>
        </row>
        <row r="6697">
          <cell r="A6697" t="str">
            <v>L003 Ankleshwar</v>
          </cell>
          <cell r="B6697">
            <v>734648</v>
          </cell>
          <cell r="C6697" t="str">
            <v>CD WRITER MARKER PEN BLACK</v>
          </cell>
          <cell r="D6697" t="str">
            <v>L0030151                       EnggStore</v>
          </cell>
          <cell r="E6697" t="str">
            <v>E42 E42</v>
          </cell>
          <cell r="F6697" t="str">
            <v>VB Manual reorder point planning</v>
          </cell>
          <cell r="G6697" t="str">
            <v>HIBE Operating supplies</v>
          </cell>
          <cell r="H6697" t="str">
            <v>EN040     Prinitng &amp;Stationery</v>
          </cell>
          <cell r="I6697" t="str">
            <v>L003 Ankleshwar</v>
          </cell>
          <cell r="J6697" t="str">
            <v>99 Input/Byprodt/Scrap</v>
          </cell>
          <cell r="K6697" t="str">
            <v>10.2012</v>
          </cell>
          <cell r="L6697">
            <v>22</v>
          </cell>
          <cell r="M6697" t="str">
            <v>EA</v>
          </cell>
          <cell r="N6697">
            <v>577.44000000000005</v>
          </cell>
          <cell r="O6697" t="str">
            <v>INR</v>
          </cell>
        </row>
        <row r="6698">
          <cell r="A6698" t="str">
            <v>L003 Ankleshwar</v>
          </cell>
          <cell r="B6698">
            <v>734654</v>
          </cell>
          <cell r="C6698" t="str">
            <v>STICKER OF R.M.OF 7ANCA PLANT</v>
          </cell>
          <cell r="D6698" t="str">
            <v>L0030151                       EnggStore</v>
          </cell>
          <cell r="E6698" t="str">
            <v>E01 E01</v>
          </cell>
          <cell r="F6698" t="str">
            <v>VB Manual reorder point planning</v>
          </cell>
          <cell r="G6698" t="str">
            <v>HIBE Operating supplies</v>
          </cell>
          <cell r="H6698" t="str">
            <v>EN040     Prinitng &amp;Stationery</v>
          </cell>
          <cell r="I6698" t="str">
            <v>L003 Ankleshwar</v>
          </cell>
          <cell r="J6698" t="str">
            <v>99 Input/Byprodt/Scrap</v>
          </cell>
          <cell r="K6698" t="str">
            <v>10.2012</v>
          </cell>
          <cell r="L6698">
            <v>1000</v>
          </cell>
          <cell r="M6698" t="str">
            <v>EA</v>
          </cell>
          <cell r="N6698">
            <v>1000</v>
          </cell>
          <cell r="O6698" t="str">
            <v>INR</v>
          </cell>
        </row>
        <row r="6699">
          <cell r="A6699" t="str">
            <v>L003 Ankleshwar</v>
          </cell>
          <cell r="B6699">
            <v>734655</v>
          </cell>
          <cell r="C6699" t="str">
            <v>STICKER OF 3HCA 7ANCA PLANT</v>
          </cell>
          <cell r="D6699" t="str">
            <v>L0030151                       EnggStore</v>
          </cell>
          <cell r="E6699" t="str">
            <v>E01 E01</v>
          </cell>
          <cell r="F6699" t="str">
            <v>VB Manual reorder point planning</v>
          </cell>
          <cell r="G6699" t="str">
            <v>HIBE Operating supplies</v>
          </cell>
          <cell r="H6699" t="str">
            <v>EN040     Prinitng &amp;Stationery</v>
          </cell>
          <cell r="I6699" t="str">
            <v>L003 Ankleshwar</v>
          </cell>
          <cell r="J6699" t="str">
            <v>99 Input/Byprodt/Scrap</v>
          </cell>
          <cell r="K6699" t="str">
            <v>10.2012</v>
          </cell>
          <cell r="L6699">
            <v>500</v>
          </cell>
          <cell r="M6699" t="str">
            <v>EA</v>
          </cell>
          <cell r="N6699">
            <v>500</v>
          </cell>
          <cell r="O6699" t="str">
            <v>INR</v>
          </cell>
        </row>
        <row r="6700">
          <cell r="A6700" t="str">
            <v>L003 Ankleshwar</v>
          </cell>
          <cell r="B6700">
            <v>734659</v>
          </cell>
          <cell r="C6700" t="str">
            <v>KC63 B BRINECOMPRESSOR LOG BOOK( PLOT 9)</v>
          </cell>
          <cell r="D6700" t="str">
            <v>L0030151                       EnggStore</v>
          </cell>
          <cell r="E6700" t="str">
            <v>E01 E01</v>
          </cell>
          <cell r="F6700" t="str">
            <v>VB Manual reorder point planning</v>
          </cell>
          <cell r="G6700" t="str">
            <v>HIBE Operating supplies</v>
          </cell>
          <cell r="H6700" t="str">
            <v>EN040     Prinitng &amp;Stationery</v>
          </cell>
          <cell r="I6700" t="str">
            <v>L003 Ankleshwar</v>
          </cell>
          <cell r="J6700" t="str">
            <v>99 Input/Byprodt/Scrap</v>
          </cell>
          <cell r="K6700" t="str">
            <v>10.2012</v>
          </cell>
          <cell r="L6700">
            <v>6</v>
          </cell>
          <cell r="M6700" t="str">
            <v>EA</v>
          </cell>
          <cell r="N6700">
            <v>1650</v>
          </cell>
          <cell r="O6700" t="str">
            <v>INR</v>
          </cell>
        </row>
        <row r="6701">
          <cell r="A6701" t="str">
            <v>L003 Ankleshwar</v>
          </cell>
          <cell r="B6701">
            <v>734694</v>
          </cell>
          <cell r="C6701" t="str">
            <v>LINT FREECOTTON DUSTERTHICK 14"X12"7ANCA</v>
          </cell>
          <cell r="D6701" t="str">
            <v>L0030151                       EnggStore</v>
          </cell>
          <cell r="E6701" t="str">
            <v>E01 E01</v>
          </cell>
          <cell r="F6701" t="str">
            <v>ND No planning</v>
          </cell>
          <cell r="G6701" t="str">
            <v>HIBE Operating supplies</v>
          </cell>
          <cell r="H6701" t="str">
            <v>EN040     Prinitng &amp;Stationery</v>
          </cell>
          <cell r="I6701" t="str">
            <v>L003 Ankleshwar</v>
          </cell>
          <cell r="J6701" t="str">
            <v>99 Input/Byprodt/Scrap</v>
          </cell>
          <cell r="K6701" t="str">
            <v>10.2012</v>
          </cell>
          <cell r="L6701">
            <v>23</v>
          </cell>
          <cell r="M6701" t="str">
            <v>EA</v>
          </cell>
          <cell r="N6701">
            <v>805</v>
          </cell>
          <cell r="O6701" t="str">
            <v>INR</v>
          </cell>
        </row>
        <row r="6702">
          <cell r="A6702" t="str">
            <v>L003 Ankleshwar</v>
          </cell>
          <cell r="B6702">
            <v>734695</v>
          </cell>
          <cell r="C6702" t="str">
            <v>LINT FREE COTTON DUSTERTHIN14"X12"7ANCA</v>
          </cell>
          <cell r="D6702" t="str">
            <v>L0030151                       EnggStore</v>
          </cell>
          <cell r="E6702" t="str">
            <v>E01 E01</v>
          </cell>
          <cell r="F6702" t="str">
            <v>VB Manual reorder point planning</v>
          </cell>
          <cell r="G6702" t="str">
            <v>HIBE Operating supplies</v>
          </cell>
          <cell r="H6702" t="str">
            <v>EN040     Prinitng &amp;Stationery</v>
          </cell>
          <cell r="I6702" t="str">
            <v>L003 Ankleshwar</v>
          </cell>
          <cell r="J6702" t="str">
            <v>99 Input/Byprodt/Scrap</v>
          </cell>
          <cell r="K6702" t="str">
            <v>10.2012</v>
          </cell>
          <cell r="L6702">
            <v>15</v>
          </cell>
          <cell r="M6702" t="str">
            <v>EA</v>
          </cell>
          <cell r="N6702">
            <v>300</v>
          </cell>
          <cell r="O6702" t="str">
            <v>INR</v>
          </cell>
        </row>
        <row r="6703">
          <cell r="A6703" t="str">
            <v>L003 Ankleshwar</v>
          </cell>
          <cell r="B6703">
            <v>734696</v>
          </cell>
          <cell r="C6703" t="str">
            <v>MESO MONITORING SHEET  1X100 PAGE</v>
          </cell>
          <cell r="D6703" t="str">
            <v>L0030151                       EnggStore</v>
          </cell>
          <cell r="E6703" t="str">
            <v>E01 E01</v>
          </cell>
          <cell r="F6703" t="str">
            <v>VB Manual reorder point planning</v>
          </cell>
          <cell r="G6703" t="str">
            <v>HIBE Operating supplies</v>
          </cell>
          <cell r="H6703" t="str">
            <v>EN040     Prinitng &amp;Stationery</v>
          </cell>
          <cell r="I6703" t="str">
            <v>L003 Ankleshwar</v>
          </cell>
          <cell r="J6703" t="str">
            <v>99 Input/Byprodt/Scrap</v>
          </cell>
          <cell r="K6703" t="str">
            <v>10.2012</v>
          </cell>
          <cell r="L6703">
            <v>9</v>
          </cell>
          <cell r="M6703" t="str">
            <v>EA</v>
          </cell>
          <cell r="N6703">
            <v>495</v>
          </cell>
          <cell r="O6703" t="str">
            <v>INR</v>
          </cell>
        </row>
        <row r="6704">
          <cell r="A6704" t="str">
            <v>L003 Ankleshwar</v>
          </cell>
          <cell r="B6704">
            <v>735367</v>
          </cell>
          <cell r="C6704" t="str">
            <v>SS-316 WIRE BRAID HOSE 1"X5M FExNE</v>
          </cell>
          <cell r="D6704" t="str">
            <v>L0030201                       Cons StoreKP</v>
          </cell>
          <cell r="E6704" t="str">
            <v>E01 E01</v>
          </cell>
          <cell r="F6704" t="str">
            <v>VB Manual reorder point planning</v>
          </cell>
          <cell r="G6704" t="str">
            <v>HIBE Operating supplies</v>
          </cell>
          <cell r="H6704" t="str">
            <v>EN027     Prod&amp;OtherConsumable</v>
          </cell>
          <cell r="I6704" t="str">
            <v>L003 Ankleshwar</v>
          </cell>
          <cell r="J6704" t="str">
            <v>99 Input/Byprodt/Scrap</v>
          </cell>
          <cell r="K6704" t="str">
            <v>10.2012</v>
          </cell>
          <cell r="L6704">
            <v>1</v>
          </cell>
          <cell r="M6704" t="str">
            <v>EA</v>
          </cell>
          <cell r="N6704">
            <v>1666.47</v>
          </cell>
          <cell r="O6704" t="str">
            <v>INR</v>
          </cell>
        </row>
        <row r="6705">
          <cell r="A6705" t="str">
            <v>L003 Ankleshwar</v>
          </cell>
          <cell r="B6705">
            <v>735393</v>
          </cell>
          <cell r="C6705" t="str">
            <v>CHECK LIST FOR RE OF 7ADCA 1X100 PAGE</v>
          </cell>
          <cell r="D6705" t="str">
            <v>L0030151                       EnggStore</v>
          </cell>
          <cell r="E6705" t="str">
            <v>E01 E01</v>
          </cell>
          <cell r="F6705" t="str">
            <v>VB Manual reorder point planning</v>
          </cell>
          <cell r="G6705" t="str">
            <v>HIBE Operating supplies</v>
          </cell>
          <cell r="H6705" t="str">
            <v>EN040     Prinitng &amp;Stationery</v>
          </cell>
          <cell r="I6705" t="str">
            <v>L003 Ankleshwar</v>
          </cell>
          <cell r="J6705" t="str">
            <v>99 Input/Byprodt/Scrap</v>
          </cell>
          <cell r="K6705" t="str">
            <v>10.2012</v>
          </cell>
          <cell r="L6705">
            <v>11</v>
          </cell>
          <cell r="M6705" t="str">
            <v>EA</v>
          </cell>
          <cell r="N6705">
            <v>872.69</v>
          </cell>
          <cell r="O6705" t="str">
            <v>INR</v>
          </cell>
        </row>
        <row r="6706">
          <cell r="A6706" t="str">
            <v>L003 Ankleshwar</v>
          </cell>
          <cell r="B6706">
            <v>735591</v>
          </cell>
          <cell r="C6706" t="str">
            <v>WHITE MEGNETIC BOARD 4'X3'</v>
          </cell>
          <cell r="D6706" t="str">
            <v>L0030151                       EnggStore</v>
          </cell>
          <cell r="E6706">
            <v>0</v>
          </cell>
          <cell r="F6706" t="str">
            <v>ND No planning</v>
          </cell>
          <cell r="G6706" t="str">
            <v>HIBE Operating supplies</v>
          </cell>
          <cell r="H6706" t="str">
            <v>EN024     EnggConsumables</v>
          </cell>
          <cell r="I6706" t="str">
            <v>L003 Ankleshwar</v>
          </cell>
          <cell r="J6706" t="str">
            <v>99 Input/Byprodt/Scrap</v>
          </cell>
          <cell r="K6706" t="str">
            <v>10.2012</v>
          </cell>
          <cell r="L6706">
            <v>1</v>
          </cell>
          <cell r="M6706" t="str">
            <v>EA</v>
          </cell>
          <cell r="N6706">
            <v>3284.4</v>
          </cell>
          <cell r="O6706" t="str">
            <v>INR</v>
          </cell>
        </row>
        <row r="6707">
          <cell r="A6707" t="str">
            <v>L003 Ankleshwar</v>
          </cell>
          <cell r="B6707">
            <v>735637</v>
          </cell>
          <cell r="C6707" t="str">
            <v>SS316 BRAIDED HOSE FEMALE SExNE 1"X2.5M</v>
          </cell>
          <cell r="D6707" t="str">
            <v>L0030151                       EnggStore</v>
          </cell>
          <cell r="E6707">
            <v>0</v>
          </cell>
          <cell r="F6707" t="str">
            <v>ND No planning</v>
          </cell>
          <cell r="G6707" t="str">
            <v>HIBE Operating supplies</v>
          </cell>
          <cell r="H6707" t="str">
            <v>EN027     Prod&amp;OtherConsumable</v>
          </cell>
          <cell r="I6707" t="str">
            <v>L003 Ankleshwar</v>
          </cell>
          <cell r="J6707" t="str">
            <v>99 Input/Byprodt/Scrap</v>
          </cell>
          <cell r="K6707" t="str">
            <v>10.2012</v>
          </cell>
          <cell r="L6707">
            <v>2</v>
          </cell>
          <cell r="M6707" t="str">
            <v>EA</v>
          </cell>
          <cell r="N6707">
            <v>2428.6199999999899</v>
          </cell>
          <cell r="O6707" t="str">
            <v>INR</v>
          </cell>
        </row>
        <row r="6708">
          <cell r="A6708" t="str">
            <v>L003 Ankleshwar</v>
          </cell>
          <cell r="B6708">
            <v>735672</v>
          </cell>
          <cell r="C6708" t="str">
            <v>PAY SLIP</v>
          </cell>
          <cell r="D6708" t="str">
            <v>L0030151                       EnggStore</v>
          </cell>
          <cell r="E6708">
            <v>0</v>
          </cell>
          <cell r="F6708" t="str">
            <v>ND No planning</v>
          </cell>
          <cell r="G6708" t="str">
            <v>HIBE Operating supplies</v>
          </cell>
          <cell r="H6708" t="str">
            <v>EN040     Prinitng &amp;Stationery</v>
          </cell>
          <cell r="I6708" t="str">
            <v>L003 Ankleshwar</v>
          </cell>
          <cell r="J6708" t="str">
            <v>99 Input/Byprodt/Scrap</v>
          </cell>
          <cell r="K6708" t="str">
            <v>10.2012</v>
          </cell>
          <cell r="L6708">
            <v>3500</v>
          </cell>
          <cell r="M6708" t="str">
            <v>EA</v>
          </cell>
          <cell r="N6708">
            <v>2572.5</v>
          </cell>
          <cell r="O6708" t="str">
            <v>INR</v>
          </cell>
        </row>
        <row r="6709">
          <cell r="A6709" t="str">
            <v>L003 Ankleshwar</v>
          </cell>
          <cell r="B6709">
            <v>735711</v>
          </cell>
          <cell r="C6709" t="str">
            <v>FORM A.R.3A ANNEXURE-C BOOK 1X100</v>
          </cell>
          <cell r="D6709" t="str">
            <v>L0030151                       EnggStore</v>
          </cell>
          <cell r="E6709">
            <v>0</v>
          </cell>
          <cell r="F6709" t="str">
            <v>ND No planning</v>
          </cell>
          <cell r="G6709" t="str">
            <v>HIBE Operating supplies</v>
          </cell>
          <cell r="H6709" t="str">
            <v>EN040     Prinitng &amp;Stationery</v>
          </cell>
          <cell r="I6709" t="str">
            <v>L003 Ankleshwar</v>
          </cell>
          <cell r="J6709" t="str">
            <v>99 Input/Byprodt/Scrap</v>
          </cell>
          <cell r="K6709" t="str">
            <v>10.2012</v>
          </cell>
          <cell r="L6709">
            <v>3</v>
          </cell>
          <cell r="M6709" t="str">
            <v>EA</v>
          </cell>
          <cell r="N6709">
            <v>472.5</v>
          </cell>
          <cell r="O6709" t="str">
            <v>INR</v>
          </cell>
        </row>
        <row r="6710">
          <cell r="A6710" t="str">
            <v>L003 Ankleshwar</v>
          </cell>
          <cell r="B6710">
            <v>735740</v>
          </cell>
          <cell r="C6710" t="str">
            <v>7APCA MONITORING SHEET 1X100 PAGE</v>
          </cell>
          <cell r="D6710" t="str">
            <v>L0030151                       EnggStore</v>
          </cell>
          <cell r="E6710" t="str">
            <v>E01 E01</v>
          </cell>
          <cell r="F6710" t="str">
            <v>VB Manual reorder point planning</v>
          </cell>
          <cell r="G6710" t="str">
            <v>HIBE Operating supplies</v>
          </cell>
          <cell r="H6710" t="str">
            <v>EN040     Prinitng &amp;Stationery</v>
          </cell>
          <cell r="I6710" t="str">
            <v>L003 Ankleshwar</v>
          </cell>
          <cell r="J6710" t="str">
            <v>99 Input/Byprodt/Scrap</v>
          </cell>
          <cell r="K6710" t="str">
            <v>10.2012</v>
          </cell>
          <cell r="L6710">
            <v>6</v>
          </cell>
          <cell r="M6710" t="str">
            <v>EA</v>
          </cell>
          <cell r="N6710">
            <v>840</v>
          </cell>
          <cell r="O6710" t="str">
            <v>INR</v>
          </cell>
        </row>
        <row r="6711">
          <cell r="A6711" t="str">
            <v>L003 Ankleshwar</v>
          </cell>
          <cell r="B6711">
            <v>735746</v>
          </cell>
          <cell r="C6711" t="str">
            <v>BSU DOWN TIME &amp; PROCESS REGISTER 100 PAG</v>
          </cell>
          <cell r="D6711" t="str">
            <v>L0030151                       EnggStore</v>
          </cell>
          <cell r="E6711" t="str">
            <v>E01 E01</v>
          </cell>
          <cell r="F6711" t="str">
            <v>VB Manual reorder point planning</v>
          </cell>
          <cell r="G6711" t="str">
            <v>HIBE Operating supplies</v>
          </cell>
          <cell r="H6711" t="str">
            <v>EN040     Prinitng &amp;Stationery</v>
          </cell>
          <cell r="I6711" t="str">
            <v>L003 Ankleshwar</v>
          </cell>
          <cell r="J6711" t="str">
            <v>99 Input/Byprodt/Scrap</v>
          </cell>
          <cell r="K6711" t="str">
            <v>10.2012</v>
          </cell>
          <cell r="L6711">
            <v>7</v>
          </cell>
          <cell r="M6711" t="str">
            <v>EA</v>
          </cell>
          <cell r="N6711">
            <v>2205</v>
          </cell>
          <cell r="O6711" t="str">
            <v>INR</v>
          </cell>
        </row>
        <row r="6712">
          <cell r="A6712" t="str">
            <v>L003 Ankleshwar</v>
          </cell>
          <cell r="B6712">
            <v>735762</v>
          </cell>
          <cell r="C6712" t="str">
            <v>FLP TORCH BULB 4 "AA"CELLS 2404 ZK-3</v>
          </cell>
          <cell r="D6712" t="str">
            <v>L0030151                       EnggStore</v>
          </cell>
          <cell r="E6712" t="str">
            <v>E42 E42</v>
          </cell>
          <cell r="F6712" t="str">
            <v>VB Manual reorder point planning</v>
          </cell>
          <cell r="G6712" t="str">
            <v>HIBE Operating supplies</v>
          </cell>
          <cell r="H6712" t="str">
            <v>EN010     Fire&amp;safety</v>
          </cell>
          <cell r="I6712" t="str">
            <v>L003 Ankleshwar</v>
          </cell>
          <cell r="J6712" t="str">
            <v>99 Input/Byprodt/Scrap</v>
          </cell>
          <cell r="K6712" t="str">
            <v>10.2012</v>
          </cell>
          <cell r="L6712">
            <v>31</v>
          </cell>
          <cell r="M6712" t="str">
            <v>EA</v>
          </cell>
          <cell r="N6712">
            <v>19685</v>
          </cell>
          <cell r="O6712" t="str">
            <v>INR</v>
          </cell>
        </row>
        <row r="6713">
          <cell r="A6713" t="str">
            <v>L003 Ankleshwar</v>
          </cell>
          <cell r="B6713">
            <v>735762</v>
          </cell>
          <cell r="C6713" t="str">
            <v>FLP TORCH BULB 4 "AA"CELLS 2404 ZK-3</v>
          </cell>
          <cell r="D6713" t="str">
            <v>L0030201                       Cons StoreKP</v>
          </cell>
          <cell r="E6713" t="str">
            <v>E42 E42</v>
          </cell>
          <cell r="F6713" t="str">
            <v>VB Manual reorder point planning</v>
          </cell>
          <cell r="G6713" t="str">
            <v>HIBE Operating supplies</v>
          </cell>
          <cell r="H6713" t="str">
            <v>EN010     Fire&amp;safety</v>
          </cell>
          <cell r="I6713" t="str">
            <v>L003 Ankleshwar</v>
          </cell>
          <cell r="J6713" t="str">
            <v>99 Input/Byprodt/Scrap</v>
          </cell>
          <cell r="K6713" t="str">
            <v>10.2012</v>
          </cell>
          <cell r="L6713">
            <v>1</v>
          </cell>
          <cell r="M6713" t="str">
            <v>EA</v>
          </cell>
          <cell r="N6713">
            <v>635</v>
          </cell>
          <cell r="O6713" t="str">
            <v>INR</v>
          </cell>
        </row>
        <row r="6714">
          <cell r="A6714" t="str">
            <v>L003 Ankleshwar</v>
          </cell>
          <cell r="B6714">
            <v>735770</v>
          </cell>
          <cell r="C6714" t="str">
            <v>DP-900 ANTISTATIC C/F BAG 36"F-2401</v>
          </cell>
          <cell r="D6714" t="str">
            <v>L0030151                       EnggStore</v>
          </cell>
          <cell r="E6714" t="str">
            <v>099 099</v>
          </cell>
          <cell r="F6714" t="str">
            <v>VB Manual reorder point planning</v>
          </cell>
          <cell r="G6714" t="str">
            <v>HIBE Operating supplies</v>
          </cell>
          <cell r="H6714" t="str">
            <v>EN027     Prod&amp;OtherConsumable</v>
          </cell>
          <cell r="I6714" t="str">
            <v>L003 Ankleshwar</v>
          </cell>
          <cell r="J6714" t="str">
            <v>99 Input/Byprodt/Scrap</v>
          </cell>
          <cell r="K6714" t="str">
            <v>10.2012</v>
          </cell>
          <cell r="L6714">
            <v>2</v>
          </cell>
          <cell r="M6714" t="str">
            <v>EA</v>
          </cell>
          <cell r="N6714">
            <v>1900</v>
          </cell>
          <cell r="O6714" t="str">
            <v>INR</v>
          </cell>
        </row>
        <row r="6715">
          <cell r="A6715" t="str">
            <v>L003 Ankleshwar</v>
          </cell>
          <cell r="B6715">
            <v>735801</v>
          </cell>
          <cell r="C6715" t="str">
            <v>SHIFT WISE MANPOWER STATUS BOOK OF ETB</v>
          </cell>
          <cell r="D6715" t="str">
            <v>L0030151                       EnggStore</v>
          </cell>
          <cell r="E6715" t="str">
            <v>E01 E01</v>
          </cell>
          <cell r="F6715" t="str">
            <v>VB Manual reorder point planning</v>
          </cell>
          <cell r="G6715" t="str">
            <v>HIBE Operating supplies</v>
          </cell>
          <cell r="H6715" t="str">
            <v>EN040     Prinitng &amp;Stationery</v>
          </cell>
          <cell r="I6715" t="str">
            <v>L003 Ankleshwar</v>
          </cell>
          <cell r="J6715" t="str">
            <v>99 Input/Byprodt/Scrap</v>
          </cell>
          <cell r="K6715" t="str">
            <v>10.2012</v>
          </cell>
          <cell r="L6715">
            <v>10</v>
          </cell>
          <cell r="M6715" t="str">
            <v>EA</v>
          </cell>
          <cell r="N6715">
            <v>600</v>
          </cell>
          <cell r="O6715" t="str">
            <v>INR</v>
          </cell>
        </row>
        <row r="6716">
          <cell r="A6716" t="str">
            <v>L003 Ankleshwar</v>
          </cell>
          <cell r="B6716">
            <v>735839</v>
          </cell>
          <cell r="C6716" t="str">
            <v>DP/PP-900SPOLYST BAG 5"DIAX22.5"HX1.5"CO</v>
          </cell>
          <cell r="D6716" t="str">
            <v>L0030151                       EnggStore</v>
          </cell>
          <cell r="E6716" t="str">
            <v>099 099</v>
          </cell>
          <cell r="F6716" t="str">
            <v>VB Manual reorder point planning</v>
          </cell>
          <cell r="G6716" t="str">
            <v>HIBE Operating supplies</v>
          </cell>
          <cell r="H6716" t="str">
            <v>EN027     Prod&amp;OtherConsumable</v>
          </cell>
          <cell r="I6716" t="str">
            <v>L003 Ankleshwar</v>
          </cell>
          <cell r="J6716" t="str">
            <v>99 Input/Byprodt/Scrap</v>
          </cell>
          <cell r="K6716" t="str">
            <v>10.2012</v>
          </cell>
          <cell r="L6716">
            <v>1</v>
          </cell>
          <cell r="M6716" t="str">
            <v>EA</v>
          </cell>
          <cell r="N6716">
            <v>380</v>
          </cell>
          <cell r="O6716" t="str">
            <v>INR</v>
          </cell>
        </row>
        <row r="6717">
          <cell r="A6717" t="str">
            <v>L003 Ankleshwar</v>
          </cell>
          <cell r="B6717">
            <v>735849</v>
          </cell>
          <cell r="C6717" t="str">
            <v>PU NYLON WHEEL3"X22MM</v>
          </cell>
          <cell r="D6717" t="str">
            <v>L0030151                       EnggStore</v>
          </cell>
          <cell r="E6717" t="str">
            <v>E01 E01</v>
          </cell>
          <cell r="F6717" t="str">
            <v>VB Manual reorder point planning</v>
          </cell>
          <cell r="G6717" t="str">
            <v>HIBE Operating supplies</v>
          </cell>
          <cell r="H6717" t="str">
            <v>EN027     Prod&amp;OtherConsumable</v>
          </cell>
          <cell r="I6717" t="str">
            <v>L003 Ankleshwar</v>
          </cell>
          <cell r="J6717" t="str">
            <v>99 Input/Byprodt/Scrap</v>
          </cell>
          <cell r="K6717" t="str">
            <v>10.2012</v>
          </cell>
          <cell r="L6717">
            <v>2</v>
          </cell>
          <cell r="M6717" t="str">
            <v>EA</v>
          </cell>
          <cell r="N6717">
            <v>0</v>
          </cell>
          <cell r="O6717" t="str">
            <v>INR</v>
          </cell>
        </row>
        <row r="6718">
          <cell r="A6718" t="str">
            <v>L003 Ankleshwar</v>
          </cell>
          <cell r="B6718">
            <v>735858</v>
          </cell>
          <cell r="C6718" t="str">
            <v>CONCENT. HCL STORAGE TANK OF ETB 1X100</v>
          </cell>
          <cell r="D6718" t="str">
            <v>L0030151                       EnggStore</v>
          </cell>
          <cell r="E6718" t="str">
            <v>E01 E01</v>
          </cell>
          <cell r="F6718" t="str">
            <v>VB Manual reorder point planning</v>
          </cell>
          <cell r="G6718" t="str">
            <v>HIBE Operating supplies</v>
          </cell>
          <cell r="H6718" t="str">
            <v>EN027     Prod&amp;OtherConsumable</v>
          </cell>
          <cell r="I6718" t="str">
            <v>L003 Ankleshwar</v>
          </cell>
          <cell r="J6718" t="str">
            <v>99 Input/Byprodt/Scrap</v>
          </cell>
          <cell r="K6718" t="str">
            <v>10.2012</v>
          </cell>
          <cell r="L6718">
            <v>12</v>
          </cell>
          <cell r="M6718" t="str">
            <v>EA</v>
          </cell>
          <cell r="N6718">
            <v>2400</v>
          </cell>
          <cell r="O6718" t="str">
            <v>INR</v>
          </cell>
        </row>
        <row r="6719">
          <cell r="A6719" t="str">
            <v>L003 Ankleshwar</v>
          </cell>
          <cell r="B6719">
            <v>735859</v>
          </cell>
          <cell r="C6719" t="str">
            <v>R-502 MOISTURE PH DETAIL BOOK OFETB1X100</v>
          </cell>
          <cell r="D6719" t="str">
            <v>L0030151                       EnggStore</v>
          </cell>
          <cell r="E6719" t="str">
            <v>E01 E01</v>
          </cell>
          <cell r="F6719" t="str">
            <v>VB Manual reorder point planning</v>
          </cell>
          <cell r="G6719" t="str">
            <v>HIBE Operating supplies</v>
          </cell>
          <cell r="H6719" t="str">
            <v>EN027     Prod&amp;OtherConsumable</v>
          </cell>
          <cell r="I6719" t="str">
            <v>L003 Ankleshwar</v>
          </cell>
          <cell r="J6719" t="str">
            <v>99 Input/Byprodt/Scrap</v>
          </cell>
          <cell r="K6719" t="str">
            <v>10.2012</v>
          </cell>
          <cell r="L6719">
            <v>9</v>
          </cell>
          <cell r="M6719" t="str">
            <v>EA</v>
          </cell>
          <cell r="N6719">
            <v>2250</v>
          </cell>
          <cell r="O6719" t="str">
            <v>INR</v>
          </cell>
        </row>
        <row r="6720">
          <cell r="A6720" t="str">
            <v>L003 Ankleshwar</v>
          </cell>
          <cell r="B6720">
            <v>735958</v>
          </cell>
          <cell r="C6720" t="str">
            <v>VEHICLE GATE PASS BOOK</v>
          </cell>
          <cell r="D6720" t="str">
            <v>L0030151                       EnggStore</v>
          </cell>
          <cell r="E6720">
            <v>0</v>
          </cell>
          <cell r="F6720" t="str">
            <v>ND No planning</v>
          </cell>
          <cell r="G6720" t="str">
            <v>HIBE Operating supplies</v>
          </cell>
          <cell r="H6720" t="str">
            <v>EN040     Prinitng &amp;Stationery</v>
          </cell>
          <cell r="I6720" t="str">
            <v>L003 Ankleshwar</v>
          </cell>
          <cell r="J6720" t="str">
            <v>99 Input/Byprodt/Scrap</v>
          </cell>
          <cell r="K6720" t="str">
            <v>10.2012</v>
          </cell>
          <cell r="L6720">
            <v>21</v>
          </cell>
          <cell r="M6720" t="str">
            <v>EA</v>
          </cell>
          <cell r="N6720">
            <v>589.96</v>
          </cell>
          <cell r="O6720" t="str">
            <v>INR</v>
          </cell>
        </row>
        <row r="6721">
          <cell r="A6721" t="str">
            <v>L003 Ankleshwar</v>
          </cell>
          <cell r="B6721">
            <v>736132</v>
          </cell>
          <cell r="C6721" t="str">
            <v>DA-104 ANTI SIFTER SUIT17.5"CIRX2"H ST01</v>
          </cell>
          <cell r="D6721" t="str">
            <v>L0030151                       EnggStore</v>
          </cell>
          <cell r="E6721">
            <v>0</v>
          </cell>
          <cell r="F6721" t="str">
            <v>ND No planning</v>
          </cell>
          <cell r="G6721" t="str">
            <v>HIBE Operating supplies</v>
          </cell>
          <cell r="H6721" t="str">
            <v>EN027     Prod&amp;OtherConsumable</v>
          </cell>
          <cell r="I6721" t="str">
            <v>L003 Ankleshwar</v>
          </cell>
          <cell r="J6721" t="str">
            <v>99 Input/Byprodt/Scrap</v>
          </cell>
          <cell r="K6721" t="str">
            <v>10.2012</v>
          </cell>
          <cell r="L6721">
            <v>2</v>
          </cell>
          <cell r="M6721" t="str">
            <v>EA</v>
          </cell>
          <cell r="N6721">
            <v>600</v>
          </cell>
          <cell r="O6721" t="str">
            <v>INR</v>
          </cell>
        </row>
        <row r="6722">
          <cell r="A6722" t="str">
            <v>L003 Ankleshwar</v>
          </cell>
          <cell r="B6722">
            <v>736134</v>
          </cell>
          <cell r="C6722" t="str">
            <v>DA-104 ANTI SIFTER SUIT 17"CIRX10"H ST01</v>
          </cell>
          <cell r="D6722" t="str">
            <v>L0030151                       EnggStore</v>
          </cell>
          <cell r="E6722">
            <v>0</v>
          </cell>
          <cell r="F6722" t="str">
            <v>ND No planning</v>
          </cell>
          <cell r="G6722" t="str">
            <v>HIBE Operating supplies</v>
          </cell>
          <cell r="H6722" t="str">
            <v>EN027     Prod&amp;OtherConsumable</v>
          </cell>
          <cell r="I6722" t="str">
            <v>L003 Ankleshwar</v>
          </cell>
          <cell r="J6722" t="str">
            <v>99 Input/Byprodt/Scrap</v>
          </cell>
          <cell r="K6722" t="str">
            <v>10.2012</v>
          </cell>
          <cell r="L6722">
            <v>2</v>
          </cell>
          <cell r="M6722" t="str">
            <v>EA</v>
          </cell>
          <cell r="N6722">
            <v>1200</v>
          </cell>
          <cell r="O6722" t="str">
            <v>INR</v>
          </cell>
        </row>
        <row r="6723">
          <cell r="A6723" t="str">
            <v>L003 Ankleshwar</v>
          </cell>
          <cell r="B6723">
            <v>736135</v>
          </cell>
          <cell r="C6723" t="str">
            <v>DA-104 ANTI SIFTER SUIT 17"CIRX10"H ST02</v>
          </cell>
          <cell r="D6723" t="str">
            <v>L0030151                       EnggStore</v>
          </cell>
          <cell r="E6723">
            <v>0</v>
          </cell>
          <cell r="F6723" t="str">
            <v>ND No planning</v>
          </cell>
          <cell r="G6723" t="str">
            <v>HIBE Operating supplies</v>
          </cell>
          <cell r="H6723" t="str">
            <v>EN027     Prod&amp;OtherConsumable</v>
          </cell>
          <cell r="I6723" t="str">
            <v>L003 Ankleshwar</v>
          </cell>
          <cell r="J6723" t="str">
            <v>99 Input/Byprodt/Scrap</v>
          </cell>
          <cell r="K6723" t="str">
            <v>10.2012</v>
          </cell>
          <cell r="L6723">
            <v>4</v>
          </cell>
          <cell r="M6723" t="str">
            <v>EA</v>
          </cell>
          <cell r="N6723">
            <v>2400</v>
          </cell>
          <cell r="O6723" t="str">
            <v>INR</v>
          </cell>
        </row>
        <row r="6724">
          <cell r="A6724" t="str">
            <v>L003 Ankleshwar</v>
          </cell>
          <cell r="B6724">
            <v>736680</v>
          </cell>
          <cell r="C6724" t="str">
            <v>CANDLE FILTER HOUSING 20"LONG</v>
          </cell>
          <cell r="D6724" t="str">
            <v>L0030151                       EnggStore</v>
          </cell>
          <cell r="E6724">
            <v>0</v>
          </cell>
          <cell r="F6724" t="str">
            <v>ND No planning</v>
          </cell>
          <cell r="G6724" t="str">
            <v>HIBE Operating supplies</v>
          </cell>
          <cell r="H6724" t="str">
            <v>EN027     Prod&amp;OtherConsumable</v>
          </cell>
          <cell r="I6724" t="str">
            <v>L003 Ankleshwar</v>
          </cell>
          <cell r="J6724" t="str">
            <v>99 Input/Byprodt/Scrap</v>
          </cell>
          <cell r="K6724" t="str">
            <v>10.2012</v>
          </cell>
          <cell r="L6724">
            <v>1</v>
          </cell>
          <cell r="M6724" t="str">
            <v>EA</v>
          </cell>
          <cell r="N6724">
            <v>3500</v>
          </cell>
          <cell r="O6724" t="str">
            <v>INR</v>
          </cell>
        </row>
        <row r="6725">
          <cell r="A6725" t="str">
            <v>L003 Ankleshwar</v>
          </cell>
          <cell r="B6725">
            <v>736680</v>
          </cell>
          <cell r="C6725" t="str">
            <v>CANDLE FILTER HOUSING 20"LONG</v>
          </cell>
          <cell r="D6725" t="str">
            <v>L0030201                       Cons StoreKP</v>
          </cell>
          <cell r="E6725">
            <v>0</v>
          </cell>
          <cell r="F6725" t="str">
            <v>ND No planning</v>
          </cell>
          <cell r="G6725" t="str">
            <v>HIBE Operating supplies</v>
          </cell>
          <cell r="H6725" t="str">
            <v>EN027     Prod&amp;OtherConsumable</v>
          </cell>
          <cell r="I6725" t="str">
            <v>L003 Ankleshwar</v>
          </cell>
          <cell r="J6725" t="str">
            <v>99 Input/Byprodt/Scrap</v>
          </cell>
          <cell r="K6725" t="str">
            <v>10.2012</v>
          </cell>
          <cell r="L6725">
            <v>1</v>
          </cell>
          <cell r="M6725" t="str">
            <v>EA</v>
          </cell>
          <cell r="N6725">
            <v>3500</v>
          </cell>
          <cell r="O6725" t="str">
            <v>INR</v>
          </cell>
        </row>
        <row r="6726">
          <cell r="A6726" t="str">
            <v>L003 Ankleshwar</v>
          </cell>
          <cell r="B6726">
            <v>736727</v>
          </cell>
          <cell r="C6726" t="str">
            <v>MONITORING RECORD OF OZONE GENERATOR</v>
          </cell>
          <cell r="D6726" t="str">
            <v>L0030151                       EnggStore</v>
          </cell>
          <cell r="E6726">
            <v>0</v>
          </cell>
          <cell r="F6726" t="str">
            <v>ND No planning</v>
          </cell>
          <cell r="G6726" t="str">
            <v>HIBE Operating supplies</v>
          </cell>
          <cell r="H6726" t="str">
            <v>EN040     Prinitng &amp;Stationery</v>
          </cell>
          <cell r="I6726" t="str">
            <v>L003 Ankleshwar</v>
          </cell>
          <cell r="J6726" t="str">
            <v>99 Input/Byprodt/Scrap</v>
          </cell>
          <cell r="K6726" t="str">
            <v>10.2012</v>
          </cell>
          <cell r="L6726">
            <v>5</v>
          </cell>
          <cell r="M6726" t="str">
            <v>EA</v>
          </cell>
          <cell r="N6726">
            <v>372.22</v>
          </cell>
          <cell r="O6726" t="str">
            <v>INR</v>
          </cell>
        </row>
        <row r="6727">
          <cell r="A6727" t="str">
            <v>L003 Ankleshwar</v>
          </cell>
          <cell r="B6727">
            <v>736729</v>
          </cell>
          <cell r="C6727" t="str">
            <v>AEN C/F RECORD BOOK OFF-3301A/B/C100PAGE</v>
          </cell>
          <cell r="D6727" t="str">
            <v>L0030201                       Cons StoreKP</v>
          </cell>
          <cell r="E6727">
            <v>0</v>
          </cell>
          <cell r="F6727" t="str">
            <v>ND No planning</v>
          </cell>
          <cell r="G6727" t="str">
            <v>HIBE Operating supplies</v>
          </cell>
          <cell r="H6727" t="str">
            <v>EN040     Prinitng &amp;Stationery</v>
          </cell>
          <cell r="I6727" t="str">
            <v>L003 Ankleshwar</v>
          </cell>
          <cell r="J6727" t="str">
            <v>99 Input/Byprodt/Scrap</v>
          </cell>
          <cell r="K6727" t="str">
            <v>10.2012</v>
          </cell>
          <cell r="L6727">
            <v>6</v>
          </cell>
          <cell r="M6727" t="str">
            <v>EA</v>
          </cell>
          <cell r="N6727">
            <v>485.05</v>
          </cell>
          <cell r="O6727" t="str">
            <v>INR</v>
          </cell>
        </row>
        <row r="6728">
          <cell r="A6728" t="str">
            <v>L003 Ankleshwar</v>
          </cell>
          <cell r="B6728">
            <v>736730</v>
          </cell>
          <cell r="C6728" t="str">
            <v>DRYER RECORD DETAILS OF RD-3201B 100PAGE</v>
          </cell>
          <cell r="D6728" t="str">
            <v>L0030201                       Cons StoreKP</v>
          </cell>
          <cell r="E6728">
            <v>0</v>
          </cell>
          <cell r="F6728" t="str">
            <v>ND No planning</v>
          </cell>
          <cell r="G6728" t="str">
            <v>HIBE Operating supplies</v>
          </cell>
          <cell r="H6728" t="str">
            <v>EN040     Prinitng &amp;Stationery</v>
          </cell>
          <cell r="I6728" t="str">
            <v>L003 Ankleshwar</v>
          </cell>
          <cell r="J6728" t="str">
            <v>99 Input/Byprodt/Scrap</v>
          </cell>
          <cell r="K6728" t="str">
            <v>10.2012</v>
          </cell>
          <cell r="L6728">
            <v>2</v>
          </cell>
          <cell r="M6728" t="str">
            <v>EA</v>
          </cell>
          <cell r="N6728">
            <v>160</v>
          </cell>
          <cell r="O6728" t="str">
            <v>INR</v>
          </cell>
        </row>
        <row r="6729">
          <cell r="A6729" t="str">
            <v>L003 Ankleshwar</v>
          </cell>
          <cell r="B6729">
            <v>736731</v>
          </cell>
          <cell r="C6729" t="str">
            <v>AEN SRP  BOOK 1X100 PAGE</v>
          </cell>
          <cell r="D6729" t="str">
            <v>L0030151                       EnggStore</v>
          </cell>
          <cell r="E6729">
            <v>0</v>
          </cell>
          <cell r="F6729" t="str">
            <v>ND No planning</v>
          </cell>
          <cell r="G6729" t="str">
            <v>HIBE Operating supplies</v>
          </cell>
          <cell r="H6729" t="str">
            <v>EN040     Prinitng &amp;Stationery</v>
          </cell>
          <cell r="I6729" t="str">
            <v>L003 Ankleshwar</v>
          </cell>
          <cell r="J6729" t="str">
            <v>99 Input/Byprodt/Scrap</v>
          </cell>
          <cell r="K6729" t="str">
            <v>10.2012</v>
          </cell>
          <cell r="L6729">
            <v>4</v>
          </cell>
          <cell r="M6729" t="str">
            <v>EA</v>
          </cell>
          <cell r="N6729">
            <v>339.75</v>
          </cell>
          <cell r="O6729" t="str">
            <v>INR</v>
          </cell>
        </row>
        <row r="6730">
          <cell r="A6730" t="str">
            <v>L003 Ankleshwar</v>
          </cell>
          <cell r="B6730">
            <v>736732</v>
          </cell>
          <cell r="C6730" t="str">
            <v>STRIPPINGEA LAYER SEPARATION BOOK100PAGE</v>
          </cell>
          <cell r="D6730" t="str">
            <v>L0030201                       Cons StoreKP</v>
          </cell>
          <cell r="E6730">
            <v>0</v>
          </cell>
          <cell r="F6730" t="str">
            <v>ND No planning</v>
          </cell>
          <cell r="G6730" t="str">
            <v>HIBE Operating supplies</v>
          </cell>
          <cell r="H6730" t="str">
            <v>EN040     Prinitng &amp;Stationery</v>
          </cell>
          <cell r="I6730" t="str">
            <v>L003 Ankleshwar</v>
          </cell>
          <cell r="J6730" t="str">
            <v>99 Input/Byprodt/Scrap</v>
          </cell>
          <cell r="K6730" t="str">
            <v>10.2012</v>
          </cell>
          <cell r="L6730">
            <v>6</v>
          </cell>
          <cell r="M6730" t="str">
            <v>EA</v>
          </cell>
          <cell r="N6730">
            <v>540</v>
          </cell>
          <cell r="O6730" t="str">
            <v>INR</v>
          </cell>
        </row>
        <row r="6731">
          <cell r="A6731" t="str">
            <v>L003 Ankleshwar</v>
          </cell>
          <cell r="B6731">
            <v>736733</v>
          </cell>
          <cell r="C6731" t="str">
            <v>EQUIPMENT WFE-3303/R-3304A/R-3303A BOOK</v>
          </cell>
          <cell r="D6731" t="str">
            <v>L0030151                       EnggStore</v>
          </cell>
          <cell r="E6731">
            <v>0</v>
          </cell>
          <cell r="F6731" t="str">
            <v>ND No planning</v>
          </cell>
          <cell r="G6731" t="str">
            <v>HIBE Operating supplies</v>
          </cell>
          <cell r="H6731" t="str">
            <v>EN040     Prinitng &amp;Stationery</v>
          </cell>
          <cell r="I6731" t="str">
            <v>L003 Ankleshwar</v>
          </cell>
          <cell r="J6731" t="str">
            <v>99 Input/Byprodt/Scrap</v>
          </cell>
          <cell r="K6731" t="str">
            <v>10.2012</v>
          </cell>
          <cell r="L6731">
            <v>2</v>
          </cell>
          <cell r="M6731" t="str">
            <v>EA</v>
          </cell>
          <cell r="N6731">
            <v>156.539999999999</v>
          </cell>
          <cell r="O6731" t="str">
            <v>INR</v>
          </cell>
        </row>
        <row r="6732">
          <cell r="A6732" t="str">
            <v>L003 Ankleshwar</v>
          </cell>
          <cell r="B6732">
            <v>736733</v>
          </cell>
          <cell r="C6732" t="str">
            <v>EQUIPMENT WFE-3303/R-3304A/R-3303A BOOK</v>
          </cell>
          <cell r="D6732" t="str">
            <v>L0030201                       Cons StoreKP</v>
          </cell>
          <cell r="E6732">
            <v>0</v>
          </cell>
          <cell r="F6732" t="str">
            <v>ND No planning</v>
          </cell>
          <cell r="G6732" t="str">
            <v>HIBE Operating supplies</v>
          </cell>
          <cell r="H6732" t="str">
            <v>EN040     Prinitng &amp;Stationery</v>
          </cell>
          <cell r="I6732" t="str">
            <v>L003 Ankleshwar</v>
          </cell>
          <cell r="J6732" t="str">
            <v>99 Input/Byprodt/Scrap</v>
          </cell>
          <cell r="K6732" t="str">
            <v>10.2012</v>
          </cell>
          <cell r="L6732">
            <v>1</v>
          </cell>
          <cell r="M6732" t="str">
            <v>EA</v>
          </cell>
          <cell r="N6732">
            <v>78.269999999999897</v>
          </cell>
          <cell r="O6732" t="str">
            <v>INR</v>
          </cell>
        </row>
        <row r="6733">
          <cell r="A6733" t="str">
            <v>L003 Ankleshwar</v>
          </cell>
          <cell r="B6733">
            <v>736734</v>
          </cell>
          <cell r="C6733" t="str">
            <v>ETHYLE ACETATE FRACTION BOOK 1+2X50PAGE</v>
          </cell>
          <cell r="D6733" t="str">
            <v>L0030151                       EnggStore</v>
          </cell>
          <cell r="E6733">
            <v>0</v>
          </cell>
          <cell r="F6733" t="str">
            <v>ND No planning</v>
          </cell>
          <cell r="G6733" t="str">
            <v>HIBE Operating supplies</v>
          </cell>
          <cell r="H6733" t="str">
            <v>EN040     Prinitng &amp;Stationery</v>
          </cell>
          <cell r="I6733" t="str">
            <v>L003 Ankleshwar</v>
          </cell>
          <cell r="J6733" t="str">
            <v>99 Input/Byprodt/Scrap</v>
          </cell>
          <cell r="K6733" t="str">
            <v>10.2012</v>
          </cell>
          <cell r="L6733">
            <v>4</v>
          </cell>
          <cell r="M6733" t="str">
            <v>EA</v>
          </cell>
          <cell r="N6733">
            <v>679</v>
          </cell>
          <cell r="O6733" t="str">
            <v>INR</v>
          </cell>
        </row>
        <row r="6734">
          <cell r="A6734" t="str">
            <v>L003 Ankleshwar</v>
          </cell>
          <cell r="B6734">
            <v>736735</v>
          </cell>
          <cell r="C6734" t="str">
            <v>SOLVENT &amp; RAW MATERIAL BOOK OF 7ACCA</v>
          </cell>
          <cell r="D6734" t="str">
            <v>L0030151                       EnggStore</v>
          </cell>
          <cell r="E6734">
            <v>0</v>
          </cell>
          <cell r="F6734" t="str">
            <v>ND No planning</v>
          </cell>
          <cell r="G6734" t="str">
            <v>HIBE Operating supplies</v>
          </cell>
          <cell r="H6734" t="str">
            <v>EN040     Prinitng &amp;Stationery</v>
          </cell>
          <cell r="I6734" t="str">
            <v>L003 Ankleshwar</v>
          </cell>
          <cell r="J6734" t="str">
            <v>99 Input/Byprodt/Scrap</v>
          </cell>
          <cell r="K6734" t="str">
            <v>10.2012</v>
          </cell>
          <cell r="L6734">
            <v>8</v>
          </cell>
          <cell r="M6734" t="str">
            <v>EA</v>
          </cell>
          <cell r="N6734">
            <v>676.6</v>
          </cell>
          <cell r="O6734" t="str">
            <v>INR</v>
          </cell>
        </row>
        <row r="6735">
          <cell r="A6735" t="str">
            <v>L003 Ankleshwar</v>
          </cell>
          <cell r="B6735">
            <v>737101</v>
          </cell>
          <cell r="C6735" t="str">
            <v>HEPA FILTER0.3 MICR 395X545X330X445X95MM</v>
          </cell>
          <cell r="D6735" t="str">
            <v>L0030151                       EnggStore</v>
          </cell>
          <cell r="E6735">
            <v>0</v>
          </cell>
          <cell r="F6735" t="str">
            <v>ND No planning</v>
          </cell>
          <cell r="G6735" t="str">
            <v>HIBE Operating supplies</v>
          </cell>
          <cell r="H6735" t="str">
            <v>EN027     Prod&amp;OtherConsumable</v>
          </cell>
          <cell r="I6735" t="str">
            <v>L003 Ankleshwar</v>
          </cell>
          <cell r="J6735" t="str">
            <v>99 Input/Byprodt/Scrap</v>
          </cell>
          <cell r="K6735" t="str">
            <v>10.2012</v>
          </cell>
          <cell r="L6735">
            <v>1</v>
          </cell>
          <cell r="M6735" t="str">
            <v>EA</v>
          </cell>
          <cell r="N6735">
            <v>2907</v>
          </cell>
          <cell r="O6735" t="str">
            <v>INR</v>
          </cell>
        </row>
        <row r="6736">
          <cell r="A6736" t="str">
            <v>L003 Ankleshwar</v>
          </cell>
          <cell r="B6736">
            <v>737102</v>
          </cell>
          <cell r="C6736" t="str">
            <v>DUST COLLECTOR FILTER 350X210X300MMX5MIC</v>
          </cell>
          <cell r="D6736" t="str">
            <v>L0030151                       EnggStore</v>
          </cell>
          <cell r="E6736">
            <v>0</v>
          </cell>
          <cell r="F6736" t="str">
            <v>ND No planning</v>
          </cell>
          <cell r="G6736" t="str">
            <v>HIBE Operating supplies</v>
          </cell>
          <cell r="H6736" t="str">
            <v>EN027     Prod&amp;OtherConsumable</v>
          </cell>
          <cell r="I6736" t="str">
            <v>L003 Ankleshwar</v>
          </cell>
          <cell r="J6736" t="str">
            <v>99 Input/Byprodt/Scrap</v>
          </cell>
          <cell r="K6736" t="str">
            <v>10.2012</v>
          </cell>
          <cell r="L6736">
            <v>1</v>
          </cell>
          <cell r="M6736" t="str">
            <v>EA</v>
          </cell>
          <cell r="N6736">
            <v>4275</v>
          </cell>
          <cell r="O6736" t="str">
            <v>INR</v>
          </cell>
        </row>
        <row r="6737">
          <cell r="A6737" t="str">
            <v>L003 Ankleshwar</v>
          </cell>
          <cell r="B6737">
            <v>737250</v>
          </cell>
          <cell r="C6737" t="str">
            <v>CFE. ACID CRUDE MONITORING SHEET150 PAGE</v>
          </cell>
          <cell r="D6737" t="str">
            <v>L0030151                       EnggStore</v>
          </cell>
          <cell r="E6737">
            <v>0</v>
          </cell>
          <cell r="F6737" t="str">
            <v>ND No planning</v>
          </cell>
          <cell r="G6737" t="str">
            <v>HIBE Operating supplies</v>
          </cell>
          <cell r="H6737" t="str">
            <v>EN040     Prinitng &amp;Stationery</v>
          </cell>
          <cell r="I6737" t="str">
            <v>L003 Ankleshwar</v>
          </cell>
          <cell r="J6737" t="str">
            <v>99 Input/Byprodt/Scrap</v>
          </cell>
          <cell r="K6737" t="str">
            <v>10.2012</v>
          </cell>
          <cell r="L6737">
            <v>4</v>
          </cell>
          <cell r="M6737" t="str">
            <v>EA</v>
          </cell>
          <cell r="N6737">
            <v>600</v>
          </cell>
          <cell r="O6737" t="str">
            <v>INR</v>
          </cell>
        </row>
        <row r="6738">
          <cell r="A6738" t="str">
            <v>L003 Ankleshwar</v>
          </cell>
          <cell r="B6738">
            <v>737271</v>
          </cell>
          <cell r="C6738" t="str">
            <v>CERPRODOXIME ACID (CRUDE) BOOK 1X100PAGE</v>
          </cell>
          <cell r="D6738" t="str">
            <v>L0030151                       EnggStore</v>
          </cell>
          <cell r="E6738">
            <v>0</v>
          </cell>
          <cell r="F6738" t="str">
            <v>ND No planning</v>
          </cell>
          <cell r="G6738" t="str">
            <v>HIBE Operating supplies</v>
          </cell>
          <cell r="H6738" t="str">
            <v>EN040     Prinitng &amp;Stationery</v>
          </cell>
          <cell r="I6738" t="str">
            <v>L003 Ankleshwar</v>
          </cell>
          <cell r="J6738" t="str">
            <v>99 Input/Byprodt/Scrap</v>
          </cell>
          <cell r="K6738" t="str">
            <v>10.2012</v>
          </cell>
          <cell r="L6738">
            <v>4</v>
          </cell>
          <cell r="M6738" t="str">
            <v>EA</v>
          </cell>
          <cell r="N6738">
            <v>200</v>
          </cell>
          <cell r="O6738" t="str">
            <v>INR</v>
          </cell>
        </row>
        <row r="6739">
          <cell r="A6739" t="str">
            <v>L003 Ankleshwar</v>
          </cell>
          <cell r="B6739">
            <v>737272</v>
          </cell>
          <cell r="C6739" t="str">
            <v>CFE. ACID CRUDE  DRYING BOOK 1X100 PAGE</v>
          </cell>
          <cell r="D6739" t="str">
            <v>L0030151                       EnggStore</v>
          </cell>
          <cell r="E6739">
            <v>0</v>
          </cell>
          <cell r="F6739" t="str">
            <v>ND No planning</v>
          </cell>
          <cell r="G6739" t="str">
            <v>HIBE Operating supplies</v>
          </cell>
          <cell r="H6739" t="str">
            <v>EN040     Prinitng &amp;Stationery</v>
          </cell>
          <cell r="I6739" t="str">
            <v>L003 Ankleshwar</v>
          </cell>
          <cell r="J6739" t="str">
            <v>99 Input/Byprodt/Scrap</v>
          </cell>
          <cell r="K6739" t="str">
            <v>10.2012</v>
          </cell>
          <cell r="L6739">
            <v>4</v>
          </cell>
          <cell r="M6739" t="str">
            <v>EA</v>
          </cell>
          <cell r="N6739">
            <v>320</v>
          </cell>
          <cell r="O6739" t="str">
            <v>INR</v>
          </cell>
        </row>
        <row r="6740">
          <cell r="A6740" t="str">
            <v>L003 Ankleshwar</v>
          </cell>
          <cell r="B6740">
            <v>737289</v>
          </cell>
          <cell r="C6740" t="str">
            <v>MASTER DETAILS REGISTER OF 7ADCA</v>
          </cell>
          <cell r="D6740" t="str">
            <v>L0030201                       Cons StoreKP</v>
          </cell>
          <cell r="E6740" t="str">
            <v>E01 E01</v>
          </cell>
          <cell r="F6740" t="str">
            <v>VB Manual reorder point planning</v>
          </cell>
          <cell r="G6740" t="str">
            <v>HIBE Operating supplies</v>
          </cell>
          <cell r="H6740" t="str">
            <v>EN040     Prinitng &amp;Stationery</v>
          </cell>
          <cell r="I6740" t="str">
            <v>L003 Ankleshwar</v>
          </cell>
          <cell r="J6740" t="str">
            <v>99 Input/Byprodt/Scrap</v>
          </cell>
          <cell r="K6740" t="str">
            <v>10.2012</v>
          </cell>
          <cell r="L6740">
            <v>4</v>
          </cell>
          <cell r="M6740" t="str">
            <v>EA</v>
          </cell>
          <cell r="N6740">
            <v>1320</v>
          </cell>
          <cell r="O6740" t="str">
            <v>INR</v>
          </cell>
        </row>
        <row r="6741">
          <cell r="A6741" t="str">
            <v>L003 Ankleshwar</v>
          </cell>
          <cell r="B6741">
            <v>737295</v>
          </cell>
          <cell r="C6741" t="str">
            <v>ETHANOL (DYSOL)</v>
          </cell>
          <cell r="D6741" t="str">
            <v>L0030151                       EnggStore</v>
          </cell>
          <cell r="E6741">
            <v>0</v>
          </cell>
          <cell r="F6741" t="str">
            <v>ND No planning</v>
          </cell>
          <cell r="G6741" t="str">
            <v>HIBE Operating supplies</v>
          </cell>
          <cell r="H6741" t="str">
            <v>EN034     LabConsumables</v>
          </cell>
          <cell r="I6741" t="str">
            <v>L003 Ankleshwar</v>
          </cell>
          <cell r="J6741" t="str">
            <v>99 Input/Byprodt/Scrap</v>
          </cell>
          <cell r="K6741" t="str">
            <v>10.2012</v>
          </cell>
          <cell r="L6741">
            <v>620</v>
          </cell>
          <cell r="M6741" t="str">
            <v>L</v>
          </cell>
          <cell r="N6741">
            <v>35205.599999999897</v>
          </cell>
          <cell r="O6741" t="str">
            <v>INR</v>
          </cell>
        </row>
        <row r="6742">
          <cell r="A6742" t="str">
            <v>L003 Ankleshwar</v>
          </cell>
          <cell r="B6742">
            <v>737297</v>
          </cell>
          <cell r="C6742" t="str">
            <v>NACL ROTOCON MONITORING SHEET 1X100PAGE</v>
          </cell>
          <cell r="D6742" t="str">
            <v>L0030151                       EnggStore</v>
          </cell>
          <cell r="E6742" t="str">
            <v>E01 E01</v>
          </cell>
          <cell r="F6742" t="str">
            <v>VB Manual reorder point planning</v>
          </cell>
          <cell r="G6742" t="str">
            <v>HIBE Operating supplies</v>
          </cell>
          <cell r="H6742" t="str">
            <v>EN040     Prinitng &amp;Stationery</v>
          </cell>
          <cell r="I6742" t="str">
            <v>L003 Ankleshwar</v>
          </cell>
          <cell r="J6742" t="str">
            <v>99 Input/Byprodt/Scrap</v>
          </cell>
          <cell r="K6742" t="str">
            <v>10.2012</v>
          </cell>
          <cell r="L6742">
            <v>10</v>
          </cell>
          <cell r="M6742" t="str">
            <v>EA</v>
          </cell>
          <cell r="N6742">
            <v>673.90999999999894</v>
          </cell>
          <cell r="O6742" t="str">
            <v>INR</v>
          </cell>
        </row>
        <row r="6743">
          <cell r="A6743" t="str">
            <v>L003 Ankleshwar</v>
          </cell>
          <cell r="B6743">
            <v>737360</v>
          </cell>
          <cell r="C6743" t="str">
            <v>PPD/3/9 RVPDFILTERBAG CIR12"XH16.5'X1"CO</v>
          </cell>
          <cell r="D6743" t="str">
            <v>L0030201                       Cons StoreKP</v>
          </cell>
          <cell r="E6743">
            <v>0</v>
          </cell>
          <cell r="F6743" t="str">
            <v>ND No planning</v>
          </cell>
          <cell r="G6743" t="str">
            <v>HIBE Operating supplies</v>
          </cell>
          <cell r="H6743" t="str">
            <v>EN027     Prod&amp;OtherConsumable</v>
          </cell>
          <cell r="I6743" t="str">
            <v>L003 Ankleshwar</v>
          </cell>
          <cell r="J6743" t="str">
            <v>99 Input/Byprodt/Scrap</v>
          </cell>
          <cell r="K6743" t="str">
            <v>10.2012</v>
          </cell>
          <cell r="L6743">
            <v>3</v>
          </cell>
          <cell r="M6743" t="str">
            <v>EA</v>
          </cell>
          <cell r="N6743">
            <v>1440</v>
          </cell>
          <cell r="O6743" t="str">
            <v>INR</v>
          </cell>
        </row>
        <row r="6744">
          <cell r="A6744" t="str">
            <v>L003 Ankleshwar</v>
          </cell>
          <cell r="B6744">
            <v>737378</v>
          </cell>
          <cell r="C6744" t="str">
            <v>STICKER OF WET T-2953</v>
          </cell>
          <cell r="D6744" t="str">
            <v>L0030151                       EnggStore</v>
          </cell>
          <cell r="E6744" t="str">
            <v>E01 E01</v>
          </cell>
          <cell r="F6744" t="str">
            <v>VB Manual reorder point planning</v>
          </cell>
          <cell r="G6744" t="str">
            <v>HIBE Operating supplies</v>
          </cell>
          <cell r="H6744" t="str">
            <v>EN040     Prinitng &amp;Stationery</v>
          </cell>
          <cell r="I6744" t="str">
            <v>L003 Ankleshwar</v>
          </cell>
          <cell r="J6744" t="str">
            <v>99 Input/Byprodt/Scrap</v>
          </cell>
          <cell r="K6744" t="str">
            <v>10.2012</v>
          </cell>
          <cell r="L6744">
            <v>200</v>
          </cell>
          <cell r="M6744" t="str">
            <v>EA</v>
          </cell>
          <cell r="N6744">
            <v>200</v>
          </cell>
          <cell r="O6744" t="str">
            <v>INR</v>
          </cell>
        </row>
        <row r="6745">
          <cell r="A6745" t="str">
            <v>L003 Ankleshwar</v>
          </cell>
          <cell r="B6745">
            <v>737379</v>
          </cell>
          <cell r="C6745" t="str">
            <v>STICKER OF  2ND CROP T-2953</v>
          </cell>
          <cell r="D6745" t="str">
            <v>L0030151                       EnggStore</v>
          </cell>
          <cell r="E6745" t="str">
            <v>E01 E01</v>
          </cell>
          <cell r="F6745" t="str">
            <v>VB Manual reorder point planning</v>
          </cell>
          <cell r="G6745" t="str">
            <v>HIBE Operating supplies</v>
          </cell>
          <cell r="H6745" t="str">
            <v>EN040     Prinitng &amp;Stationery</v>
          </cell>
          <cell r="I6745" t="str">
            <v>L003 Ankleshwar</v>
          </cell>
          <cell r="J6745" t="str">
            <v>99 Input/Byprodt/Scrap</v>
          </cell>
          <cell r="K6745" t="str">
            <v>10.2012</v>
          </cell>
          <cell r="L6745">
            <v>200</v>
          </cell>
          <cell r="M6745" t="str">
            <v>EA</v>
          </cell>
          <cell r="N6745">
            <v>200</v>
          </cell>
          <cell r="O6745" t="str">
            <v>INR</v>
          </cell>
        </row>
        <row r="6746">
          <cell r="A6746" t="str">
            <v>L003 Ankleshwar</v>
          </cell>
          <cell r="B6746">
            <v>737380</v>
          </cell>
          <cell r="C6746" t="str">
            <v>STICKER OF  WET REC.LARM-9</v>
          </cell>
          <cell r="D6746" t="str">
            <v>L0030151                       EnggStore</v>
          </cell>
          <cell r="E6746" t="str">
            <v>E01 E01</v>
          </cell>
          <cell r="F6746" t="str">
            <v>VB Manual reorder point planning</v>
          </cell>
          <cell r="G6746" t="str">
            <v>HIBE Operating supplies</v>
          </cell>
          <cell r="H6746" t="str">
            <v>EN040     Prinitng &amp;Stationery</v>
          </cell>
          <cell r="I6746" t="str">
            <v>L003 Ankleshwar</v>
          </cell>
          <cell r="J6746" t="str">
            <v>99 Input/Byprodt/Scrap</v>
          </cell>
          <cell r="K6746" t="str">
            <v>10.2012</v>
          </cell>
          <cell r="L6746">
            <v>100</v>
          </cell>
          <cell r="M6746" t="str">
            <v>EA</v>
          </cell>
          <cell r="N6746">
            <v>100</v>
          </cell>
          <cell r="O6746" t="str">
            <v>INR</v>
          </cell>
        </row>
        <row r="6747">
          <cell r="A6747" t="str">
            <v>L003 Ankleshwar</v>
          </cell>
          <cell r="B6747">
            <v>737387</v>
          </cell>
          <cell r="C6747" t="str">
            <v>SPINDLE FOR FIRE LANDING VALVE, BRASS</v>
          </cell>
          <cell r="D6747" t="str">
            <v>L0030151                       EnggStore</v>
          </cell>
          <cell r="E6747">
            <v>0</v>
          </cell>
          <cell r="F6747" t="str">
            <v>ND No planning</v>
          </cell>
          <cell r="G6747" t="str">
            <v>HIBE Operating supplies</v>
          </cell>
          <cell r="H6747" t="str">
            <v>EN024     EnggConsumables</v>
          </cell>
          <cell r="I6747" t="str">
            <v>L003 Ankleshwar</v>
          </cell>
          <cell r="J6747" t="str">
            <v>99 Input/Byprodt/Scrap</v>
          </cell>
          <cell r="K6747" t="str">
            <v>10.2012</v>
          </cell>
          <cell r="L6747">
            <v>3</v>
          </cell>
          <cell r="M6747" t="str">
            <v>EA</v>
          </cell>
          <cell r="N6747">
            <v>2100</v>
          </cell>
          <cell r="O6747" t="str">
            <v>INR</v>
          </cell>
        </row>
        <row r="6748">
          <cell r="A6748" t="str">
            <v>L003 Ankleshwar</v>
          </cell>
          <cell r="B6748">
            <v>737518</v>
          </cell>
          <cell r="C6748" t="str">
            <v>WET CAKE OF 7AE</v>
          </cell>
          <cell r="D6748" t="str">
            <v>L0030201                       Cons StoreKP</v>
          </cell>
          <cell r="E6748">
            <v>0</v>
          </cell>
          <cell r="F6748" t="str">
            <v>ND No planning</v>
          </cell>
          <cell r="G6748" t="str">
            <v>HIBE Operating supplies</v>
          </cell>
          <cell r="H6748" t="str">
            <v>EN040     Prinitng &amp;Stationery</v>
          </cell>
          <cell r="I6748" t="str">
            <v>L003 Ankleshwar</v>
          </cell>
          <cell r="J6748" t="str">
            <v>99 Input/Byprodt/Scrap</v>
          </cell>
          <cell r="K6748" t="str">
            <v>10.2012</v>
          </cell>
          <cell r="L6748">
            <v>1</v>
          </cell>
          <cell r="M6748" t="str">
            <v>PAC</v>
          </cell>
          <cell r="N6748">
            <v>500</v>
          </cell>
          <cell r="O6748" t="str">
            <v>INR</v>
          </cell>
        </row>
        <row r="6749">
          <cell r="A6749" t="str">
            <v>L003 Ankleshwar</v>
          </cell>
          <cell r="B6749">
            <v>737521</v>
          </cell>
          <cell r="C6749" t="str">
            <v>WET 7APCA</v>
          </cell>
          <cell r="D6749" t="str">
            <v>L0030201                       Cons StoreKP</v>
          </cell>
          <cell r="E6749">
            <v>0</v>
          </cell>
          <cell r="F6749" t="str">
            <v>ND No planning</v>
          </cell>
          <cell r="G6749" t="str">
            <v>HIBE Operating supplies</v>
          </cell>
          <cell r="H6749" t="str">
            <v>EN040     Prinitng &amp;Stationery</v>
          </cell>
          <cell r="I6749" t="str">
            <v>L003 Ankleshwar</v>
          </cell>
          <cell r="J6749" t="str">
            <v>99 Input/Byprodt/Scrap</v>
          </cell>
          <cell r="K6749" t="str">
            <v>10.2012</v>
          </cell>
          <cell r="L6749">
            <v>1</v>
          </cell>
          <cell r="M6749" t="str">
            <v>PAC</v>
          </cell>
          <cell r="N6749">
            <v>500</v>
          </cell>
          <cell r="O6749" t="str">
            <v>INR</v>
          </cell>
        </row>
        <row r="6750">
          <cell r="A6750" t="str">
            <v>L003 Ankleshwar</v>
          </cell>
          <cell r="B6750">
            <v>737522</v>
          </cell>
          <cell r="C6750" t="str">
            <v>DRY 7APCA</v>
          </cell>
          <cell r="D6750" t="str">
            <v>L0030201                       Cons StoreKP</v>
          </cell>
          <cell r="E6750">
            <v>0</v>
          </cell>
          <cell r="F6750" t="str">
            <v>ND No planning</v>
          </cell>
          <cell r="G6750" t="str">
            <v>HIBE Operating supplies</v>
          </cell>
          <cell r="H6750" t="str">
            <v>EN040     Prinitng &amp;Stationery</v>
          </cell>
          <cell r="I6750" t="str">
            <v>L003 Ankleshwar</v>
          </cell>
          <cell r="J6750" t="str">
            <v>99 Input/Byprodt/Scrap</v>
          </cell>
          <cell r="K6750" t="str">
            <v>10.2012</v>
          </cell>
          <cell r="L6750">
            <v>1</v>
          </cell>
          <cell r="M6750" t="str">
            <v>PAC</v>
          </cell>
          <cell r="N6750">
            <v>500</v>
          </cell>
          <cell r="O6750" t="str">
            <v>INR</v>
          </cell>
        </row>
        <row r="6751">
          <cell r="A6751" t="str">
            <v>L003 Ankleshwar</v>
          </cell>
          <cell r="B6751">
            <v>737523</v>
          </cell>
          <cell r="C6751" t="str">
            <v>MIX 7APCA</v>
          </cell>
          <cell r="D6751" t="str">
            <v>L0030151                       EnggStore</v>
          </cell>
          <cell r="E6751">
            <v>0</v>
          </cell>
          <cell r="F6751" t="str">
            <v>ND No planning</v>
          </cell>
          <cell r="G6751" t="str">
            <v>HIBE Operating supplies</v>
          </cell>
          <cell r="H6751" t="str">
            <v>EN040     Prinitng &amp;Stationery</v>
          </cell>
          <cell r="I6751" t="str">
            <v>L003 Ankleshwar</v>
          </cell>
          <cell r="J6751" t="str">
            <v>99 Input/Byprodt/Scrap</v>
          </cell>
          <cell r="K6751" t="str">
            <v>10.2012</v>
          </cell>
          <cell r="L6751">
            <v>2</v>
          </cell>
          <cell r="M6751" t="str">
            <v>PAC</v>
          </cell>
          <cell r="N6751">
            <v>1200</v>
          </cell>
          <cell r="O6751" t="str">
            <v>INR</v>
          </cell>
        </row>
        <row r="6752">
          <cell r="A6752" t="str">
            <v>L003 Ankleshwar</v>
          </cell>
          <cell r="B6752">
            <v>737524</v>
          </cell>
          <cell r="C6752" t="str">
            <v>WET CEF ACID PURE</v>
          </cell>
          <cell r="D6752" t="str">
            <v>L0030201                       Cons StoreKP</v>
          </cell>
          <cell r="E6752">
            <v>0</v>
          </cell>
          <cell r="F6752" t="str">
            <v>ND No planning</v>
          </cell>
          <cell r="G6752" t="str">
            <v>HIBE Operating supplies</v>
          </cell>
          <cell r="H6752" t="str">
            <v>EN040     Prinitng &amp;Stationery</v>
          </cell>
          <cell r="I6752" t="str">
            <v>L003 Ankleshwar</v>
          </cell>
          <cell r="J6752" t="str">
            <v>99 Input/Byprodt/Scrap</v>
          </cell>
          <cell r="K6752" t="str">
            <v>10.2012</v>
          </cell>
          <cell r="L6752">
            <v>1</v>
          </cell>
          <cell r="M6752" t="str">
            <v>PAC</v>
          </cell>
          <cell r="N6752">
            <v>500</v>
          </cell>
          <cell r="O6752" t="str">
            <v>INR</v>
          </cell>
        </row>
        <row r="6753">
          <cell r="A6753" t="str">
            <v>L003 Ankleshwar</v>
          </cell>
          <cell r="B6753">
            <v>737525</v>
          </cell>
          <cell r="C6753" t="str">
            <v>DRY CEF ACID PURE</v>
          </cell>
          <cell r="D6753" t="str">
            <v>L0030201                       Cons StoreKP</v>
          </cell>
          <cell r="E6753">
            <v>0</v>
          </cell>
          <cell r="F6753" t="str">
            <v>ND No planning</v>
          </cell>
          <cell r="G6753" t="str">
            <v>HIBE Operating supplies</v>
          </cell>
          <cell r="H6753" t="str">
            <v>EN040     Prinitng &amp;Stationery</v>
          </cell>
          <cell r="I6753" t="str">
            <v>L003 Ankleshwar</v>
          </cell>
          <cell r="J6753" t="str">
            <v>99 Input/Byprodt/Scrap</v>
          </cell>
          <cell r="K6753" t="str">
            <v>10.2012</v>
          </cell>
          <cell r="L6753">
            <v>1</v>
          </cell>
          <cell r="M6753" t="str">
            <v>PAC</v>
          </cell>
          <cell r="N6753">
            <v>500</v>
          </cell>
          <cell r="O6753" t="str">
            <v>INR</v>
          </cell>
        </row>
        <row r="6754">
          <cell r="A6754" t="str">
            <v>L003 Ankleshwar</v>
          </cell>
          <cell r="B6754">
            <v>737551</v>
          </cell>
          <cell r="C6754" t="str">
            <v>STICKER OF  DRY REC.LARM-9</v>
          </cell>
          <cell r="D6754" t="str">
            <v>L0030151                       EnggStore</v>
          </cell>
          <cell r="E6754" t="str">
            <v>E01 E01</v>
          </cell>
          <cell r="F6754" t="str">
            <v>VB Manual reorder point planning</v>
          </cell>
          <cell r="G6754" t="str">
            <v>HIBE Operating supplies</v>
          </cell>
          <cell r="H6754" t="str">
            <v>EN040     Prinitng &amp;Stationery</v>
          </cell>
          <cell r="I6754" t="str">
            <v>L003 Ankleshwar</v>
          </cell>
          <cell r="J6754" t="str">
            <v>99 Input/Byprodt/Scrap</v>
          </cell>
          <cell r="K6754" t="str">
            <v>10.2012</v>
          </cell>
          <cell r="L6754">
            <v>250</v>
          </cell>
          <cell r="M6754" t="str">
            <v>EA</v>
          </cell>
          <cell r="N6754">
            <v>250</v>
          </cell>
          <cell r="O6754" t="str">
            <v>INR</v>
          </cell>
        </row>
        <row r="6755">
          <cell r="A6755" t="str">
            <v>L003 Ankleshwar</v>
          </cell>
          <cell r="B6755">
            <v>737552</v>
          </cell>
          <cell r="C6755" t="str">
            <v>STICKER OF T-2954</v>
          </cell>
          <cell r="D6755" t="str">
            <v>L0030151                       EnggStore</v>
          </cell>
          <cell r="E6755" t="str">
            <v>E01 E01</v>
          </cell>
          <cell r="F6755" t="str">
            <v>VB Manual reorder point planning</v>
          </cell>
          <cell r="G6755" t="str">
            <v>HIBE Operating supplies</v>
          </cell>
          <cell r="H6755" t="str">
            <v>EN040     Prinitng &amp;Stationery</v>
          </cell>
          <cell r="I6755" t="str">
            <v>L003 Ankleshwar</v>
          </cell>
          <cell r="J6755" t="str">
            <v>99 Input/Byprodt/Scrap</v>
          </cell>
          <cell r="K6755" t="str">
            <v>10.2012</v>
          </cell>
          <cell r="L6755">
            <v>100</v>
          </cell>
          <cell r="M6755" t="str">
            <v>EA</v>
          </cell>
          <cell r="N6755">
            <v>100</v>
          </cell>
          <cell r="O6755" t="str">
            <v>INR</v>
          </cell>
        </row>
        <row r="6756">
          <cell r="A6756" t="str">
            <v>L003 Ankleshwar</v>
          </cell>
          <cell r="B6756">
            <v>737580</v>
          </cell>
          <cell r="C6756" t="str">
            <v>G.C ANALYSIS BOOK 1X100PA FOR SRP 7STAR</v>
          </cell>
          <cell r="D6756" t="str">
            <v>L0030201                       Cons StoreKP</v>
          </cell>
          <cell r="E6756" t="str">
            <v>E01 E01</v>
          </cell>
          <cell r="F6756" t="str">
            <v>VB Manual reorder point planning</v>
          </cell>
          <cell r="G6756" t="str">
            <v>HIBE Operating supplies</v>
          </cell>
          <cell r="H6756" t="str">
            <v>EN040     Prinitng &amp;Stationery</v>
          </cell>
          <cell r="I6756" t="str">
            <v>L003 Ankleshwar</v>
          </cell>
          <cell r="J6756" t="str">
            <v>99 Input/Byprodt/Scrap</v>
          </cell>
          <cell r="K6756" t="str">
            <v>10.2012</v>
          </cell>
          <cell r="L6756">
            <v>4</v>
          </cell>
          <cell r="M6756" t="str">
            <v>EA</v>
          </cell>
          <cell r="N6756">
            <v>1400</v>
          </cell>
          <cell r="O6756" t="str">
            <v>INR</v>
          </cell>
        </row>
        <row r="6757">
          <cell r="A6757" t="str">
            <v>L003 Ankleshwar</v>
          </cell>
          <cell r="B6757">
            <v>737676</v>
          </cell>
          <cell r="C6757" t="str">
            <v>CHECK LIST OFSPLITTEDMASS FILTRATION1X50</v>
          </cell>
          <cell r="D6757" t="str">
            <v>L0030201                       Cons StoreKP</v>
          </cell>
          <cell r="E6757" t="str">
            <v>099 099</v>
          </cell>
          <cell r="F6757" t="str">
            <v>VB Manual reorder point planning</v>
          </cell>
          <cell r="G6757" t="str">
            <v>HIBE Operating supplies</v>
          </cell>
          <cell r="H6757" t="str">
            <v>EN040     Prinitng &amp;Stationery</v>
          </cell>
          <cell r="I6757" t="str">
            <v>L003 Ankleshwar</v>
          </cell>
          <cell r="J6757" t="str">
            <v>99 Input/Byprodt/Scrap</v>
          </cell>
          <cell r="K6757" t="str">
            <v>10.2012</v>
          </cell>
          <cell r="L6757">
            <v>10</v>
          </cell>
          <cell r="M6757" t="str">
            <v>EA</v>
          </cell>
          <cell r="N6757">
            <v>950</v>
          </cell>
          <cell r="O6757" t="str">
            <v>INR</v>
          </cell>
        </row>
        <row r="6758">
          <cell r="A6758" t="str">
            <v>L003 Ankleshwar</v>
          </cell>
          <cell r="B6758">
            <v>737688</v>
          </cell>
          <cell r="C6758" t="str">
            <v>R-307 HIGH VAC DIST OF CRUDE BOOK 1X100P</v>
          </cell>
          <cell r="D6758" t="str">
            <v>L0030151                       EnggStore</v>
          </cell>
          <cell r="E6758" t="str">
            <v>099 099</v>
          </cell>
          <cell r="F6758" t="str">
            <v>VB Manual reorder point planning</v>
          </cell>
          <cell r="G6758" t="str">
            <v>HIBE Operating supplies</v>
          </cell>
          <cell r="H6758" t="str">
            <v>EN040     Prinitng &amp;Stationery</v>
          </cell>
          <cell r="I6758" t="str">
            <v>L003 Ankleshwar</v>
          </cell>
          <cell r="J6758" t="str">
            <v>99 Input/Byprodt/Scrap</v>
          </cell>
          <cell r="K6758" t="str">
            <v>10.2012</v>
          </cell>
          <cell r="L6758">
            <v>5</v>
          </cell>
          <cell r="M6758" t="str">
            <v>EA</v>
          </cell>
          <cell r="N6758">
            <v>275</v>
          </cell>
          <cell r="O6758" t="str">
            <v>INR</v>
          </cell>
        </row>
        <row r="6759">
          <cell r="A6759" t="str">
            <v>L003 Ankleshwar</v>
          </cell>
          <cell r="B6759">
            <v>737705</v>
          </cell>
          <cell r="C6759" t="str">
            <v>FILTER ELEMENT SINTERED-SS316: 1µx20"LG</v>
          </cell>
          <cell r="D6759" t="str">
            <v>L0030151                       EnggStore</v>
          </cell>
          <cell r="E6759">
            <v>0</v>
          </cell>
          <cell r="F6759" t="str">
            <v>ND No planning</v>
          </cell>
          <cell r="G6759" t="str">
            <v>HIBE Operating supplies</v>
          </cell>
          <cell r="H6759" t="str">
            <v>EN027     Prod&amp;OtherConsumable</v>
          </cell>
          <cell r="I6759" t="str">
            <v>L003 Ankleshwar</v>
          </cell>
          <cell r="J6759" t="str">
            <v>99 Input/Byprodt/Scrap</v>
          </cell>
          <cell r="K6759" t="str">
            <v>10.2012</v>
          </cell>
          <cell r="L6759">
            <v>2</v>
          </cell>
          <cell r="M6759" t="str">
            <v>EA</v>
          </cell>
          <cell r="N6759">
            <v>19828.799999999901</v>
          </cell>
          <cell r="O6759" t="str">
            <v>INR</v>
          </cell>
        </row>
        <row r="6760">
          <cell r="A6760" t="str">
            <v>L003 Ankleshwar</v>
          </cell>
          <cell r="B6760">
            <v>737706</v>
          </cell>
          <cell r="C6760" t="str">
            <v>FILTER ELEMENT SINTERED-SS316: 1µx10"LG</v>
          </cell>
          <cell r="D6760" t="str">
            <v>L0030151                       EnggStore</v>
          </cell>
          <cell r="E6760">
            <v>0</v>
          </cell>
          <cell r="F6760" t="str">
            <v>ND No planning</v>
          </cell>
          <cell r="G6760" t="str">
            <v>HIBE Operating supplies</v>
          </cell>
          <cell r="H6760" t="str">
            <v>EN027     Prod&amp;OtherConsumable</v>
          </cell>
          <cell r="I6760" t="str">
            <v>L003 Ankleshwar</v>
          </cell>
          <cell r="J6760" t="str">
            <v>99 Input/Byprodt/Scrap</v>
          </cell>
          <cell r="K6760" t="str">
            <v>10.2012</v>
          </cell>
          <cell r="L6760">
            <v>4</v>
          </cell>
          <cell r="M6760" t="str">
            <v>EA</v>
          </cell>
          <cell r="N6760">
            <v>19828.799999999901</v>
          </cell>
          <cell r="O6760" t="str">
            <v>INR</v>
          </cell>
        </row>
        <row r="6761">
          <cell r="A6761" t="str">
            <v>L003 Ankleshwar</v>
          </cell>
          <cell r="B6761">
            <v>737878</v>
          </cell>
          <cell r="C6761" t="str">
            <v>INPROCESS ANALYTICAL REPORT OF CEFA</v>
          </cell>
          <cell r="D6761" t="str">
            <v>L0030151                       EnggStore</v>
          </cell>
          <cell r="E6761" t="str">
            <v>099 099</v>
          </cell>
          <cell r="F6761" t="str">
            <v>VB Manual reorder point planning</v>
          </cell>
          <cell r="G6761" t="str">
            <v>HIBE Operating supplies</v>
          </cell>
          <cell r="H6761" t="str">
            <v>EN040     Prinitng &amp;Stationery</v>
          </cell>
          <cell r="I6761" t="str">
            <v>L003 Ankleshwar</v>
          </cell>
          <cell r="J6761" t="str">
            <v>99 Input/Byprodt/Scrap</v>
          </cell>
          <cell r="K6761" t="str">
            <v>10.2012</v>
          </cell>
          <cell r="L6761">
            <v>1</v>
          </cell>
          <cell r="M6761" t="str">
            <v>EA</v>
          </cell>
          <cell r="N6761">
            <v>157.5</v>
          </cell>
          <cell r="O6761" t="str">
            <v>INR</v>
          </cell>
        </row>
        <row r="6762">
          <cell r="A6762" t="str">
            <v>L003 Ankleshwar</v>
          </cell>
          <cell r="B6762">
            <v>737905</v>
          </cell>
          <cell r="C6762" t="str">
            <v>MOBILE REGISTER FOR SECURITY DEPT</v>
          </cell>
          <cell r="D6762" t="str">
            <v>L0030151                       EnggStore</v>
          </cell>
          <cell r="E6762" t="str">
            <v>099 099</v>
          </cell>
          <cell r="F6762" t="str">
            <v>VB Manual reorder point planning</v>
          </cell>
          <cell r="G6762" t="str">
            <v>HIBE Operating supplies</v>
          </cell>
          <cell r="H6762" t="str">
            <v>EN040     Prinitng &amp;Stationery</v>
          </cell>
          <cell r="I6762" t="str">
            <v>L003 Ankleshwar</v>
          </cell>
          <cell r="J6762" t="str">
            <v>99 Input/Byprodt/Scrap</v>
          </cell>
          <cell r="K6762" t="str">
            <v>10.2012</v>
          </cell>
          <cell r="L6762">
            <v>8</v>
          </cell>
          <cell r="M6762" t="str">
            <v>EA</v>
          </cell>
          <cell r="N6762">
            <v>2160</v>
          </cell>
          <cell r="O6762" t="str">
            <v>INR</v>
          </cell>
        </row>
        <row r="6763">
          <cell r="A6763" t="str">
            <v>L003 Ankleshwar</v>
          </cell>
          <cell r="B6763">
            <v>737906</v>
          </cell>
          <cell r="C6763" t="str">
            <v>PENALTY INTIMATION BOOK</v>
          </cell>
          <cell r="D6763" t="str">
            <v>L0030151                       EnggStore</v>
          </cell>
          <cell r="E6763" t="str">
            <v>099 099</v>
          </cell>
          <cell r="F6763" t="str">
            <v>VB Manual reorder point planning</v>
          </cell>
          <cell r="G6763" t="str">
            <v>HIBE Operating supplies</v>
          </cell>
          <cell r="H6763" t="str">
            <v>EN040     Prinitng &amp;Stationery</v>
          </cell>
          <cell r="I6763" t="str">
            <v>L003 Ankleshwar</v>
          </cell>
          <cell r="J6763" t="str">
            <v>99 Input/Byprodt/Scrap</v>
          </cell>
          <cell r="K6763" t="str">
            <v>10.2012</v>
          </cell>
          <cell r="L6763">
            <v>1</v>
          </cell>
          <cell r="M6763" t="str">
            <v>EA</v>
          </cell>
          <cell r="N6763">
            <v>120.75</v>
          </cell>
          <cell r="O6763" t="str">
            <v>INR</v>
          </cell>
        </row>
        <row r="6764">
          <cell r="A6764" t="str">
            <v>L003 Ankleshwar</v>
          </cell>
          <cell r="B6764">
            <v>738142</v>
          </cell>
          <cell r="C6764" t="str">
            <v>PANEL  FILTER 20M,640X183X590X135X35MM</v>
          </cell>
          <cell r="D6764" t="str">
            <v>L0030151                       EnggStore</v>
          </cell>
          <cell r="E6764">
            <v>0</v>
          </cell>
          <cell r="F6764" t="str">
            <v>ND No planning</v>
          </cell>
          <cell r="G6764" t="str">
            <v>HIBE Operating supplies</v>
          </cell>
          <cell r="H6764" t="str">
            <v>EN027     Prod&amp;OtherConsumable</v>
          </cell>
          <cell r="I6764" t="str">
            <v>L003 Ankleshwar</v>
          </cell>
          <cell r="J6764" t="str">
            <v>99 Input/Byprodt/Scrap</v>
          </cell>
          <cell r="K6764" t="str">
            <v>10.2012</v>
          </cell>
          <cell r="L6764">
            <v>1</v>
          </cell>
          <cell r="M6764" t="str">
            <v>EA</v>
          </cell>
          <cell r="N6764">
            <v>399.39999999999901</v>
          </cell>
          <cell r="O6764" t="str">
            <v>INR</v>
          </cell>
        </row>
        <row r="6765">
          <cell r="A6765" t="str">
            <v>L003 Ankleshwar</v>
          </cell>
          <cell r="B6765">
            <v>738167</v>
          </cell>
          <cell r="C6765" t="str">
            <v>SS316 WIRE BRAID HOSE 1/2"X3M FEXNE</v>
          </cell>
          <cell r="D6765" t="str">
            <v>L0030201                       Cons StoreKP</v>
          </cell>
          <cell r="E6765">
            <v>0</v>
          </cell>
          <cell r="F6765" t="str">
            <v>ND No planning</v>
          </cell>
          <cell r="G6765" t="str">
            <v>HIBE Operating supplies</v>
          </cell>
          <cell r="H6765" t="str">
            <v>EN027     Prod&amp;OtherConsumable</v>
          </cell>
          <cell r="I6765" t="str">
            <v>L003 Ankleshwar</v>
          </cell>
          <cell r="J6765" t="str">
            <v>99 Input/Byprodt/Scrap</v>
          </cell>
          <cell r="K6765" t="str">
            <v>10.2012</v>
          </cell>
          <cell r="L6765">
            <v>1</v>
          </cell>
          <cell r="M6765" t="str">
            <v>EA</v>
          </cell>
          <cell r="N6765">
            <v>652.89999999999895</v>
          </cell>
          <cell r="O6765" t="str">
            <v>INR</v>
          </cell>
        </row>
        <row r="6766">
          <cell r="A6766" t="str">
            <v>L003 Ankleshwar</v>
          </cell>
          <cell r="B6766">
            <v>738192</v>
          </cell>
          <cell r="C6766" t="str">
            <v>7AE BATCH MONITORING SHEET 3X100P</v>
          </cell>
          <cell r="D6766" t="str">
            <v>L0030151                       EnggStore</v>
          </cell>
          <cell r="E6766">
            <v>0</v>
          </cell>
          <cell r="F6766" t="str">
            <v>ND No planning</v>
          </cell>
          <cell r="G6766" t="str">
            <v>HIBE Operating supplies</v>
          </cell>
          <cell r="H6766" t="str">
            <v>EN027     Prod&amp;OtherConsumable</v>
          </cell>
          <cell r="I6766" t="str">
            <v>L003 Ankleshwar</v>
          </cell>
          <cell r="J6766" t="str">
            <v>99 Input/Byprodt/Scrap</v>
          </cell>
          <cell r="K6766" t="str">
            <v>10.2012</v>
          </cell>
          <cell r="L6766">
            <v>11</v>
          </cell>
          <cell r="M6766" t="str">
            <v>EA</v>
          </cell>
          <cell r="N6766">
            <v>2080.46</v>
          </cell>
          <cell r="O6766" t="str">
            <v>INR</v>
          </cell>
        </row>
        <row r="6767">
          <cell r="A6767" t="str">
            <v>L003 Ankleshwar</v>
          </cell>
          <cell r="B6767">
            <v>738267</v>
          </cell>
          <cell r="C6767" t="str">
            <v>Multimill sieve 0.5 MM</v>
          </cell>
          <cell r="D6767" t="str">
            <v>L0030151                       EnggStore</v>
          </cell>
          <cell r="E6767">
            <v>0</v>
          </cell>
          <cell r="F6767" t="str">
            <v>ND No planning</v>
          </cell>
          <cell r="G6767" t="str">
            <v>HIBE Operating supplies</v>
          </cell>
          <cell r="H6767" t="str">
            <v>EN027     Prod&amp;OtherConsumable</v>
          </cell>
          <cell r="I6767" t="str">
            <v>L003 Ankleshwar</v>
          </cell>
          <cell r="J6767" t="str">
            <v>99 Input/Byprodt/Scrap</v>
          </cell>
          <cell r="K6767" t="str">
            <v>10.2012</v>
          </cell>
          <cell r="L6767">
            <v>2</v>
          </cell>
          <cell r="M6767" t="str">
            <v>EA</v>
          </cell>
          <cell r="N6767">
            <v>2460.69</v>
          </cell>
          <cell r="O6767" t="str">
            <v>INR</v>
          </cell>
        </row>
        <row r="6768">
          <cell r="A6768" t="str">
            <v>L003 Ankleshwar</v>
          </cell>
          <cell r="B6768">
            <v>738279</v>
          </cell>
          <cell r="C6768" t="str">
            <v>AIR COMPRESSOR LOG BOOK CEFA.1X50P</v>
          </cell>
          <cell r="D6768" t="str">
            <v>L0030201                       Cons StoreKP</v>
          </cell>
          <cell r="E6768" t="str">
            <v>E01 E01</v>
          </cell>
          <cell r="F6768" t="str">
            <v>ND No planning</v>
          </cell>
          <cell r="G6768" t="str">
            <v>HIBE Operating supplies</v>
          </cell>
          <cell r="H6768" t="str">
            <v>EN040     Prinitng &amp;Stationery</v>
          </cell>
          <cell r="I6768" t="str">
            <v>L003 Ankleshwar</v>
          </cell>
          <cell r="J6768" t="str">
            <v>99 Input/Byprodt/Scrap</v>
          </cell>
          <cell r="K6768" t="str">
            <v>10.2012</v>
          </cell>
          <cell r="L6768">
            <v>4</v>
          </cell>
          <cell r="M6768" t="str">
            <v>EA</v>
          </cell>
          <cell r="N6768">
            <v>600</v>
          </cell>
          <cell r="O6768" t="str">
            <v>INR</v>
          </cell>
        </row>
        <row r="6769">
          <cell r="A6769" t="str">
            <v>L003 Ankleshwar</v>
          </cell>
          <cell r="B6769">
            <v>738300</v>
          </cell>
          <cell r="C6769" t="str">
            <v>PP D-1100 S.O.BAG 5"DIA,26"HT.,2" COLLAR</v>
          </cell>
          <cell r="D6769" t="str">
            <v>L0030201                       Cons StoreKP</v>
          </cell>
          <cell r="E6769" t="str">
            <v>E01 E01</v>
          </cell>
          <cell r="F6769" t="str">
            <v>ND No planning</v>
          </cell>
          <cell r="G6769" t="str">
            <v>HIBE Operating supplies</v>
          </cell>
          <cell r="H6769" t="str">
            <v>EN027     Prod&amp;OtherConsumable</v>
          </cell>
          <cell r="I6769" t="str">
            <v>L003 Ankleshwar</v>
          </cell>
          <cell r="J6769" t="str">
            <v>99 Input/Byprodt/Scrap</v>
          </cell>
          <cell r="K6769" t="str">
            <v>10.2012</v>
          </cell>
          <cell r="L6769">
            <v>1</v>
          </cell>
          <cell r="M6769" t="str">
            <v>EA</v>
          </cell>
          <cell r="N6769">
            <v>325</v>
          </cell>
          <cell r="O6769" t="str">
            <v>INR</v>
          </cell>
        </row>
        <row r="6770">
          <cell r="A6770" t="str">
            <v>L003 Ankleshwar</v>
          </cell>
          <cell r="B6770">
            <v>738336</v>
          </cell>
          <cell r="C6770" t="str">
            <v>SAS BOOK  FOR INPROCESS  OF IPA</v>
          </cell>
          <cell r="D6770" t="str">
            <v>L0030151                       EnggStore</v>
          </cell>
          <cell r="E6770" t="str">
            <v>E01 E01</v>
          </cell>
          <cell r="F6770" t="str">
            <v>VB Manual reorder point planning</v>
          </cell>
          <cell r="G6770" t="str">
            <v>HIBE Operating supplies</v>
          </cell>
          <cell r="H6770" t="str">
            <v>EN040     Prinitng &amp;Stationery</v>
          </cell>
          <cell r="I6770" t="str">
            <v>L003 Ankleshwar</v>
          </cell>
          <cell r="J6770" t="str">
            <v>99 Input/Byprodt/Scrap</v>
          </cell>
          <cell r="K6770" t="str">
            <v>10.2012</v>
          </cell>
          <cell r="L6770">
            <v>1</v>
          </cell>
          <cell r="M6770" t="str">
            <v>EA</v>
          </cell>
          <cell r="N6770">
            <v>99.75</v>
          </cell>
          <cell r="O6770" t="str">
            <v>INR</v>
          </cell>
        </row>
        <row r="6771">
          <cell r="A6771" t="str">
            <v>L003 Ankleshwar</v>
          </cell>
          <cell r="B6771">
            <v>738406</v>
          </cell>
          <cell r="C6771" t="str">
            <v>SAS BOOK OF INPROCESS OF ETB SLURRY</v>
          </cell>
          <cell r="D6771" t="str">
            <v>L0030151                       EnggStore</v>
          </cell>
          <cell r="E6771" t="str">
            <v>E01 E01</v>
          </cell>
          <cell r="F6771" t="str">
            <v>ND No planning</v>
          </cell>
          <cell r="G6771" t="str">
            <v>HIBE Operating supplies</v>
          </cell>
          <cell r="H6771" t="str">
            <v>EN040     Prinitng &amp;Stationery</v>
          </cell>
          <cell r="I6771" t="str">
            <v>L003 Ankleshwar</v>
          </cell>
          <cell r="J6771" t="str">
            <v>99 Input/Byprodt/Scrap</v>
          </cell>
          <cell r="K6771" t="str">
            <v>10.2012</v>
          </cell>
          <cell r="L6771">
            <v>8</v>
          </cell>
          <cell r="M6771" t="str">
            <v>EA</v>
          </cell>
          <cell r="N6771">
            <v>798</v>
          </cell>
          <cell r="O6771" t="str">
            <v>INR</v>
          </cell>
        </row>
        <row r="6772">
          <cell r="A6772" t="str">
            <v>L003 Ankleshwar</v>
          </cell>
          <cell r="B6772">
            <v>738407</v>
          </cell>
          <cell r="C6772" t="str">
            <v>SAS BOOK OF INPROCESS OF WET ETB HCL</v>
          </cell>
          <cell r="D6772" t="str">
            <v>L0030151                       EnggStore</v>
          </cell>
          <cell r="E6772" t="str">
            <v>E01 E01</v>
          </cell>
          <cell r="F6772" t="str">
            <v>ND No planning</v>
          </cell>
          <cell r="G6772" t="str">
            <v>HIBE Operating supplies</v>
          </cell>
          <cell r="H6772" t="str">
            <v>EN040     Prinitng &amp;Stationery</v>
          </cell>
          <cell r="I6772" t="str">
            <v>L003 Ankleshwar</v>
          </cell>
          <cell r="J6772" t="str">
            <v>99 Input/Byprodt/Scrap</v>
          </cell>
          <cell r="K6772" t="str">
            <v>10.2012</v>
          </cell>
          <cell r="L6772">
            <v>3</v>
          </cell>
          <cell r="M6772" t="str">
            <v>EA</v>
          </cell>
          <cell r="N6772">
            <v>403.19999999999902</v>
          </cell>
          <cell r="O6772" t="str">
            <v>INR</v>
          </cell>
        </row>
        <row r="6773">
          <cell r="A6773" t="str">
            <v>L003 Ankleshwar</v>
          </cell>
          <cell r="B6773">
            <v>738437</v>
          </cell>
          <cell r="C6773" t="str">
            <v>SAS BOOK OF INPROCESS OF REC DMF CEFA</v>
          </cell>
          <cell r="D6773" t="str">
            <v>L0030201                       Cons StoreKP</v>
          </cell>
          <cell r="E6773" t="str">
            <v>099 099</v>
          </cell>
          <cell r="F6773" t="str">
            <v>VB Manual reorder point planning</v>
          </cell>
          <cell r="G6773" t="str">
            <v>HIBE Operating supplies</v>
          </cell>
          <cell r="H6773" t="str">
            <v>EN040     Prinitng &amp;Stationery</v>
          </cell>
          <cell r="I6773" t="str">
            <v>L003 Ankleshwar</v>
          </cell>
          <cell r="J6773" t="str">
            <v>99 Input/Byprodt/Scrap</v>
          </cell>
          <cell r="K6773" t="str">
            <v>10.2012</v>
          </cell>
          <cell r="L6773">
            <v>6</v>
          </cell>
          <cell r="M6773" t="str">
            <v>EA</v>
          </cell>
          <cell r="N6773">
            <v>598.5</v>
          </cell>
          <cell r="O6773" t="str">
            <v>INR</v>
          </cell>
        </row>
        <row r="6774">
          <cell r="A6774" t="str">
            <v>L003 Ankleshwar</v>
          </cell>
          <cell r="B6774">
            <v>738438</v>
          </cell>
          <cell r="C6774" t="str">
            <v>SAS BOOK OF INPRO OF REACT MASSFOR CEFA</v>
          </cell>
          <cell r="D6774" t="str">
            <v>L0030201                       Cons StoreKP</v>
          </cell>
          <cell r="E6774" t="str">
            <v>099 099</v>
          </cell>
          <cell r="F6774" t="str">
            <v>VB Manual reorder point planning</v>
          </cell>
          <cell r="G6774" t="str">
            <v>HIBE Operating supplies</v>
          </cell>
          <cell r="H6774" t="str">
            <v>EN040     Prinitng &amp;Stationery</v>
          </cell>
          <cell r="I6774" t="str">
            <v>L003 Ankleshwar</v>
          </cell>
          <cell r="J6774" t="str">
            <v>99 Input/Byprodt/Scrap</v>
          </cell>
          <cell r="K6774" t="str">
            <v>10.2012</v>
          </cell>
          <cell r="L6774">
            <v>6</v>
          </cell>
          <cell r="M6774" t="str">
            <v>EA</v>
          </cell>
          <cell r="N6774">
            <v>598.5</v>
          </cell>
          <cell r="O6774" t="str">
            <v>INR</v>
          </cell>
        </row>
        <row r="6775">
          <cell r="A6775" t="str">
            <v>L003 Ankleshwar</v>
          </cell>
          <cell r="B6775">
            <v>738439</v>
          </cell>
          <cell r="C6775" t="str">
            <v>SAS BOOK OF INPROOFREACT MASSAFTER DANE</v>
          </cell>
          <cell r="D6775" t="str">
            <v>L0030151                       EnggStore</v>
          </cell>
          <cell r="E6775" t="str">
            <v>099 099</v>
          </cell>
          <cell r="F6775" t="str">
            <v>VB Manual reorder point planning</v>
          </cell>
          <cell r="G6775" t="str">
            <v>HIBE Operating supplies</v>
          </cell>
          <cell r="H6775" t="str">
            <v>EN040     Prinitng &amp;Stationery</v>
          </cell>
          <cell r="I6775" t="str">
            <v>L003 Ankleshwar</v>
          </cell>
          <cell r="J6775" t="str">
            <v>99 Input/Byprodt/Scrap</v>
          </cell>
          <cell r="K6775" t="str">
            <v>10.2012</v>
          </cell>
          <cell r="L6775">
            <v>1</v>
          </cell>
          <cell r="M6775" t="str">
            <v>EA</v>
          </cell>
          <cell r="N6775">
            <v>104.7</v>
          </cell>
          <cell r="O6775" t="str">
            <v>INR</v>
          </cell>
        </row>
        <row r="6776">
          <cell r="A6776" t="str">
            <v>L003 Ankleshwar</v>
          </cell>
          <cell r="B6776">
            <v>738439</v>
          </cell>
          <cell r="C6776" t="str">
            <v>SAS BOOK OF INPROOFREACT MASSAFTER DANE</v>
          </cell>
          <cell r="D6776" t="str">
            <v>L0030201                       Cons StoreKP</v>
          </cell>
          <cell r="E6776" t="str">
            <v>099 099</v>
          </cell>
          <cell r="F6776" t="str">
            <v>VB Manual reorder point planning</v>
          </cell>
          <cell r="G6776" t="str">
            <v>HIBE Operating supplies</v>
          </cell>
          <cell r="H6776" t="str">
            <v>EN040     Prinitng &amp;Stationery</v>
          </cell>
          <cell r="I6776" t="str">
            <v>L003 Ankleshwar</v>
          </cell>
          <cell r="J6776" t="str">
            <v>99 Input/Byprodt/Scrap</v>
          </cell>
          <cell r="K6776" t="str">
            <v>10.2012</v>
          </cell>
          <cell r="L6776">
            <v>6</v>
          </cell>
          <cell r="M6776" t="str">
            <v>EA</v>
          </cell>
          <cell r="N6776">
            <v>628.20000000000005</v>
          </cell>
          <cell r="O6776" t="str">
            <v>INR</v>
          </cell>
        </row>
        <row r="6777">
          <cell r="A6777" t="str">
            <v>L003 Ankleshwar</v>
          </cell>
          <cell r="B6777">
            <v>738440</v>
          </cell>
          <cell r="C6777" t="str">
            <v>SAS BOOK OF INPRO OF DMF SOLVATEFOE CEFA</v>
          </cell>
          <cell r="D6777" t="str">
            <v>L0030201                       Cons StoreKP</v>
          </cell>
          <cell r="E6777" t="str">
            <v>099 099</v>
          </cell>
          <cell r="F6777" t="str">
            <v>VB Manual reorder point planning</v>
          </cell>
          <cell r="G6777" t="str">
            <v>HIBE Operating supplies</v>
          </cell>
          <cell r="H6777" t="str">
            <v>EN040     Prinitng &amp;Stationery</v>
          </cell>
          <cell r="I6777" t="str">
            <v>L003 Ankleshwar</v>
          </cell>
          <cell r="J6777" t="str">
            <v>99 Input/Byprodt/Scrap</v>
          </cell>
          <cell r="K6777" t="str">
            <v>10.2012</v>
          </cell>
          <cell r="L6777">
            <v>6</v>
          </cell>
          <cell r="M6777" t="str">
            <v>EA</v>
          </cell>
          <cell r="N6777">
            <v>598.5</v>
          </cell>
          <cell r="O6777" t="str">
            <v>INR</v>
          </cell>
        </row>
        <row r="6778">
          <cell r="A6778" t="str">
            <v>L003 Ankleshwar</v>
          </cell>
          <cell r="B6778">
            <v>738481</v>
          </cell>
          <cell r="C6778" t="str">
            <v>SAS BOOK OFINPROOF REACTION MASSFORCEFA</v>
          </cell>
          <cell r="D6778" t="str">
            <v>L0030201                       Cons StoreKP</v>
          </cell>
          <cell r="E6778" t="str">
            <v>099 099</v>
          </cell>
          <cell r="F6778" t="str">
            <v>VB Manual reorder point planning</v>
          </cell>
          <cell r="G6778" t="str">
            <v>HIBE Operating supplies</v>
          </cell>
          <cell r="H6778" t="str">
            <v>EN040     Prinitng &amp;Stationery</v>
          </cell>
          <cell r="I6778" t="str">
            <v>L003 Ankleshwar</v>
          </cell>
          <cell r="J6778" t="str">
            <v>99 Input/Byprodt/Scrap</v>
          </cell>
          <cell r="K6778" t="str">
            <v>10.2012</v>
          </cell>
          <cell r="L6778">
            <v>6</v>
          </cell>
          <cell r="M6778" t="str">
            <v>EA</v>
          </cell>
          <cell r="N6778">
            <v>598.5</v>
          </cell>
          <cell r="O6778" t="str">
            <v>INR</v>
          </cell>
        </row>
        <row r="6779">
          <cell r="A6779" t="str">
            <v>L003 Ankleshwar</v>
          </cell>
          <cell r="B6779">
            <v>738482</v>
          </cell>
          <cell r="C6779" t="str">
            <v>SAS BOOKOF INPROOFREC DMFSOLVAT FOR CEFA</v>
          </cell>
          <cell r="D6779" t="str">
            <v>L0030201                       Cons StoreKP</v>
          </cell>
          <cell r="E6779" t="str">
            <v>099 099</v>
          </cell>
          <cell r="F6779" t="str">
            <v>VB Manual reorder point planning</v>
          </cell>
          <cell r="G6779" t="str">
            <v>HIBE Operating supplies</v>
          </cell>
          <cell r="H6779" t="str">
            <v>EN040     Prinitng &amp;Stationery</v>
          </cell>
          <cell r="I6779" t="str">
            <v>L003 Ankleshwar</v>
          </cell>
          <cell r="J6779" t="str">
            <v>99 Input/Byprodt/Scrap</v>
          </cell>
          <cell r="K6779" t="str">
            <v>10.2012</v>
          </cell>
          <cell r="L6779">
            <v>10</v>
          </cell>
          <cell r="M6779" t="str">
            <v>EA</v>
          </cell>
          <cell r="N6779">
            <v>997.5</v>
          </cell>
          <cell r="O6779" t="str">
            <v>INR</v>
          </cell>
        </row>
        <row r="6780">
          <cell r="A6780" t="str">
            <v>L003 Ankleshwar</v>
          </cell>
          <cell r="B6780">
            <v>738483</v>
          </cell>
          <cell r="C6780" t="str">
            <v>SAS BOOK OF INPRO OF REC DCM FOR CEFA</v>
          </cell>
          <cell r="D6780" t="str">
            <v>L0030201                       Cons StoreKP</v>
          </cell>
          <cell r="E6780" t="str">
            <v>099 099</v>
          </cell>
          <cell r="F6780" t="str">
            <v>VB Manual reorder point planning</v>
          </cell>
          <cell r="G6780" t="str">
            <v>HIBE Operating supplies</v>
          </cell>
          <cell r="H6780" t="str">
            <v>EN040     Prinitng &amp;Stationery</v>
          </cell>
          <cell r="I6780" t="str">
            <v>L003 Ankleshwar</v>
          </cell>
          <cell r="J6780" t="str">
            <v>99 Input/Byprodt/Scrap</v>
          </cell>
          <cell r="K6780" t="str">
            <v>10.2012</v>
          </cell>
          <cell r="L6780">
            <v>10</v>
          </cell>
          <cell r="M6780" t="str">
            <v>EA</v>
          </cell>
          <cell r="N6780">
            <v>997.5</v>
          </cell>
          <cell r="O6780" t="str">
            <v>INR</v>
          </cell>
        </row>
        <row r="6781">
          <cell r="A6781" t="str">
            <v>L003 Ankleshwar</v>
          </cell>
          <cell r="B6781">
            <v>738484</v>
          </cell>
          <cell r="C6781" t="str">
            <v>SAS BOOKOF INPROOF DMF SOLVATE DRYPOWDER</v>
          </cell>
          <cell r="D6781" t="str">
            <v>L0030151                       EnggStore</v>
          </cell>
          <cell r="E6781" t="str">
            <v>099 099</v>
          </cell>
          <cell r="F6781" t="str">
            <v>VB Manual reorder point planning</v>
          </cell>
          <cell r="G6781" t="str">
            <v>HIBE Operating supplies</v>
          </cell>
          <cell r="H6781" t="str">
            <v>EN040     Prinitng &amp;Stationery</v>
          </cell>
          <cell r="I6781" t="str">
            <v>L003 Ankleshwar</v>
          </cell>
          <cell r="J6781" t="str">
            <v>99 Input/Byprodt/Scrap</v>
          </cell>
          <cell r="K6781" t="str">
            <v>10.2012</v>
          </cell>
          <cell r="L6781">
            <v>3</v>
          </cell>
          <cell r="M6781" t="str">
            <v>EA</v>
          </cell>
          <cell r="N6781">
            <v>323.24</v>
          </cell>
          <cell r="O6781" t="str">
            <v>INR</v>
          </cell>
        </row>
        <row r="6782">
          <cell r="A6782" t="str">
            <v>L003 Ankleshwar</v>
          </cell>
          <cell r="B6782">
            <v>738484</v>
          </cell>
          <cell r="C6782" t="str">
            <v>SAS BOOKOF INPROOF DMF SOLVATE DRYPOWDER</v>
          </cell>
          <cell r="D6782" t="str">
            <v>L0030201                       Cons StoreKP</v>
          </cell>
          <cell r="E6782" t="str">
            <v>099 099</v>
          </cell>
          <cell r="F6782" t="str">
            <v>VB Manual reorder point planning</v>
          </cell>
          <cell r="G6782" t="str">
            <v>HIBE Operating supplies</v>
          </cell>
          <cell r="H6782" t="str">
            <v>EN040     Prinitng &amp;Stationery</v>
          </cell>
          <cell r="I6782" t="str">
            <v>L003 Ankleshwar</v>
          </cell>
          <cell r="J6782" t="str">
            <v>99 Input/Byprodt/Scrap</v>
          </cell>
          <cell r="K6782" t="str">
            <v>10.2012</v>
          </cell>
          <cell r="L6782">
            <v>2</v>
          </cell>
          <cell r="M6782" t="str">
            <v>EA</v>
          </cell>
          <cell r="N6782">
            <v>215.49</v>
          </cell>
          <cell r="O6782" t="str">
            <v>INR</v>
          </cell>
        </row>
        <row r="6783">
          <cell r="A6783" t="str">
            <v>L003 Ankleshwar</v>
          </cell>
          <cell r="B6783">
            <v>738485</v>
          </cell>
          <cell r="C6783" t="str">
            <v>SAS BOOKOF INPRO OF REC.ACETONE FOR CEFA</v>
          </cell>
          <cell r="D6783" t="str">
            <v>L0030201                       Cons StoreKP</v>
          </cell>
          <cell r="E6783" t="str">
            <v>099 099</v>
          </cell>
          <cell r="F6783" t="str">
            <v>VB Manual reorder point planning</v>
          </cell>
          <cell r="G6783" t="str">
            <v>HIBE Operating supplies</v>
          </cell>
          <cell r="H6783" t="str">
            <v>EN040     Prinitng &amp;Stationery</v>
          </cell>
          <cell r="I6783" t="str">
            <v>L003 Ankleshwar</v>
          </cell>
          <cell r="J6783" t="str">
            <v>99 Input/Byprodt/Scrap</v>
          </cell>
          <cell r="K6783" t="str">
            <v>10.2012</v>
          </cell>
          <cell r="L6783">
            <v>6</v>
          </cell>
          <cell r="M6783" t="str">
            <v>EA</v>
          </cell>
          <cell r="N6783">
            <v>598.5</v>
          </cell>
          <cell r="O6783" t="str">
            <v>INR</v>
          </cell>
        </row>
        <row r="6784">
          <cell r="A6784" t="str">
            <v>L003 Ankleshwar</v>
          </cell>
          <cell r="B6784">
            <v>738501</v>
          </cell>
          <cell r="C6784" t="str">
            <v>DP/PP-900S C/F BAG 48"F-3101F TOP</v>
          </cell>
          <cell r="D6784" t="str">
            <v>L0030201                       Cons StoreKP</v>
          </cell>
          <cell r="E6784" t="str">
            <v>E42 E42</v>
          </cell>
          <cell r="F6784" t="str">
            <v>VB Manual reorder point planning</v>
          </cell>
          <cell r="G6784" t="str">
            <v>HIBE Operating supplies</v>
          </cell>
          <cell r="H6784" t="str">
            <v>EN027     Prod&amp;OtherConsumable</v>
          </cell>
          <cell r="I6784" t="str">
            <v>L003 Ankleshwar</v>
          </cell>
          <cell r="J6784" t="str">
            <v>99 Input/Byprodt/Scrap</v>
          </cell>
          <cell r="K6784" t="str">
            <v>10.2012</v>
          </cell>
          <cell r="L6784">
            <v>4</v>
          </cell>
          <cell r="M6784" t="str">
            <v>EA</v>
          </cell>
          <cell r="N6784">
            <v>6596</v>
          </cell>
          <cell r="O6784" t="str">
            <v>INR</v>
          </cell>
        </row>
        <row r="6785">
          <cell r="A6785" t="str">
            <v>L003 Ankleshwar</v>
          </cell>
          <cell r="B6785">
            <v>738502</v>
          </cell>
          <cell r="C6785" t="str">
            <v>DP/PP-900S C/F BAG 48"F-3101F BOTTOM</v>
          </cell>
          <cell r="D6785" t="str">
            <v>L0030201                       Cons StoreKP</v>
          </cell>
          <cell r="E6785" t="str">
            <v>E42 E42</v>
          </cell>
          <cell r="F6785" t="str">
            <v>VB Manual reorder point planning</v>
          </cell>
          <cell r="G6785" t="str">
            <v>HIBE Operating supplies</v>
          </cell>
          <cell r="H6785" t="str">
            <v>EN027     Prod&amp;OtherConsumable</v>
          </cell>
          <cell r="I6785" t="str">
            <v>L003 Ankleshwar</v>
          </cell>
          <cell r="J6785" t="str">
            <v>99 Input/Byprodt/Scrap</v>
          </cell>
          <cell r="K6785" t="str">
            <v>10.2012</v>
          </cell>
          <cell r="L6785">
            <v>4</v>
          </cell>
          <cell r="M6785" t="str">
            <v>EA</v>
          </cell>
          <cell r="N6785">
            <v>6596</v>
          </cell>
          <cell r="O6785" t="str">
            <v>INR</v>
          </cell>
        </row>
        <row r="6786">
          <cell r="A6786" t="str">
            <v>L003 Ankleshwar</v>
          </cell>
          <cell r="B6786">
            <v>738503</v>
          </cell>
          <cell r="C6786" t="str">
            <v>DP/PP-900S C/F BAG 48"F-11201 TOP</v>
          </cell>
          <cell r="D6786" t="str">
            <v>L0030201                       Cons StoreKP</v>
          </cell>
          <cell r="E6786" t="str">
            <v>E42 E42</v>
          </cell>
          <cell r="F6786" t="str">
            <v>VB Manual reorder point planning</v>
          </cell>
          <cell r="G6786" t="str">
            <v>HIBE Operating supplies</v>
          </cell>
          <cell r="H6786" t="str">
            <v>EN027     Prod&amp;OtherConsumable</v>
          </cell>
          <cell r="I6786" t="str">
            <v>L003 Ankleshwar</v>
          </cell>
          <cell r="J6786" t="str">
            <v>99 Input/Byprodt/Scrap</v>
          </cell>
          <cell r="K6786" t="str">
            <v>10.2012</v>
          </cell>
          <cell r="L6786">
            <v>4</v>
          </cell>
          <cell r="M6786" t="str">
            <v>EA</v>
          </cell>
          <cell r="N6786">
            <v>6596</v>
          </cell>
          <cell r="O6786" t="str">
            <v>INR</v>
          </cell>
        </row>
        <row r="6787">
          <cell r="A6787" t="str">
            <v>L003 Ankleshwar</v>
          </cell>
          <cell r="B6787">
            <v>738504</v>
          </cell>
          <cell r="C6787" t="str">
            <v>DP/PP-900S C/F BAG 48"F-11201 BOTTOM</v>
          </cell>
          <cell r="D6787" t="str">
            <v>L0030201                       Cons StoreKP</v>
          </cell>
          <cell r="E6787" t="str">
            <v>E42 E42</v>
          </cell>
          <cell r="F6787" t="str">
            <v>VB Manual reorder point planning</v>
          </cell>
          <cell r="G6787" t="str">
            <v>HIBE Operating supplies</v>
          </cell>
          <cell r="H6787" t="str">
            <v>EN027     Prod&amp;OtherConsumable</v>
          </cell>
          <cell r="I6787" t="str">
            <v>L003 Ankleshwar</v>
          </cell>
          <cell r="J6787" t="str">
            <v>99 Input/Byprodt/Scrap</v>
          </cell>
          <cell r="K6787" t="str">
            <v>10.2012</v>
          </cell>
          <cell r="L6787">
            <v>4</v>
          </cell>
          <cell r="M6787" t="str">
            <v>EA</v>
          </cell>
          <cell r="N6787">
            <v>6596</v>
          </cell>
          <cell r="O6787" t="str">
            <v>INR</v>
          </cell>
        </row>
        <row r="6788">
          <cell r="A6788" t="str">
            <v>L003 Ankleshwar</v>
          </cell>
          <cell r="B6788">
            <v>738508</v>
          </cell>
          <cell r="C6788" t="str">
            <v>TENSIONER LASHING TOLL ST-20MM</v>
          </cell>
          <cell r="D6788" t="str">
            <v>L0030151                       EnggStore</v>
          </cell>
          <cell r="E6788" t="str">
            <v>E01 E01</v>
          </cell>
          <cell r="F6788" t="str">
            <v>ND No planning</v>
          </cell>
          <cell r="G6788" t="str">
            <v>HIBE Operating supplies</v>
          </cell>
          <cell r="H6788" t="str">
            <v>EN024     EnggConsumables</v>
          </cell>
          <cell r="I6788" t="str">
            <v>L003 Ankleshwar</v>
          </cell>
          <cell r="J6788" t="str">
            <v>99 Input/Byprodt/Scrap</v>
          </cell>
          <cell r="K6788" t="str">
            <v>10.2012</v>
          </cell>
          <cell r="L6788">
            <v>1</v>
          </cell>
          <cell r="M6788" t="str">
            <v>EA</v>
          </cell>
          <cell r="N6788">
            <v>22000</v>
          </cell>
          <cell r="O6788" t="str">
            <v>INR</v>
          </cell>
        </row>
        <row r="6789">
          <cell r="A6789" t="str">
            <v>L003 Ankleshwar</v>
          </cell>
          <cell r="B6789">
            <v>738534</v>
          </cell>
          <cell r="C6789" t="str">
            <v>LOG BOOK OF NITROGEN PLANT 1X64 PAGE</v>
          </cell>
          <cell r="D6789" t="str">
            <v>L0030151                       EnggStore</v>
          </cell>
          <cell r="E6789" t="str">
            <v>E01 E01</v>
          </cell>
          <cell r="F6789" t="str">
            <v>VB Manual reorder point planning</v>
          </cell>
          <cell r="G6789" t="str">
            <v>HIBE Operating supplies</v>
          </cell>
          <cell r="H6789" t="str">
            <v>EN040     Prinitng &amp;Stationery</v>
          </cell>
          <cell r="I6789" t="str">
            <v>L003 Ankleshwar</v>
          </cell>
          <cell r="J6789" t="str">
            <v>99 Input/Byprodt/Scrap</v>
          </cell>
          <cell r="K6789" t="str">
            <v>10.2012</v>
          </cell>
          <cell r="L6789">
            <v>2</v>
          </cell>
          <cell r="M6789" t="str">
            <v>EA</v>
          </cell>
          <cell r="N6789">
            <v>357.13999999999902</v>
          </cell>
          <cell r="O6789" t="str">
            <v>INR</v>
          </cell>
        </row>
        <row r="6790">
          <cell r="A6790" t="str">
            <v>L003 Ankleshwar</v>
          </cell>
          <cell r="B6790">
            <v>738534</v>
          </cell>
          <cell r="C6790" t="str">
            <v>LOG BOOK OF NITROGEN PLANT 1X64 PAGE</v>
          </cell>
          <cell r="D6790" t="str">
            <v>L0030201                       Cons StoreKP</v>
          </cell>
          <cell r="E6790" t="str">
            <v>E01 E01</v>
          </cell>
          <cell r="F6790" t="str">
            <v>VB Manual reorder point planning</v>
          </cell>
          <cell r="G6790" t="str">
            <v>HIBE Operating supplies</v>
          </cell>
          <cell r="H6790" t="str">
            <v>EN040     Prinitng &amp;Stationery</v>
          </cell>
          <cell r="I6790" t="str">
            <v>L003 Ankleshwar</v>
          </cell>
          <cell r="J6790" t="str">
            <v>99 Input/Byprodt/Scrap</v>
          </cell>
          <cell r="K6790" t="str">
            <v>10.2012</v>
          </cell>
          <cell r="L6790">
            <v>4</v>
          </cell>
          <cell r="M6790" t="str">
            <v>EA</v>
          </cell>
          <cell r="N6790">
            <v>714.28999999999905</v>
          </cell>
          <cell r="O6790" t="str">
            <v>INR</v>
          </cell>
        </row>
        <row r="6791">
          <cell r="A6791" t="str">
            <v>L003 Ankleshwar</v>
          </cell>
          <cell r="B6791">
            <v>738568</v>
          </cell>
          <cell r="C6791" t="str">
            <v>SAS BOOK FOR INPROCESS OF REC D2AB</v>
          </cell>
          <cell r="D6791" t="str">
            <v>L0030151                       EnggStore</v>
          </cell>
          <cell r="E6791" t="str">
            <v>E01 E01</v>
          </cell>
          <cell r="F6791" t="str">
            <v>VB Manual reorder point planning</v>
          </cell>
          <cell r="G6791" t="str">
            <v>HIBE Operating supplies</v>
          </cell>
          <cell r="H6791" t="str">
            <v>EN040     Prinitng &amp;Stationery</v>
          </cell>
          <cell r="I6791" t="str">
            <v>L003 Ankleshwar</v>
          </cell>
          <cell r="J6791" t="str">
            <v>99 Input/Byprodt/Scrap</v>
          </cell>
          <cell r="K6791" t="str">
            <v>10.2012</v>
          </cell>
          <cell r="L6791">
            <v>8</v>
          </cell>
          <cell r="M6791" t="str">
            <v>EA</v>
          </cell>
          <cell r="N6791">
            <v>1075.2</v>
          </cell>
          <cell r="O6791" t="str">
            <v>INR</v>
          </cell>
        </row>
        <row r="6792">
          <cell r="A6792" t="str">
            <v>L003 Ankleshwar</v>
          </cell>
          <cell r="B6792">
            <v>738570</v>
          </cell>
          <cell r="C6792" t="str">
            <v>SAS BOOK OF INPROCESS OF REC IPA</v>
          </cell>
          <cell r="D6792" t="str">
            <v>L0030151                       EnggStore</v>
          </cell>
          <cell r="E6792" t="str">
            <v>E01 E01</v>
          </cell>
          <cell r="F6792" t="str">
            <v>VB Manual reorder point planning</v>
          </cell>
          <cell r="G6792" t="str">
            <v>HIBE Operating supplies</v>
          </cell>
          <cell r="H6792" t="str">
            <v>EN040     Prinitng &amp;Stationery</v>
          </cell>
          <cell r="I6792" t="str">
            <v>L003 Ankleshwar</v>
          </cell>
          <cell r="J6792" t="str">
            <v>99 Input/Byprodt/Scrap</v>
          </cell>
          <cell r="K6792" t="str">
            <v>10.2012</v>
          </cell>
          <cell r="L6792">
            <v>5</v>
          </cell>
          <cell r="M6792" t="str">
            <v>EA</v>
          </cell>
          <cell r="N6792">
            <v>588.98</v>
          </cell>
          <cell r="O6792" t="str">
            <v>INR</v>
          </cell>
        </row>
        <row r="6793">
          <cell r="A6793" t="str">
            <v>L003 Ankleshwar</v>
          </cell>
          <cell r="B6793">
            <v>738570</v>
          </cell>
          <cell r="C6793" t="str">
            <v>SAS BOOK OF INPROCESS OF REC IPA</v>
          </cell>
          <cell r="D6793" t="str">
            <v>L0030201                       Cons StoreKP</v>
          </cell>
          <cell r="E6793" t="str">
            <v>E01 E01</v>
          </cell>
          <cell r="F6793" t="str">
            <v>VB Manual reorder point planning</v>
          </cell>
          <cell r="G6793" t="str">
            <v>HIBE Operating supplies</v>
          </cell>
          <cell r="H6793" t="str">
            <v>EN040     Prinitng &amp;Stationery</v>
          </cell>
          <cell r="I6793" t="str">
            <v>L003 Ankleshwar</v>
          </cell>
          <cell r="J6793" t="str">
            <v>99 Input/Byprodt/Scrap</v>
          </cell>
          <cell r="K6793" t="str">
            <v>10.2012</v>
          </cell>
          <cell r="L6793">
            <v>1</v>
          </cell>
          <cell r="M6793" t="str">
            <v>EA</v>
          </cell>
          <cell r="N6793">
            <v>117.8</v>
          </cell>
          <cell r="O6793" t="str">
            <v>INR</v>
          </cell>
        </row>
        <row r="6794">
          <cell r="A6794" t="str">
            <v>L003 Ankleshwar</v>
          </cell>
          <cell r="B6794">
            <v>738641</v>
          </cell>
          <cell r="C6794" t="str">
            <v>BSU MASTER DETAILS BOOK</v>
          </cell>
          <cell r="D6794" t="str">
            <v>L0030151                       EnggStore</v>
          </cell>
          <cell r="E6794" t="str">
            <v>E01 E01</v>
          </cell>
          <cell r="F6794" t="str">
            <v>VB Manual reorder point planning</v>
          </cell>
          <cell r="G6794" t="str">
            <v>HIBE Operating supplies</v>
          </cell>
          <cell r="H6794" t="str">
            <v>EN040     Prinitng &amp;Stationery</v>
          </cell>
          <cell r="I6794" t="str">
            <v>L003 Ankleshwar</v>
          </cell>
          <cell r="J6794" t="str">
            <v>99 Input/Byprodt/Scrap</v>
          </cell>
          <cell r="K6794" t="str">
            <v>10.2012</v>
          </cell>
          <cell r="L6794">
            <v>4</v>
          </cell>
          <cell r="M6794" t="str">
            <v>EA</v>
          </cell>
          <cell r="N6794">
            <v>0</v>
          </cell>
          <cell r="O6794" t="str">
            <v>INR</v>
          </cell>
        </row>
        <row r="6795">
          <cell r="A6795" t="str">
            <v>L003 Ankleshwar</v>
          </cell>
          <cell r="B6795">
            <v>738645</v>
          </cell>
          <cell r="C6795" t="str">
            <v>BLENDING &amp; SHIFTING BOOK OF 7ACCA</v>
          </cell>
          <cell r="D6795" t="str">
            <v>L0030201                       Cons StoreKP</v>
          </cell>
          <cell r="E6795" t="str">
            <v>E01 E01</v>
          </cell>
          <cell r="F6795" t="str">
            <v>VB Manual reorder point planning</v>
          </cell>
          <cell r="G6795" t="str">
            <v>HIBE Operating supplies</v>
          </cell>
          <cell r="H6795" t="str">
            <v>EN040     Prinitng &amp;Stationery</v>
          </cell>
          <cell r="I6795" t="str">
            <v>L003 Ankleshwar</v>
          </cell>
          <cell r="J6795" t="str">
            <v>99 Input/Byprodt/Scrap</v>
          </cell>
          <cell r="K6795" t="str">
            <v>10.2012</v>
          </cell>
          <cell r="L6795">
            <v>4</v>
          </cell>
          <cell r="M6795" t="str">
            <v>EA</v>
          </cell>
          <cell r="N6795">
            <v>457.8</v>
          </cell>
          <cell r="O6795" t="str">
            <v>INR</v>
          </cell>
        </row>
        <row r="6796">
          <cell r="A6796" t="str">
            <v>L003 Ankleshwar</v>
          </cell>
          <cell r="B6796">
            <v>738706</v>
          </cell>
          <cell r="C6796" t="str">
            <v>CHS MEOH DIST.AT C-4401 BOOK 7ACCA</v>
          </cell>
          <cell r="D6796" t="str">
            <v>L0030151                       EnggStore</v>
          </cell>
          <cell r="E6796" t="str">
            <v>E01 E01</v>
          </cell>
          <cell r="F6796" t="str">
            <v>VB Manual reorder point planning</v>
          </cell>
          <cell r="G6796" t="str">
            <v>HIBE Operating supplies</v>
          </cell>
          <cell r="H6796" t="str">
            <v>EN040     Prinitng &amp;Stationery</v>
          </cell>
          <cell r="I6796" t="str">
            <v>L003 Ankleshwar</v>
          </cell>
          <cell r="J6796" t="str">
            <v>99 Input/Byprodt/Scrap</v>
          </cell>
          <cell r="K6796" t="str">
            <v>10.2012</v>
          </cell>
          <cell r="L6796">
            <v>6</v>
          </cell>
          <cell r="M6796" t="str">
            <v>EA</v>
          </cell>
          <cell r="N6796">
            <v>0</v>
          </cell>
          <cell r="O6796" t="str">
            <v>INR</v>
          </cell>
        </row>
        <row r="6797">
          <cell r="A6797" t="str">
            <v>L003 Ankleshwar</v>
          </cell>
          <cell r="B6797">
            <v>738708</v>
          </cell>
          <cell r="C6797" t="str">
            <v>PP-104 ANF CLOTH 105" DIA FOR 7ADCA</v>
          </cell>
          <cell r="D6797" t="str">
            <v>L0030151                       EnggStore</v>
          </cell>
          <cell r="E6797" t="str">
            <v>E01 E01</v>
          </cell>
          <cell r="F6797" t="str">
            <v>VB Manual reorder point planning</v>
          </cell>
          <cell r="G6797" t="str">
            <v>HIBE Operating supplies</v>
          </cell>
          <cell r="H6797" t="str">
            <v>EN040     Prinitng &amp;Stationery</v>
          </cell>
          <cell r="I6797" t="str">
            <v>L003 Ankleshwar</v>
          </cell>
          <cell r="J6797" t="str">
            <v>99 Input/Byprodt/Scrap</v>
          </cell>
          <cell r="K6797" t="str">
            <v>10.2012</v>
          </cell>
          <cell r="L6797">
            <v>2</v>
          </cell>
          <cell r="M6797" t="str">
            <v>EA</v>
          </cell>
          <cell r="N6797">
            <v>5228</v>
          </cell>
          <cell r="O6797" t="str">
            <v>INR</v>
          </cell>
        </row>
        <row r="6798">
          <cell r="A6798" t="str">
            <v>L003 Ankleshwar</v>
          </cell>
          <cell r="B6798">
            <v>738754</v>
          </cell>
          <cell r="C6798" t="str">
            <v>CAM ASLY USP-I,TAPDENSITY TESTER:ETD1020</v>
          </cell>
          <cell r="D6798" t="str">
            <v>L0030151                       EnggStore</v>
          </cell>
          <cell r="E6798" t="str">
            <v>E01 E01</v>
          </cell>
          <cell r="F6798" t="str">
            <v>ND No planning</v>
          </cell>
          <cell r="G6798" t="str">
            <v>HIBE Operating supplies</v>
          </cell>
          <cell r="H6798" t="str">
            <v>EN002     QA.Equip&amp;items</v>
          </cell>
          <cell r="I6798" t="str">
            <v>L003 Ankleshwar</v>
          </cell>
          <cell r="J6798" t="str">
            <v>99 Input/Byprodt/Scrap</v>
          </cell>
          <cell r="K6798" t="str">
            <v>10.2012</v>
          </cell>
          <cell r="L6798">
            <v>1</v>
          </cell>
          <cell r="M6798" t="str">
            <v>EA</v>
          </cell>
          <cell r="N6798">
            <v>3376.46</v>
          </cell>
          <cell r="O6798" t="str">
            <v>INR</v>
          </cell>
        </row>
        <row r="6799">
          <cell r="A6799" t="str">
            <v>L003 Ankleshwar</v>
          </cell>
          <cell r="B6799">
            <v>738792</v>
          </cell>
          <cell r="C6799" t="str">
            <v>SAS BOOK FOR REAC MASS PEN G ESTER 7ACCA</v>
          </cell>
          <cell r="D6799" t="str">
            <v>L0030201                       Cons StoreKP</v>
          </cell>
          <cell r="E6799" t="str">
            <v>E01 E01</v>
          </cell>
          <cell r="F6799" t="str">
            <v>VB Manual reorder point planning</v>
          </cell>
          <cell r="G6799" t="str">
            <v>HIBE Operating supplies</v>
          </cell>
          <cell r="H6799" t="str">
            <v>EN040     Prinitng &amp;Stationery</v>
          </cell>
          <cell r="I6799" t="str">
            <v>L003 Ankleshwar</v>
          </cell>
          <cell r="J6799" t="str">
            <v>99 Input/Byprodt/Scrap</v>
          </cell>
          <cell r="K6799" t="str">
            <v>10.2012</v>
          </cell>
          <cell r="L6799">
            <v>3</v>
          </cell>
          <cell r="M6799" t="str">
            <v>EA</v>
          </cell>
          <cell r="N6799">
            <v>567</v>
          </cell>
          <cell r="O6799" t="str">
            <v>INR</v>
          </cell>
        </row>
        <row r="6800">
          <cell r="A6800" t="str">
            <v>L003 Ankleshwar</v>
          </cell>
          <cell r="B6800">
            <v>738793</v>
          </cell>
          <cell r="C6800" t="str">
            <v>SAS BOOK FOR REAC MASS  PGESO 7ACCA</v>
          </cell>
          <cell r="D6800" t="str">
            <v>L0030201                       Cons StoreKP</v>
          </cell>
          <cell r="E6800" t="str">
            <v>E01 E01</v>
          </cell>
          <cell r="F6800" t="str">
            <v>VB Manual reorder point planning</v>
          </cell>
          <cell r="G6800" t="str">
            <v>HIBE Operating supplies</v>
          </cell>
          <cell r="H6800" t="str">
            <v>EN040     Prinitng &amp;Stationery</v>
          </cell>
          <cell r="I6800" t="str">
            <v>L003 Ankleshwar</v>
          </cell>
          <cell r="J6800" t="str">
            <v>99 Input/Byprodt/Scrap</v>
          </cell>
          <cell r="K6800" t="str">
            <v>10.2012</v>
          </cell>
          <cell r="L6800">
            <v>5</v>
          </cell>
          <cell r="M6800" t="str">
            <v>EA</v>
          </cell>
          <cell r="N6800">
            <v>761.25</v>
          </cell>
          <cell r="O6800" t="str">
            <v>INR</v>
          </cell>
        </row>
        <row r="6801">
          <cell r="A6801" t="str">
            <v>L003 Ankleshwar</v>
          </cell>
          <cell r="B6801">
            <v>738794</v>
          </cell>
          <cell r="C6801" t="str">
            <v>SAS BOOK FOR  WET PGESO 7ACCA</v>
          </cell>
          <cell r="D6801" t="str">
            <v>L0030201                       Cons StoreKP</v>
          </cell>
          <cell r="E6801" t="str">
            <v>E01 E01</v>
          </cell>
          <cell r="F6801" t="str">
            <v>VB Manual reorder point planning</v>
          </cell>
          <cell r="G6801" t="str">
            <v>HIBE Operating supplies</v>
          </cell>
          <cell r="H6801" t="str">
            <v>EN040     Prinitng &amp;Stationery</v>
          </cell>
          <cell r="I6801" t="str">
            <v>L003 Ankleshwar</v>
          </cell>
          <cell r="J6801" t="str">
            <v>99 Input/Byprodt/Scrap</v>
          </cell>
          <cell r="K6801" t="str">
            <v>10.2012</v>
          </cell>
          <cell r="L6801">
            <v>3</v>
          </cell>
          <cell r="M6801" t="str">
            <v>EA</v>
          </cell>
          <cell r="N6801">
            <v>567</v>
          </cell>
          <cell r="O6801" t="str">
            <v>INR</v>
          </cell>
        </row>
        <row r="6802">
          <cell r="A6802" t="str">
            <v>L003 Ankleshwar</v>
          </cell>
          <cell r="B6802">
            <v>738795</v>
          </cell>
          <cell r="C6802" t="str">
            <v>SAS BOOK FOR  DEHYDRATED SLURRY 7CCA</v>
          </cell>
          <cell r="D6802" t="str">
            <v>L0030201                       Cons StoreKP</v>
          </cell>
          <cell r="E6802" t="str">
            <v>E01 E01</v>
          </cell>
          <cell r="F6802" t="str">
            <v>VB Manual reorder point planning</v>
          </cell>
          <cell r="G6802" t="str">
            <v>HIBE Operating supplies</v>
          </cell>
          <cell r="H6802" t="str">
            <v>EN040     Prinitng &amp;Stationery</v>
          </cell>
          <cell r="I6802" t="str">
            <v>L003 Ankleshwar</v>
          </cell>
          <cell r="J6802" t="str">
            <v>99 Input/Byprodt/Scrap</v>
          </cell>
          <cell r="K6802" t="str">
            <v>10.2012</v>
          </cell>
          <cell r="L6802">
            <v>4</v>
          </cell>
          <cell r="M6802" t="str">
            <v>EA</v>
          </cell>
          <cell r="N6802">
            <v>399</v>
          </cell>
          <cell r="O6802" t="str">
            <v>INR</v>
          </cell>
        </row>
        <row r="6803">
          <cell r="A6803" t="str">
            <v>L003 Ankleshwar</v>
          </cell>
          <cell r="B6803">
            <v>738796</v>
          </cell>
          <cell r="C6803" t="str">
            <v>SAS BOOK FOR REAC MASS WET AEX 7ACCA</v>
          </cell>
          <cell r="D6803" t="str">
            <v>L0030201                       Cons StoreKP</v>
          </cell>
          <cell r="E6803" t="str">
            <v>E01 E01</v>
          </cell>
          <cell r="F6803" t="str">
            <v>VB Manual reorder point planning</v>
          </cell>
          <cell r="G6803" t="str">
            <v>HIBE Operating supplies</v>
          </cell>
          <cell r="H6803" t="str">
            <v>EN040     Prinitng &amp;Stationery</v>
          </cell>
          <cell r="I6803" t="str">
            <v>L003 Ankleshwar</v>
          </cell>
          <cell r="J6803" t="str">
            <v>99 Input/Byprodt/Scrap</v>
          </cell>
          <cell r="K6803" t="str">
            <v>10.2012</v>
          </cell>
          <cell r="L6803">
            <v>7</v>
          </cell>
          <cell r="M6803" t="str">
            <v>EA</v>
          </cell>
          <cell r="N6803">
            <v>698.25</v>
          </cell>
          <cell r="O6803" t="str">
            <v>INR</v>
          </cell>
        </row>
        <row r="6804">
          <cell r="A6804" t="str">
            <v>L003 Ankleshwar</v>
          </cell>
          <cell r="B6804">
            <v>738797</v>
          </cell>
          <cell r="C6804" t="str">
            <v>SAS BOOK FOR  DRY AEX 7ACCA</v>
          </cell>
          <cell r="D6804" t="str">
            <v>L0030201                       Cons StoreKP</v>
          </cell>
          <cell r="E6804" t="str">
            <v>E01 E01</v>
          </cell>
          <cell r="F6804" t="str">
            <v>VB Manual reorder point planning</v>
          </cell>
          <cell r="G6804" t="str">
            <v>HIBE Operating supplies</v>
          </cell>
          <cell r="H6804" t="str">
            <v>EN040     Prinitng &amp;Stationery</v>
          </cell>
          <cell r="I6804" t="str">
            <v>L003 Ankleshwar</v>
          </cell>
          <cell r="J6804" t="str">
            <v>99 Input/Byprodt/Scrap</v>
          </cell>
          <cell r="K6804" t="str">
            <v>10.2012</v>
          </cell>
          <cell r="L6804">
            <v>10</v>
          </cell>
          <cell r="M6804" t="str">
            <v>EA</v>
          </cell>
          <cell r="N6804">
            <v>997.5</v>
          </cell>
          <cell r="O6804" t="str">
            <v>INR</v>
          </cell>
        </row>
        <row r="6805">
          <cell r="A6805" t="str">
            <v>L003 Ankleshwar</v>
          </cell>
          <cell r="B6805">
            <v>738798</v>
          </cell>
          <cell r="C6805" t="str">
            <v>SAS BOOK FOR REAC MASS  AEN 7ACCA</v>
          </cell>
          <cell r="D6805" t="str">
            <v>L0030151                       EnggStore</v>
          </cell>
          <cell r="E6805" t="str">
            <v>E01 E01</v>
          </cell>
          <cell r="F6805" t="str">
            <v>VB Manual reorder point planning</v>
          </cell>
          <cell r="G6805" t="str">
            <v>HIBE Operating supplies</v>
          </cell>
          <cell r="H6805" t="str">
            <v>EN040     Prinitng &amp;Stationery</v>
          </cell>
          <cell r="I6805" t="str">
            <v>L003 Ankleshwar</v>
          </cell>
          <cell r="J6805" t="str">
            <v>99 Input/Byprodt/Scrap</v>
          </cell>
          <cell r="K6805" t="str">
            <v>10.2012</v>
          </cell>
          <cell r="L6805">
            <v>13</v>
          </cell>
          <cell r="M6805" t="str">
            <v>EA</v>
          </cell>
          <cell r="N6805">
            <v>1454.25</v>
          </cell>
          <cell r="O6805" t="str">
            <v>INR</v>
          </cell>
        </row>
        <row r="6806">
          <cell r="A6806" t="str">
            <v>L003 Ankleshwar</v>
          </cell>
          <cell r="B6806">
            <v>738799</v>
          </cell>
          <cell r="C6806" t="str">
            <v>SAS BOOK  FOR EA+AEX+ACETIC AEN 7ACCA</v>
          </cell>
          <cell r="D6806" t="str">
            <v>L0030201                       Cons StoreKP</v>
          </cell>
          <cell r="E6806" t="str">
            <v>E01 E01</v>
          </cell>
          <cell r="F6806" t="str">
            <v>VB Manual reorder point planning</v>
          </cell>
          <cell r="G6806" t="str">
            <v>HIBE Operating supplies</v>
          </cell>
          <cell r="H6806" t="str">
            <v>EN040     Prinitng &amp;Stationery</v>
          </cell>
          <cell r="I6806" t="str">
            <v>L003 Ankleshwar</v>
          </cell>
          <cell r="J6806" t="str">
            <v>99 Input/Byprodt/Scrap</v>
          </cell>
          <cell r="K6806" t="str">
            <v>10.2012</v>
          </cell>
          <cell r="L6806">
            <v>5</v>
          </cell>
          <cell r="M6806" t="str">
            <v>EA</v>
          </cell>
          <cell r="N6806">
            <v>498.75</v>
          </cell>
          <cell r="O6806" t="str">
            <v>INR</v>
          </cell>
        </row>
        <row r="6807">
          <cell r="A6807" t="str">
            <v>L003 Ankleshwar</v>
          </cell>
          <cell r="B6807">
            <v>738800</v>
          </cell>
          <cell r="C6807" t="str">
            <v>SAS BOOK FOR REAC MASS AEN 7ACCA</v>
          </cell>
          <cell r="D6807" t="str">
            <v>L0030201                       Cons StoreKP</v>
          </cell>
          <cell r="E6807" t="str">
            <v>E01 E01</v>
          </cell>
          <cell r="F6807" t="str">
            <v>VB Manual reorder point planning</v>
          </cell>
          <cell r="G6807" t="str">
            <v>HIBE Operating supplies</v>
          </cell>
          <cell r="H6807" t="str">
            <v>EN040     Prinitng &amp;Stationery</v>
          </cell>
          <cell r="I6807" t="str">
            <v>L003 Ankleshwar</v>
          </cell>
          <cell r="J6807" t="str">
            <v>99 Input/Byprodt/Scrap</v>
          </cell>
          <cell r="K6807" t="str">
            <v>10.2012</v>
          </cell>
          <cell r="L6807">
            <v>6</v>
          </cell>
          <cell r="M6807" t="str">
            <v>EA</v>
          </cell>
          <cell r="N6807">
            <v>598.5</v>
          </cell>
          <cell r="O6807" t="str">
            <v>INR</v>
          </cell>
        </row>
        <row r="6808">
          <cell r="A6808" t="str">
            <v>L003 Ankleshwar</v>
          </cell>
          <cell r="B6808">
            <v>738807</v>
          </cell>
          <cell r="C6808" t="str">
            <v>NITROGEN CYLINDER IOLAR (1CYL.=7CM)</v>
          </cell>
          <cell r="D6808" t="str">
            <v>L0030151                       EnggStore</v>
          </cell>
          <cell r="E6808" t="str">
            <v>E42 E42</v>
          </cell>
          <cell r="F6808" t="str">
            <v>VB Manual reorder point planning</v>
          </cell>
          <cell r="G6808" t="str">
            <v>HIBE Operating supplies</v>
          </cell>
          <cell r="H6808" t="str">
            <v>EN034     LabConsumables</v>
          </cell>
          <cell r="I6808" t="str">
            <v>L003 Ankleshwar</v>
          </cell>
          <cell r="J6808" t="str">
            <v>99 Input/Byprodt/Scrap</v>
          </cell>
          <cell r="K6808" t="str">
            <v>10.2012</v>
          </cell>
          <cell r="L6808">
            <v>49</v>
          </cell>
          <cell r="M6808" t="str">
            <v>M3</v>
          </cell>
          <cell r="N6808">
            <v>2352</v>
          </cell>
          <cell r="O6808" t="str">
            <v>INR</v>
          </cell>
        </row>
        <row r="6809">
          <cell r="A6809" t="str">
            <v>L003 Ankleshwar</v>
          </cell>
          <cell r="B6809">
            <v>738808</v>
          </cell>
          <cell r="C6809" t="str">
            <v>HYDROGEN CYLINDER IOLAR (1CYL.=7CM)</v>
          </cell>
          <cell r="D6809" t="str">
            <v>L0030151                       EnggStore</v>
          </cell>
          <cell r="E6809" t="str">
            <v>E42 E42</v>
          </cell>
          <cell r="F6809" t="str">
            <v>VB Manual reorder point planning</v>
          </cell>
          <cell r="G6809" t="str">
            <v>HIBE Operating supplies</v>
          </cell>
          <cell r="H6809" t="str">
            <v>EN034     LabConsumables</v>
          </cell>
          <cell r="I6809" t="str">
            <v>L003 Ankleshwar</v>
          </cell>
          <cell r="J6809" t="str">
            <v>99 Input/Byprodt/Scrap</v>
          </cell>
          <cell r="K6809" t="str">
            <v>10.2012</v>
          </cell>
          <cell r="L6809">
            <v>84</v>
          </cell>
          <cell r="M6809" t="str">
            <v>M3</v>
          </cell>
          <cell r="N6809">
            <v>4116</v>
          </cell>
          <cell r="O6809" t="str">
            <v>INR</v>
          </cell>
        </row>
        <row r="6810">
          <cell r="A6810" t="str">
            <v>L003 Ankleshwar</v>
          </cell>
          <cell r="B6810">
            <v>738809</v>
          </cell>
          <cell r="C6810" t="str">
            <v>ZERO AIR CYLINDER IOLAR (1CYL.=7CM)</v>
          </cell>
          <cell r="D6810" t="str">
            <v>L0030151                       EnggStore</v>
          </cell>
          <cell r="E6810" t="str">
            <v>E42 E42</v>
          </cell>
          <cell r="F6810" t="str">
            <v>VB Manual reorder point planning</v>
          </cell>
          <cell r="G6810" t="str">
            <v>HIBE Operating supplies</v>
          </cell>
          <cell r="H6810" t="str">
            <v>EN034     LabConsumables</v>
          </cell>
          <cell r="I6810" t="str">
            <v>L003 Ankleshwar</v>
          </cell>
          <cell r="J6810" t="str">
            <v>99 Input/Byprodt/Scrap</v>
          </cell>
          <cell r="K6810" t="str">
            <v>10.2012</v>
          </cell>
          <cell r="L6810">
            <v>91</v>
          </cell>
          <cell r="M6810" t="str">
            <v>M3</v>
          </cell>
          <cell r="N6810">
            <v>5460</v>
          </cell>
          <cell r="O6810" t="str">
            <v>INR</v>
          </cell>
        </row>
        <row r="6811">
          <cell r="A6811" t="str">
            <v>L003 Ankleshwar</v>
          </cell>
          <cell r="B6811">
            <v>738811</v>
          </cell>
          <cell r="C6811" t="str">
            <v>SAS BOOK FOR  WET AEN 7ACCA</v>
          </cell>
          <cell r="D6811" t="str">
            <v>L0030201                       Cons StoreKP</v>
          </cell>
          <cell r="E6811" t="str">
            <v>E01 E01</v>
          </cell>
          <cell r="F6811" t="str">
            <v>VB Manual reorder point planning</v>
          </cell>
          <cell r="G6811" t="str">
            <v>HIBE Operating supplies</v>
          </cell>
          <cell r="H6811" t="str">
            <v>EN040     Prinitng &amp;Stationery</v>
          </cell>
          <cell r="I6811" t="str">
            <v>L003 Ankleshwar</v>
          </cell>
          <cell r="J6811" t="str">
            <v>99 Input/Byprodt/Scrap</v>
          </cell>
          <cell r="K6811" t="str">
            <v>10.2012</v>
          </cell>
          <cell r="L6811">
            <v>3</v>
          </cell>
          <cell r="M6811" t="str">
            <v>EA</v>
          </cell>
          <cell r="N6811">
            <v>567</v>
          </cell>
          <cell r="O6811" t="str">
            <v>INR</v>
          </cell>
        </row>
        <row r="6812">
          <cell r="A6812" t="str">
            <v>L003 Ankleshwar</v>
          </cell>
          <cell r="B6812">
            <v>738813</v>
          </cell>
          <cell r="C6812" t="str">
            <v>SAS BOOK FOR REAC MASS CHLORO 7ACCA</v>
          </cell>
          <cell r="D6812" t="str">
            <v>L0030151                       EnggStore</v>
          </cell>
          <cell r="E6812" t="str">
            <v>E01 E01</v>
          </cell>
          <cell r="F6812" t="str">
            <v>VB Manual reorder point planning</v>
          </cell>
          <cell r="G6812" t="str">
            <v>HIBE Operating supplies</v>
          </cell>
          <cell r="H6812" t="str">
            <v>EN040     Prinitng &amp;Stationery</v>
          </cell>
          <cell r="I6812" t="str">
            <v>L003 Ankleshwar</v>
          </cell>
          <cell r="J6812" t="str">
            <v>99 Input/Byprodt/Scrap</v>
          </cell>
          <cell r="K6812" t="str">
            <v>10.2012</v>
          </cell>
          <cell r="L6812">
            <v>17</v>
          </cell>
          <cell r="M6812" t="str">
            <v>EA</v>
          </cell>
          <cell r="N6812">
            <v>1606.5</v>
          </cell>
          <cell r="O6812" t="str">
            <v>INR</v>
          </cell>
        </row>
        <row r="6813">
          <cell r="A6813" t="str">
            <v>L003 Ankleshwar</v>
          </cell>
          <cell r="B6813">
            <v>738818</v>
          </cell>
          <cell r="C6813" t="str">
            <v>SAS BOOK FOR PER ACETIC ACID AEX 7ACCA</v>
          </cell>
          <cell r="D6813" t="str">
            <v>L0030151                       EnggStore</v>
          </cell>
          <cell r="E6813" t="str">
            <v>E01 E01</v>
          </cell>
          <cell r="F6813" t="str">
            <v>VB Manual reorder point planning</v>
          </cell>
          <cell r="G6813" t="str">
            <v>HIBE Operating supplies</v>
          </cell>
          <cell r="H6813" t="str">
            <v>EN040     Prinitng &amp;Stationery</v>
          </cell>
          <cell r="I6813" t="str">
            <v>L003 Ankleshwar</v>
          </cell>
          <cell r="J6813" t="str">
            <v>99 Input/Byprodt/Scrap</v>
          </cell>
          <cell r="K6813" t="str">
            <v>10.2012</v>
          </cell>
          <cell r="L6813">
            <v>4</v>
          </cell>
          <cell r="M6813" t="str">
            <v>EA</v>
          </cell>
          <cell r="N6813">
            <v>409</v>
          </cell>
          <cell r="O6813" t="str">
            <v>INR</v>
          </cell>
        </row>
        <row r="6814">
          <cell r="A6814" t="str">
            <v>L003 Ankleshwar</v>
          </cell>
          <cell r="B6814">
            <v>738818</v>
          </cell>
          <cell r="C6814" t="str">
            <v>SAS BOOK FOR PER ACETIC ACID AEX 7ACCA</v>
          </cell>
          <cell r="D6814" t="str">
            <v>L0030201                       Cons StoreKP</v>
          </cell>
          <cell r="E6814" t="str">
            <v>E01 E01</v>
          </cell>
          <cell r="F6814" t="str">
            <v>VB Manual reorder point planning</v>
          </cell>
          <cell r="G6814" t="str">
            <v>HIBE Operating supplies</v>
          </cell>
          <cell r="H6814" t="str">
            <v>EN040     Prinitng &amp;Stationery</v>
          </cell>
          <cell r="I6814" t="str">
            <v>L003 Ankleshwar</v>
          </cell>
          <cell r="J6814" t="str">
            <v>99 Input/Byprodt/Scrap</v>
          </cell>
          <cell r="K6814" t="str">
            <v>10.2012</v>
          </cell>
          <cell r="L6814">
            <v>10</v>
          </cell>
          <cell r="M6814" t="str">
            <v>EA</v>
          </cell>
          <cell r="N6814">
            <v>1022.5</v>
          </cell>
          <cell r="O6814" t="str">
            <v>INR</v>
          </cell>
        </row>
        <row r="6815">
          <cell r="A6815" t="str">
            <v>L003 Ankleshwar</v>
          </cell>
          <cell r="B6815">
            <v>738820</v>
          </cell>
          <cell r="C6815" t="str">
            <v>SAS BOOK FOR REC.MEOH PGESO 7ACCA</v>
          </cell>
          <cell r="D6815" t="str">
            <v>L0030201                       Cons StoreKP</v>
          </cell>
          <cell r="E6815" t="str">
            <v>E01 E01</v>
          </cell>
          <cell r="F6815" t="str">
            <v>VB Manual reorder point planning</v>
          </cell>
          <cell r="G6815" t="str">
            <v>HIBE Operating supplies</v>
          </cell>
          <cell r="H6815" t="str">
            <v>EN040     Prinitng &amp;Stationery</v>
          </cell>
          <cell r="I6815" t="str">
            <v>L003 Ankleshwar</v>
          </cell>
          <cell r="J6815" t="str">
            <v>99 Input/Byprodt/Scrap</v>
          </cell>
          <cell r="K6815" t="str">
            <v>10.2012</v>
          </cell>
          <cell r="L6815">
            <v>3</v>
          </cell>
          <cell r="M6815" t="str">
            <v>EA</v>
          </cell>
          <cell r="N6815">
            <v>567</v>
          </cell>
          <cell r="O6815" t="str">
            <v>INR</v>
          </cell>
        </row>
        <row r="6816">
          <cell r="A6816" t="str">
            <v>L003 Ankleshwar</v>
          </cell>
          <cell r="B6816">
            <v>738821</v>
          </cell>
          <cell r="C6816" t="str">
            <v>SAS BOOK FOR  REC.MEOH  AEX 7ACCA</v>
          </cell>
          <cell r="D6816" t="str">
            <v>L0030201                       Cons StoreKP</v>
          </cell>
          <cell r="E6816" t="str">
            <v>E01 E01</v>
          </cell>
          <cell r="F6816" t="str">
            <v>VB Manual reorder point planning</v>
          </cell>
          <cell r="G6816" t="str">
            <v>HIBE Operating supplies</v>
          </cell>
          <cell r="H6816" t="str">
            <v>EN040     Prinitng &amp;Stationery</v>
          </cell>
          <cell r="I6816" t="str">
            <v>L003 Ankleshwar</v>
          </cell>
          <cell r="J6816" t="str">
            <v>99 Input/Byprodt/Scrap</v>
          </cell>
          <cell r="K6816" t="str">
            <v>10.2012</v>
          </cell>
          <cell r="L6816">
            <v>3</v>
          </cell>
          <cell r="M6816" t="str">
            <v>EA</v>
          </cell>
          <cell r="N6816">
            <v>567</v>
          </cell>
          <cell r="O6816" t="str">
            <v>INR</v>
          </cell>
        </row>
        <row r="6817">
          <cell r="A6817" t="str">
            <v>L003 Ankleshwar</v>
          </cell>
          <cell r="B6817">
            <v>738822</v>
          </cell>
          <cell r="C6817" t="str">
            <v>SAS BOOK FOR REC,TOLOUNE AEX 7ACCA</v>
          </cell>
          <cell r="D6817" t="str">
            <v>L0030151                       EnggStore</v>
          </cell>
          <cell r="E6817" t="str">
            <v>E01 E01</v>
          </cell>
          <cell r="F6817" t="str">
            <v>VB Manual reorder point planning</v>
          </cell>
          <cell r="G6817" t="str">
            <v>HIBE Operating supplies</v>
          </cell>
          <cell r="H6817" t="str">
            <v>EN040     Prinitng &amp;Stationery</v>
          </cell>
          <cell r="I6817" t="str">
            <v>L003 Ankleshwar</v>
          </cell>
          <cell r="J6817" t="str">
            <v>99 Input/Byprodt/Scrap</v>
          </cell>
          <cell r="K6817" t="str">
            <v>10.2012</v>
          </cell>
          <cell r="L6817">
            <v>3</v>
          </cell>
          <cell r="M6817" t="str">
            <v>EA</v>
          </cell>
          <cell r="N6817">
            <v>567</v>
          </cell>
          <cell r="O6817" t="str">
            <v>INR</v>
          </cell>
        </row>
        <row r="6818">
          <cell r="A6818" t="str">
            <v>L003 Ankleshwar</v>
          </cell>
          <cell r="B6818">
            <v>738824</v>
          </cell>
          <cell r="C6818" t="str">
            <v>SAS BOOK FOR  MAIN CUT EA-AEN 7ACCA</v>
          </cell>
          <cell r="D6818" t="str">
            <v>L0030151                       EnggStore</v>
          </cell>
          <cell r="E6818" t="str">
            <v>E01 E01</v>
          </cell>
          <cell r="F6818" t="str">
            <v>VB Manual reorder point planning</v>
          </cell>
          <cell r="G6818" t="str">
            <v>HIBE Operating supplies</v>
          </cell>
          <cell r="H6818" t="str">
            <v>EN040     Prinitng &amp;Stationery</v>
          </cell>
          <cell r="I6818" t="str">
            <v>L003 Ankleshwar</v>
          </cell>
          <cell r="J6818" t="str">
            <v>99 Input/Byprodt/Scrap</v>
          </cell>
          <cell r="K6818" t="str">
            <v>10.2012</v>
          </cell>
          <cell r="L6818">
            <v>10</v>
          </cell>
          <cell r="M6818" t="str">
            <v>EA</v>
          </cell>
          <cell r="N6818">
            <v>997.5</v>
          </cell>
          <cell r="O6818" t="str">
            <v>INR</v>
          </cell>
        </row>
        <row r="6819">
          <cell r="A6819" t="str">
            <v>L003 Ankleshwar</v>
          </cell>
          <cell r="B6819">
            <v>738827</v>
          </cell>
          <cell r="C6819" t="str">
            <v>SAS BOOK FOR  REC.MEOH CRUDE 7ACCA</v>
          </cell>
          <cell r="D6819" t="str">
            <v>L0030151                       EnggStore</v>
          </cell>
          <cell r="E6819" t="str">
            <v>E01 E01</v>
          </cell>
          <cell r="F6819" t="str">
            <v>VB Manual reorder point planning</v>
          </cell>
          <cell r="G6819" t="str">
            <v>HIBE Operating supplies</v>
          </cell>
          <cell r="H6819" t="str">
            <v>EN040     Prinitng &amp;Stationery</v>
          </cell>
          <cell r="I6819" t="str">
            <v>L003 Ankleshwar</v>
          </cell>
          <cell r="J6819" t="str">
            <v>99 Input/Byprodt/Scrap</v>
          </cell>
          <cell r="K6819" t="str">
            <v>10.2012</v>
          </cell>
          <cell r="L6819">
            <v>1</v>
          </cell>
          <cell r="M6819" t="str">
            <v>EA</v>
          </cell>
          <cell r="N6819">
            <v>100.55</v>
          </cell>
          <cell r="O6819" t="str">
            <v>INR</v>
          </cell>
        </row>
        <row r="6820">
          <cell r="A6820" t="str">
            <v>L003 Ankleshwar</v>
          </cell>
          <cell r="B6820">
            <v>738827</v>
          </cell>
          <cell r="C6820" t="str">
            <v>SAS BOOK FOR  REC.MEOH CRUDE 7ACCA</v>
          </cell>
          <cell r="D6820" t="str">
            <v>L0030201                       Cons StoreKP</v>
          </cell>
          <cell r="E6820" t="str">
            <v>E01 E01</v>
          </cell>
          <cell r="F6820" t="str">
            <v>VB Manual reorder point planning</v>
          </cell>
          <cell r="G6820" t="str">
            <v>HIBE Operating supplies</v>
          </cell>
          <cell r="H6820" t="str">
            <v>EN040     Prinitng &amp;Stationery</v>
          </cell>
          <cell r="I6820" t="str">
            <v>L003 Ankleshwar</v>
          </cell>
          <cell r="J6820" t="str">
            <v>99 Input/Byprodt/Scrap</v>
          </cell>
          <cell r="K6820" t="str">
            <v>10.2012</v>
          </cell>
          <cell r="L6820">
            <v>5</v>
          </cell>
          <cell r="M6820" t="str">
            <v>EA</v>
          </cell>
          <cell r="N6820">
            <v>502.72</v>
          </cell>
          <cell r="O6820" t="str">
            <v>INR</v>
          </cell>
        </row>
        <row r="6821">
          <cell r="A6821" t="str">
            <v>L003 Ankleshwar</v>
          </cell>
          <cell r="B6821">
            <v>738829</v>
          </cell>
          <cell r="C6821" t="str">
            <v>SAS BOOK FOR REC.MECL2 CHLORO 7ACCA</v>
          </cell>
          <cell r="D6821" t="str">
            <v>L0030151                       EnggStore</v>
          </cell>
          <cell r="E6821" t="str">
            <v>E01 E01</v>
          </cell>
          <cell r="F6821" t="str">
            <v>VB Manual reorder point planning</v>
          </cell>
          <cell r="G6821" t="str">
            <v>HIBE Operating supplies</v>
          </cell>
          <cell r="H6821" t="str">
            <v>EN040     Prinitng &amp;Stationery</v>
          </cell>
          <cell r="I6821" t="str">
            <v>L003 Ankleshwar</v>
          </cell>
          <cell r="J6821" t="str">
            <v>99 Input/Byprodt/Scrap</v>
          </cell>
          <cell r="K6821" t="str">
            <v>10.2012</v>
          </cell>
          <cell r="L6821">
            <v>10</v>
          </cell>
          <cell r="M6821" t="str">
            <v>EA</v>
          </cell>
          <cell r="N6821">
            <v>945</v>
          </cell>
          <cell r="O6821" t="str">
            <v>INR</v>
          </cell>
        </row>
        <row r="6822">
          <cell r="A6822" t="str">
            <v>L003 Ankleshwar</v>
          </cell>
          <cell r="B6822">
            <v>738834</v>
          </cell>
          <cell r="C6822" t="str">
            <v>SAS BOOK REAC.AFTER TMP ADD AEN 7ACCA</v>
          </cell>
          <cell r="D6822" t="str">
            <v>L0030151                       EnggStore</v>
          </cell>
          <cell r="E6822" t="str">
            <v>E01 E01</v>
          </cell>
          <cell r="F6822" t="str">
            <v>VB Manual reorder point planning</v>
          </cell>
          <cell r="G6822" t="str">
            <v>HIBE Operating supplies</v>
          </cell>
          <cell r="H6822" t="str">
            <v>EN040     Prinitng &amp;Stationery</v>
          </cell>
          <cell r="I6822" t="str">
            <v>L003 Ankleshwar</v>
          </cell>
          <cell r="J6822" t="str">
            <v>99 Input/Byprodt/Scrap</v>
          </cell>
          <cell r="K6822" t="str">
            <v>10.2012</v>
          </cell>
          <cell r="L6822">
            <v>2</v>
          </cell>
          <cell r="M6822" t="str">
            <v>EA</v>
          </cell>
          <cell r="N6822">
            <v>209.86</v>
          </cell>
          <cell r="O6822" t="str">
            <v>INR</v>
          </cell>
        </row>
        <row r="6823">
          <cell r="A6823" t="str">
            <v>L003 Ankleshwar</v>
          </cell>
          <cell r="B6823">
            <v>738834</v>
          </cell>
          <cell r="C6823" t="str">
            <v>SAS BOOK REAC.AFTER TMP ADD AEN 7ACCA</v>
          </cell>
          <cell r="D6823" t="str">
            <v>L0030201                       Cons StoreKP</v>
          </cell>
          <cell r="E6823" t="str">
            <v>E01 E01</v>
          </cell>
          <cell r="F6823" t="str">
            <v>VB Manual reorder point planning</v>
          </cell>
          <cell r="G6823" t="str">
            <v>HIBE Operating supplies</v>
          </cell>
          <cell r="H6823" t="str">
            <v>EN040     Prinitng &amp;Stationery</v>
          </cell>
          <cell r="I6823" t="str">
            <v>L003 Ankleshwar</v>
          </cell>
          <cell r="J6823" t="str">
            <v>99 Input/Byprodt/Scrap</v>
          </cell>
          <cell r="K6823" t="str">
            <v>10.2012</v>
          </cell>
          <cell r="L6823">
            <v>7</v>
          </cell>
          <cell r="M6823" t="str">
            <v>EA</v>
          </cell>
          <cell r="N6823">
            <v>734.51999999999896</v>
          </cell>
          <cell r="O6823" t="str">
            <v>INR</v>
          </cell>
        </row>
        <row r="6824">
          <cell r="A6824" t="str">
            <v>L003 Ankleshwar</v>
          </cell>
          <cell r="B6824">
            <v>738835</v>
          </cell>
          <cell r="C6824" t="str">
            <v>SAS BOOK FOR DRY AEX 7ACCA</v>
          </cell>
          <cell r="D6824" t="str">
            <v>L0030201                       Cons StoreKP</v>
          </cell>
          <cell r="E6824" t="str">
            <v>E01 E01</v>
          </cell>
          <cell r="F6824" t="str">
            <v>VB Manual reorder point planning</v>
          </cell>
          <cell r="G6824" t="str">
            <v>HIBE Operating supplies</v>
          </cell>
          <cell r="H6824" t="str">
            <v>EN040     Prinitng &amp;Stationery</v>
          </cell>
          <cell r="I6824" t="str">
            <v>L003 Ankleshwar</v>
          </cell>
          <cell r="J6824" t="str">
            <v>99 Input/Byprodt/Scrap</v>
          </cell>
          <cell r="K6824" t="str">
            <v>10.2012</v>
          </cell>
          <cell r="L6824">
            <v>10</v>
          </cell>
          <cell r="M6824" t="str">
            <v>EA</v>
          </cell>
          <cell r="N6824">
            <v>997.5</v>
          </cell>
          <cell r="O6824" t="str">
            <v>INR</v>
          </cell>
        </row>
        <row r="6825">
          <cell r="A6825" t="str">
            <v>L003 Ankleshwar</v>
          </cell>
          <cell r="B6825">
            <v>738836</v>
          </cell>
          <cell r="C6825" t="str">
            <v>SAS BOOK  FOR DRY 7ACCA 7ACCA</v>
          </cell>
          <cell r="D6825" t="str">
            <v>L0030201                       Cons StoreKP</v>
          </cell>
          <cell r="E6825" t="str">
            <v>E01 E01</v>
          </cell>
          <cell r="F6825" t="str">
            <v>VB Manual reorder point planning</v>
          </cell>
          <cell r="G6825" t="str">
            <v>HIBE Operating supplies</v>
          </cell>
          <cell r="H6825" t="str">
            <v>EN040     Prinitng &amp;Stationery</v>
          </cell>
          <cell r="I6825" t="str">
            <v>L003 Ankleshwar</v>
          </cell>
          <cell r="J6825" t="str">
            <v>99 Input/Byprodt/Scrap</v>
          </cell>
          <cell r="K6825" t="str">
            <v>10.2012</v>
          </cell>
          <cell r="L6825">
            <v>8</v>
          </cell>
          <cell r="M6825" t="str">
            <v>EA</v>
          </cell>
          <cell r="N6825">
            <v>907.2</v>
          </cell>
          <cell r="O6825" t="str">
            <v>INR</v>
          </cell>
        </row>
        <row r="6826">
          <cell r="A6826" t="str">
            <v>L003 Ankleshwar</v>
          </cell>
          <cell r="B6826">
            <v>738838</v>
          </cell>
          <cell r="C6826" t="str">
            <v>SAS BOOK FOR REC.EA AEN 7ACCA</v>
          </cell>
          <cell r="D6826" t="str">
            <v>L0030151                       EnggStore</v>
          </cell>
          <cell r="E6826" t="str">
            <v>E01 E01</v>
          </cell>
          <cell r="F6826" t="str">
            <v>VB Manual reorder point planning</v>
          </cell>
          <cell r="G6826" t="str">
            <v>HIBE Operating supplies</v>
          </cell>
          <cell r="H6826" t="str">
            <v>EN040     Prinitng &amp;Stationery</v>
          </cell>
          <cell r="I6826" t="str">
            <v>L003 Ankleshwar</v>
          </cell>
          <cell r="J6826" t="str">
            <v>99 Input/Byprodt/Scrap</v>
          </cell>
          <cell r="K6826" t="str">
            <v>10.2012</v>
          </cell>
          <cell r="L6826">
            <v>2</v>
          </cell>
          <cell r="M6826" t="str">
            <v>EA</v>
          </cell>
          <cell r="N6826">
            <v>241.12</v>
          </cell>
          <cell r="O6826" t="str">
            <v>INR</v>
          </cell>
        </row>
        <row r="6827">
          <cell r="A6827" t="str">
            <v>L003 Ankleshwar</v>
          </cell>
          <cell r="B6827">
            <v>738838</v>
          </cell>
          <cell r="C6827" t="str">
            <v>SAS BOOK FOR REC.EA AEN 7ACCA</v>
          </cell>
          <cell r="D6827" t="str">
            <v>L0030201                       Cons StoreKP</v>
          </cell>
          <cell r="E6827" t="str">
            <v>E01 E01</v>
          </cell>
          <cell r="F6827" t="str">
            <v>VB Manual reorder point planning</v>
          </cell>
          <cell r="G6827" t="str">
            <v>HIBE Operating supplies</v>
          </cell>
          <cell r="H6827" t="str">
            <v>EN040     Prinitng &amp;Stationery</v>
          </cell>
          <cell r="I6827" t="str">
            <v>L003 Ankleshwar</v>
          </cell>
          <cell r="J6827" t="str">
            <v>99 Input/Byprodt/Scrap</v>
          </cell>
          <cell r="K6827" t="str">
            <v>10.2012</v>
          </cell>
          <cell r="L6827">
            <v>1</v>
          </cell>
          <cell r="M6827" t="str">
            <v>EA</v>
          </cell>
          <cell r="N6827">
            <v>120.56</v>
          </cell>
          <cell r="O6827" t="str">
            <v>INR</v>
          </cell>
        </row>
        <row r="6828">
          <cell r="A6828" t="str">
            <v>L003 Ankleshwar</v>
          </cell>
          <cell r="B6828">
            <v>738858</v>
          </cell>
          <cell r="C6828" t="str">
            <v>SIEVE,SS316, SIFTER,30X 10MESH</v>
          </cell>
          <cell r="D6828" t="str">
            <v>L0030151                       EnggStore</v>
          </cell>
          <cell r="E6828" t="str">
            <v>E42 E42</v>
          </cell>
          <cell r="F6828" t="str">
            <v>VB Manual reorder point planning</v>
          </cell>
          <cell r="G6828" t="str">
            <v>HIBE Operating supplies</v>
          </cell>
          <cell r="H6828" t="str">
            <v>EN027     Prod&amp;OtherConsumable</v>
          </cell>
          <cell r="I6828" t="str">
            <v>L003 Ankleshwar</v>
          </cell>
          <cell r="J6828" t="str">
            <v>99 Input/Byprodt/Scrap</v>
          </cell>
          <cell r="K6828" t="str">
            <v>10.2012</v>
          </cell>
          <cell r="L6828">
            <v>3</v>
          </cell>
          <cell r="M6828" t="str">
            <v>EA</v>
          </cell>
          <cell r="N6828">
            <v>4950</v>
          </cell>
          <cell r="O6828" t="str">
            <v>INR</v>
          </cell>
        </row>
        <row r="6829">
          <cell r="A6829" t="str">
            <v>L003 Ankleshwar</v>
          </cell>
          <cell r="B6829">
            <v>738859</v>
          </cell>
          <cell r="C6829" t="str">
            <v>HOSE PIPE,PVC,TRANSPARENT, - 25MM ID</v>
          </cell>
          <cell r="D6829" t="str">
            <v>L0030151                       EnggStore</v>
          </cell>
          <cell r="E6829" t="str">
            <v>E42 E42</v>
          </cell>
          <cell r="F6829" t="str">
            <v>VB Manual reorder point planning</v>
          </cell>
          <cell r="G6829" t="str">
            <v>HIBE Operating supplies</v>
          </cell>
          <cell r="H6829" t="str">
            <v>EN027     Prod&amp;OtherConsumable</v>
          </cell>
          <cell r="I6829" t="str">
            <v>L003 Ankleshwar</v>
          </cell>
          <cell r="J6829" t="str">
            <v>99 Input/Byprodt/Scrap</v>
          </cell>
          <cell r="K6829" t="str">
            <v>10.2012</v>
          </cell>
          <cell r="L6829">
            <v>40</v>
          </cell>
          <cell r="M6829" t="str">
            <v>KG</v>
          </cell>
          <cell r="N6829">
            <v>4600</v>
          </cell>
          <cell r="O6829" t="str">
            <v>INR</v>
          </cell>
        </row>
        <row r="6830">
          <cell r="A6830" t="str">
            <v>L003 Ankleshwar</v>
          </cell>
          <cell r="B6830">
            <v>738865</v>
          </cell>
          <cell r="C6830" t="str">
            <v>SS-316 COUPLER MALE &amp; FEMALE SIZE:2"</v>
          </cell>
          <cell r="D6830" t="str">
            <v>L0030151                       EnggStore</v>
          </cell>
          <cell r="E6830" t="str">
            <v>E01 E01</v>
          </cell>
          <cell r="F6830" t="str">
            <v>ND No planning</v>
          </cell>
          <cell r="G6830" t="str">
            <v>HIBE Operating supplies</v>
          </cell>
          <cell r="H6830" t="str">
            <v>EN027     Prod&amp;OtherConsumable</v>
          </cell>
          <cell r="I6830" t="str">
            <v>L003 Ankleshwar</v>
          </cell>
          <cell r="J6830" t="str">
            <v>99 Input/Byprodt/Scrap</v>
          </cell>
          <cell r="K6830" t="str">
            <v>10.2012</v>
          </cell>
          <cell r="L6830">
            <v>3</v>
          </cell>
          <cell r="M6830" t="str">
            <v>EA</v>
          </cell>
          <cell r="N6830">
            <v>6680.43</v>
          </cell>
          <cell r="O6830" t="str">
            <v>INR</v>
          </cell>
        </row>
        <row r="6831">
          <cell r="A6831" t="str">
            <v>L003 Ankleshwar</v>
          </cell>
          <cell r="B6831">
            <v>738869</v>
          </cell>
          <cell r="C6831" t="str">
            <v>SS 316 SIFTER SIEVE 20 MESH,30"LEAD FREE</v>
          </cell>
          <cell r="D6831" t="str">
            <v>L0030151                       EnggStore</v>
          </cell>
          <cell r="E6831" t="str">
            <v>E01 E01</v>
          </cell>
          <cell r="F6831" t="str">
            <v>ND No planning</v>
          </cell>
          <cell r="G6831" t="str">
            <v>HIBE Operating supplies</v>
          </cell>
          <cell r="H6831" t="str">
            <v>EN027     Prod&amp;OtherConsumable</v>
          </cell>
          <cell r="I6831" t="str">
            <v>L003 Ankleshwar</v>
          </cell>
          <cell r="J6831" t="str">
            <v>99 Input/Byprodt/Scrap</v>
          </cell>
          <cell r="K6831" t="str">
            <v>10.2012</v>
          </cell>
          <cell r="L6831">
            <v>6</v>
          </cell>
          <cell r="M6831" t="str">
            <v>EA</v>
          </cell>
          <cell r="N6831">
            <v>18085.299999999901</v>
          </cell>
          <cell r="O6831" t="str">
            <v>INR</v>
          </cell>
        </row>
        <row r="6832">
          <cell r="A6832" t="str">
            <v>L003 Ankleshwar</v>
          </cell>
          <cell r="B6832">
            <v>738891</v>
          </cell>
          <cell r="C6832" t="str">
            <v>MUG,SS,CAP. 1LTR.</v>
          </cell>
          <cell r="D6832" t="str">
            <v>L0030151                       EnggStore</v>
          </cell>
          <cell r="E6832" t="str">
            <v>E42 E42</v>
          </cell>
          <cell r="F6832" t="str">
            <v>VB Manual reorder point planning</v>
          </cell>
          <cell r="G6832" t="str">
            <v>HIBE Operating supplies</v>
          </cell>
          <cell r="H6832" t="str">
            <v>EN027     Prod&amp;OtherConsumable</v>
          </cell>
          <cell r="I6832" t="str">
            <v>L003 Ankleshwar</v>
          </cell>
          <cell r="J6832" t="str">
            <v>99 Input/Byprodt/Scrap</v>
          </cell>
          <cell r="K6832" t="str">
            <v>10.2012</v>
          </cell>
          <cell r="L6832">
            <v>8</v>
          </cell>
          <cell r="M6832" t="str">
            <v>EA</v>
          </cell>
          <cell r="N6832">
            <v>560.80999999999904</v>
          </cell>
          <cell r="O6832" t="str">
            <v>INR</v>
          </cell>
        </row>
        <row r="6833">
          <cell r="A6833" t="str">
            <v>L003 Ankleshwar</v>
          </cell>
          <cell r="B6833">
            <v>738891</v>
          </cell>
          <cell r="C6833" t="str">
            <v>MUG,SS,CAP. 1LTR.</v>
          </cell>
          <cell r="D6833" t="str">
            <v>L0030201                       Cons StoreKP</v>
          </cell>
          <cell r="E6833" t="str">
            <v>E42 E42</v>
          </cell>
          <cell r="F6833" t="str">
            <v>VB Manual reorder point planning</v>
          </cell>
          <cell r="G6833" t="str">
            <v>HIBE Operating supplies</v>
          </cell>
          <cell r="H6833" t="str">
            <v>EN027     Prod&amp;OtherConsumable</v>
          </cell>
          <cell r="I6833" t="str">
            <v>L003 Ankleshwar</v>
          </cell>
          <cell r="J6833" t="str">
            <v>99 Input/Byprodt/Scrap</v>
          </cell>
          <cell r="K6833" t="str">
            <v>10.2012</v>
          </cell>
          <cell r="L6833">
            <v>1</v>
          </cell>
          <cell r="M6833" t="str">
            <v>EA</v>
          </cell>
          <cell r="N6833">
            <v>70.099999999999895</v>
          </cell>
          <cell r="O6833" t="str">
            <v>INR</v>
          </cell>
        </row>
        <row r="6834">
          <cell r="A6834" t="str">
            <v>L003 Ankleshwar</v>
          </cell>
          <cell r="B6834">
            <v>738892</v>
          </cell>
          <cell r="C6834" t="str">
            <v>MS CHAIN FOR CYLINDER</v>
          </cell>
          <cell r="D6834" t="str">
            <v>L0030151                       EnggStore</v>
          </cell>
          <cell r="E6834" t="str">
            <v>E01 E01</v>
          </cell>
          <cell r="F6834" t="str">
            <v>ND No planning</v>
          </cell>
          <cell r="G6834" t="str">
            <v>HIBE Operating supplies</v>
          </cell>
          <cell r="H6834" t="str">
            <v>EN024     EnggConsumables</v>
          </cell>
          <cell r="I6834" t="str">
            <v>L003 Ankleshwar</v>
          </cell>
          <cell r="J6834" t="str">
            <v>99 Input/Byprodt/Scrap</v>
          </cell>
          <cell r="K6834" t="str">
            <v>10.2012</v>
          </cell>
          <cell r="L6834">
            <v>19</v>
          </cell>
          <cell r="M6834" t="str">
            <v>M</v>
          </cell>
          <cell r="N6834">
            <v>1356.3599999999899</v>
          </cell>
          <cell r="O6834" t="str">
            <v>INR</v>
          </cell>
        </row>
        <row r="6835">
          <cell r="A6835" t="str">
            <v>L003 Ankleshwar</v>
          </cell>
          <cell r="B6835">
            <v>738893</v>
          </cell>
          <cell r="C6835" t="str">
            <v>STRAINER ION EXCHANGEC.NO 6-70005</v>
          </cell>
          <cell r="D6835" t="str">
            <v>L0030151                       EnggStore</v>
          </cell>
          <cell r="E6835" t="str">
            <v>E42 E42</v>
          </cell>
          <cell r="F6835" t="str">
            <v>VB Manual reorder point planning</v>
          </cell>
          <cell r="G6835" t="str">
            <v>HIBE Operating supplies</v>
          </cell>
          <cell r="H6835" t="str">
            <v>EN027     Prod&amp;OtherConsumable</v>
          </cell>
          <cell r="I6835" t="str">
            <v>L003 Ankleshwar</v>
          </cell>
          <cell r="J6835" t="str">
            <v>99 Input/Byprodt/Scrap</v>
          </cell>
          <cell r="K6835" t="str">
            <v>10.2012</v>
          </cell>
          <cell r="L6835">
            <v>95</v>
          </cell>
          <cell r="M6835" t="str">
            <v>EA</v>
          </cell>
          <cell r="N6835">
            <v>6154.59</v>
          </cell>
          <cell r="O6835" t="str">
            <v>INR</v>
          </cell>
        </row>
        <row r="6836">
          <cell r="A6836" t="str">
            <v>L003 Ankleshwar</v>
          </cell>
          <cell r="B6836">
            <v>738894</v>
          </cell>
          <cell r="C6836" t="str">
            <v>PP/DP-900 [S] FILTER PAD 19"FOR TA</v>
          </cell>
          <cell r="D6836" t="str">
            <v>L0030151                       EnggStore</v>
          </cell>
          <cell r="E6836" t="str">
            <v>E42 E42</v>
          </cell>
          <cell r="F6836" t="str">
            <v>VB Manual reorder point planning</v>
          </cell>
          <cell r="G6836" t="str">
            <v>HIBE Operating supplies</v>
          </cell>
          <cell r="H6836" t="str">
            <v>EN027     Prod&amp;OtherConsumable</v>
          </cell>
          <cell r="I6836" t="str">
            <v>L003 Ankleshwar</v>
          </cell>
          <cell r="J6836" t="str">
            <v>99 Input/Byprodt/Scrap</v>
          </cell>
          <cell r="K6836" t="str">
            <v>10.2012</v>
          </cell>
          <cell r="L6836">
            <v>108</v>
          </cell>
          <cell r="M6836" t="str">
            <v>EA</v>
          </cell>
          <cell r="N6836">
            <v>6011.76</v>
          </cell>
          <cell r="O6836" t="str">
            <v>INR</v>
          </cell>
        </row>
        <row r="6837">
          <cell r="A6837" t="str">
            <v>L003 Ankleshwar</v>
          </cell>
          <cell r="B6837">
            <v>738894</v>
          </cell>
          <cell r="C6837" t="str">
            <v>PP/DP-900 [S] FILTER PAD 19"FOR TA</v>
          </cell>
          <cell r="D6837" t="str">
            <v>L0030201                       Cons StoreKP</v>
          </cell>
          <cell r="E6837" t="str">
            <v>E42 E42</v>
          </cell>
          <cell r="F6837" t="str">
            <v>VB Manual reorder point planning</v>
          </cell>
          <cell r="G6837" t="str">
            <v>HIBE Operating supplies</v>
          </cell>
          <cell r="H6837" t="str">
            <v>EN027     Prod&amp;OtherConsumable</v>
          </cell>
          <cell r="I6837" t="str">
            <v>L003 Ankleshwar</v>
          </cell>
          <cell r="J6837" t="str">
            <v>99 Input/Byprodt/Scrap</v>
          </cell>
          <cell r="K6837" t="str">
            <v>10.2012</v>
          </cell>
          <cell r="L6837">
            <v>90</v>
          </cell>
          <cell r="M6837" t="str">
            <v>EA</v>
          </cell>
          <cell r="N6837">
            <v>5009.8</v>
          </cell>
          <cell r="O6837" t="str">
            <v>INR</v>
          </cell>
        </row>
        <row r="6838">
          <cell r="A6838" t="str">
            <v>L003 Ankleshwar</v>
          </cell>
          <cell r="B6838">
            <v>738895</v>
          </cell>
          <cell r="C6838" t="str">
            <v>PP-D-1100 FILTER PAD 14" DIA</v>
          </cell>
          <cell r="D6838" t="str">
            <v>L0030151                       EnggStore</v>
          </cell>
          <cell r="E6838" t="str">
            <v>E42 E42</v>
          </cell>
          <cell r="F6838" t="str">
            <v>VB Manual reorder point planning</v>
          </cell>
          <cell r="G6838" t="str">
            <v>HIBE Operating supplies</v>
          </cell>
          <cell r="H6838" t="str">
            <v>EN027     Prod&amp;OtherConsumable</v>
          </cell>
          <cell r="I6838" t="str">
            <v>L003 Ankleshwar</v>
          </cell>
          <cell r="J6838" t="str">
            <v>99 Input/Byprodt/Scrap</v>
          </cell>
          <cell r="K6838" t="str">
            <v>10.2012</v>
          </cell>
          <cell r="L6838">
            <v>95</v>
          </cell>
          <cell r="M6838" t="str">
            <v>EA</v>
          </cell>
          <cell r="N6838">
            <v>3990</v>
          </cell>
          <cell r="O6838" t="str">
            <v>INR</v>
          </cell>
        </row>
        <row r="6839">
          <cell r="A6839" t="str">
            <v>L003 Ankleshwar</v>
          </cell>
          <cell r="B6839">
            <v>738895</v>
          </cell>
          <cell r="C6839" t="str">
            <v>PP-D-1100 FILTER PAD 14" DIA</v>
          </cell>
          <cell r="D6839" t="str">
            <v>L0030201                       Cons StoreKP</v>
          </cell>
          <cell r="E6839" t="str">
            <v>E42 E42</v>
          </cell>
          <cell r="F6839" t="str">
            <v>VB Manual reorder point planning</v>
          </cell>
          <cell r="G6839" t="str">
            <v>HIBE Operating supplies</v>
          </cell>
          <cell r="H6839" t="str">
            <v>EN027     Prod&amp;OtherConsumable</v>
          </cell>
          <cell r="I6839" t="str">
            <v>L003 Ankleshwar</v>
          </cell>
          <cell r="J6839" t="str">
            <v>99 Input/Byprodt/Scrap</v>
          </cell>
          <cell r="K6839" t="str">
            <v>10.2012</v>
          </cell>
          <cell r="L6839">
            <v>16</v>
          </cell>
          <cell r="M6839" t="str">
            <v>EA</v>
          </cell>
          <cell r="N6839">
            <v>672</v>
          </cell>
          <cell r="O6839" t="str">
            <v>INR</v>
          </cell>
        </row>
        <row r="6840">
          <cell r="A6840" t="str">
            <v>L003 Ankleshwar</v>
          </cell>
          <cell r="B6840">
            <v>738896</v>
          </cell>
          <cell r="C6840" t="str">
            <v>PP-512 FILTER PAD 9"DIAX1" FOR ETB</v>
          </cell>
          <cell r="D6840" t="str">
            <v>L0030151                       EnggStore</v>
          </cell>
          <cell r="E6840" t="str">
            <v>E42 E42</v>
          </cell>
          <cell r="F6840" t="str">
            <v>VB Manual reorder point planning</v>
          </cell>
          <cell r="G6840" t="str">
            <v>HIBE Operating supplies</v>
          </cell>
          <cell r="H6840" t="str">
            <v>EN027     Prod&amp;OtherConsumable</v>
          </cell>
          <cell r="I6840" t="str">
            <v>L003 Ankleshwar</v>
          </cell>
          <cell r="J6840" t="str">
            <v>99 Input/Byprodt/Scrap</v>
          </cell>
          <cell r="K6840" t="str">
            <v>10.2012</v>
          </cell>
          <cell r="L6840">
            <v>60</v>
          </cell>
          <cell r="M6840" t="str">
            <v>EA</v>
          </cell>
          <cell r="N6840">
            <v>1019.32</v>
          </cell>
          <cell r="O6840" t="str">
            <v>INR</v>
          </cell>
        </row>
        <row r="6841">
          <cell r="A6841" t="str">
            <v>L003 Ankleshwar</v>
          </cell>
          <cell r="B6841">
            <v>738896</v>
          </cell>
          <cell r="C6841" t="str">
            <v>PP-512 FILTER PAD 9"DIAX1" FOR ETB</v>
          </cell>
          <cell r="D6841" t="str">
            <v>L0030201                       Cons StoreKP</v>
          </cell>
          <cell r="E6841" t="str">
            <v>E42 E42</v>
          </cell>
          <cell r="F6841" t="str">
            <v>VB Manual reorder point planning</v>
          </cell>
          <cell r="G6841" t="str">
            <v>HIBE Operating supplies</v>
          </cell>
          <cell r="H6841" t="str">
            <v>EN027     Prod&amp;OtherConsumable</v>
          </cell>
          <cell r="I6841" t="str">
            <v>L003 Ankleshwar</v>
          </cell>
          <cell r="J6841" t="str">
            <v>99 Input/Byprodt/Scrap</v>
          </cell>
          <cell r="K6841" t="str">
            <v>10.2012</v>
          </cell>
          <cell r="L6841">
            <v>15</v>
          </cell>
          <cell r="M6841" t="str">
            <v>EA</v>
          </cell>
          <cell r="N6841">
            <v>254.83</v>
          </cell>
          <cell r="O6841" t="str">
            <v>INR</v>
          </cell>
        </row>
        <row r="6842">
          <cell r="A6842" t="str">
            <v>L003 Ankleshwar</v>
          </cell>
          <cell r="B6842">
            <v>738897</v>
          </cell>
          <cell r="C6842" t="str">
            <v>BASE FILTER PAPER TYPE AIXB 60X62CM</v>
          </cell>
          <cell r="D6842" t="str">
            <v>L0030151                       EnggStore</v>
          </cell>
          <cell r="E6842" t="str">
            <v>E42 E42</v>
          </cell>
          <cell r="F6842" t="str">
            <v>VB Manual reorder point planning</v>
          </cell>
          <cell r="G6842" t="str">
            <v>HIBE Operating supplies</v>
          </cell>
          <cell r="H6842" t="str">
            <v>EN027     Prod&amp;OtherConsumable</v>
          </cell>
          <cell r="I6842" t="str">
            <v>L003 Ankleshwar</v>
          </cell>
          <cell r="J6842" t="str">
            <v>99 Input/Byprodt/Scrap</v>
          </cell>
          <cell r="K6842" t="str">
            <v>10.2012</v>
          </cell>
          <cell r="L6842">
            <v>138</v>
          </cell>
          <cell r="M6842" t="str">
            <v>EA</v>
          </cell>
          <cell r="N6842">
            <v>683.1</v>
          </cell>
          <cell r="O6842" t="str">
            <v>INR</v>
          </cell>
        </row>
        <row r="6843">
          <cell r="A6843" t="str">
            <v>L003 Ankleshwar</v>
          </cell>
          <cell r="B6843">
            <v>738900</v>
          </cell>
          <cell r="C6843" t="str">
            <v>RUBBER TUBE 1/4"</v>
          </cell>
          <cell r="D6843" t="str">
            <v>L0030151                       EnggStore</v>
          </cell>
          <cell r="E6843" t="str">
            <v>E42 E42</v>
          </cell>
          <cell r="F6843" t="str">
            <v>VB Manual reorder point planning</v>
          </cell>
          <cell r="G6843" t="str">
            <v>HIBE Operating supplies</v>
          </cell>
          <cell r="H6843" t="str">
            <v>EN027     Prod&amp;OtherConsumable</v>
          </cell>
          <cell r="I6843" t="str">
            <v>L003 Ankleshwar</v>
          </cell>
          <cell r="J6843" t="str">
            <v>99 Input/Byprodt/Scrap</v>
          </cell>
          <cell r="K6843" t="str">
            <v>10.2012</v>
          </cell>
          <cell r="L6843">
            <v>28</v>
          </cell>
          <cell r="M6843" t="str">
            <v>M</v>
          </cell>
          <cell r="N6843">
            <v>1057.45</v>
          </cell>
          <cell r="O6843" t="str">
            <v>INR</v>
          </cell>
        </row>
        <row r="6844">
          <cell r="A6844" t="str">
            <v>L003 Ankleshwar</v>
          </cell>
          <cell r="B6844">
            <v>738901</v>
          </cell>
          <cell r="C6844" t="str">
            <v>DUNLOP CHEMICAL HOSE 1"</v>
          </cell>
          <cell r="D6844" t="str">
            <v>L0030151                       EnggStore</v>
          </cell>
          <cell r="E6844" t="str">
            <v>E42 E42</v>
          </cell>
          <cell r="F6844" t="str">
            <v>VB Manual reorder point planning</v>
          </cell>
          <cell r="G6844" t="str">
            <v>HIBE Operating supplies</v>
          </cell>
          <cell r="H6844" t="str">
            <v>EN027     Prod&amp;OtherConsumable</v>
          </cell>
          <cell r="I6844" t="str">
            <v>L003 Ankleshwar</v>
          </cell>
          <cell r="J6844" t="str">
            <v>99 Input/Byprodt/Scrap</v>
          </cell>
          <cell r="K6844" t="str">
            <v>10.2012</v>
          </cell>
          <cell r="L6844">
            <v>43</v>
          </cell>
          <cell r="M6844" t="str">
            <v>M</v>
          </cell>
          <cell r="N6844">
            <v>22575</v>
          </cell>
          <cell r="O6844" t="str">
            <v>INR</v>
          </cell>
        </row>
        <row r="6845">
          <cell r="A6845" t="str">
            <v>L003 Ankleshwar</v>
          </cell>
          <cell r="B6845">
            <v>738902</v>
          </cell>
          <cell r="C6845" t="str">
            <v>DUNLOP CHEMICAL HOSE 2"</v>
          </cell>
          <cell r="D6845" t="str">
            <v>L0030151                       EnggStore</v>
          </cell>
          <cell r="E6845" t="str">
            <v>E01 E01</v>
          </cell>
          <cell r="F6845" t="str">
            <v>ND No planning</v>
          </cell>
          <cell r="G6845" t="str">
            <v>HIBE Operating supplies</v>
          </cell>
          <cell r="H6845" t="str">
            <v>EN027     Prod&amp;OtherConsumable</v>
          </cell>
          <cell r="I6845" t="str">
            <v>L003 Ankleshwar</v>
          </cell>
          <cell r="J6845" t="str">
            <v>99 Input/Byprodt/Scrap</v>
          </cell>
          <cell r="K6845" t="str">
            <v>10.2012</v>
          </cell>
          <cell r="L6845">
            <v>3</v>
          </cell>
          <cell r="M6845" t="str">
            <v>M</v>
          </cell>
          <cell r="N6845">
            <v>3195</v>
          </cell>
          <cell r="O6845" t="str">
            <v>INR</v>
          </cell>
        </row>
        <row r="6846">
          <cell r="A6846" t="str">
            <v>L003 Ankleshwar</v>
          </cell>
          <cell r="B6846">
            <v>738904</v>
          </cell>
          <cell r="C6846" t="str">
            <v>DUNLOP STEAM HOSE 1"</v>
          </cell>
          <cell r="D6846" t="str">
            <v>L0030151                       EnggStore</v>
          </cell>
          <cell r="E6846" t="str">
            <v>E42 E42</v>
          </cell>
          <cell r="F6846" t="str">
            <v>VB Manual reorder point planning</v>
          </cell>
          <cell r="G6846" t="str">
            <v>HIBE Operating supplies</v>
          </cell>
          <cell r="H6846" t="str">
            <v>EN027     Prod&amp;OtherConsumable</v>
          </cell>
          <cell r="I6846" t="str">
            <v>L003 Ankleshwar</v>
          </cell>
          <cell r="J6846" t="str">
            <v>99 Input/Byprodt/Scrap</v>
          </cell>
          <cell r="K6846" t="str">
            <v>10.2012</v>
          </cell>
          <cell r="L6846">
            <v>42</v>
          </cell>
          <cell r="M6846" t="str">
            <v>M</v>
          </cell>
          <cell r="N6846">
            <v>21798</v>
          </cell>
          <cell r="O6846" t="str">
            <v>INR</v>
          </cell>
        </row>
        <row r="6847">
          <cell r="A6847" t="str">
            <v>L003 Ankleshwar</v>
          </cell>
          <cell r="B6847">
            <v>738905</v>
          </cell>
          <cell r="C6847" t="str">
            <v>SS SIFTER SIEVE 10 MESH SIZE 20"</v>
          </cell>
          <cell r="D6847" t="str">
            <v>L0030151                       EnggStore</v>
          </cell>
          <cell r="E6847" t="str">
            <v>E42 E42</v>
          </cell>
          <cell r="F6847" t="str">
            <v>VB Manual reorder point planning</v>
          </cell>
          <cell r="G6847" t="str">
            <v>HIBE Operating supplies</v>
          </cell>
          <cell r="H6847" t="str">
            <v>EN027     Prod&amp;OtherConsumable</v>
          </cell>
          <cell r="I6847" t="str">
            <v>L003 Ankleshwar</v>
          </cell>
          <cell r="J6847" t="str">
            <v>99 Input/Byprodt/Scrap</v>
          </cell>
          <cell r="K6847" t="str">
            <v>10.2012</v>
          </cell>
          <cell r="L6847">
            <v>6</v>
          </cell>
          <cell r="M6847" t="str">
            <v>EA</v>
          </cell>
          <cell r="N6847">
            <v>11114.41</v>
          </cell>
          <cell r="O6847" t="str">
            <v>INR</v>
          </cell>
        </row>
        <row r="6848">
          <cell r="A6848" t="str">
            <v>L003 Ankleshwar</v>
          </cell>
          <cell r="B6848">
            <v>738906</v>
          </cell>
          <cell r="C6848" t="str">
            <v>HOSE CLAMP 1/2" (000)</v>
          </cell>
          <cell r="D6848" t="str">
            <v>L0030151                       EnggStore</v>
          </cell>
          <cell r="E6848" t="str">
            <v>E42 E42</v>
          </cell>
          <cell r="F6848" t="str">
            <v>VB Manual reorder point planning</v>
          </cell>
          <cell r="G6848" t="str">
            <v>HIBE Operating supplies</v>
          </cell>
          <cell r="H6848" t="str">
            <v>EN027     Prod&amp;OtherConsumable</v>
          </cell>
          <cell r="I6848" t="str">
            <v>L003 Ankleshwar</v>
          </cell>
          <cell r="J6848" t="str">
            <v>99 Input/Byprodt/Scrap</v>
          </cell>
          <cell r="K6848" t="str">
            <v>10.2012</v>
          </cell>
          <cell r="L6848">
            <v>135</v>
          </cell>
          <cell r="M6848" t="str">
            <v>EA</v>
          </cell>
          <cell r="N6848">
            <v>890.33</v>
          </cell>
          <cell r="O6848" t="str">
            <v>INR</v>
          </cell>
        </row>
        <row r="6849">
          <cell r="A6849" t="str">
            <v>L003 Ankleshwar</v>
          </cell>
          <cell r="B6849">
            <v>738906</v>
          </cell>
          <cell r="C6849" t="str">
            <v>HOSE CLAMP 1/2" (000)</v>
          </cell>
          <cell r="D6849" t="str">
            <v>L0030201                       Cons StoreKP</v>
          </cell>
          <cell r="E6849" t="str">
            <v>E42 E42</v>
          </cell>
          <cell r="F6849" t="str">
            <v>VB Manual reorder point planning</v>
          </cell>
          <cell r="G6849" t="str">
            <v>HIBE Operating supplies</v>
          </cell>
          <cell r="H6849" t="str">
            <v>EN027     Prod&amp;OtherConsumable</v>
          </cell>
          <cell r="I6849" t="str">
            <v>L003 Ankleshwar</v>
          </cell>
          <cell r="J6849" t="str">
            <v>99 Input/Byprodt/Scrap</v>
          </cell>
          <cell r="K6849" t="str">
            <v>10.2012</v>
          </cell>
          <cell r="L6849">
            <v>28</v>
          </cell>
          <cell r="M6849" t="str">
            <v>EA</v>
          </cell>
          <cell r="N6849">
            <v>184.66</v>
          </cell>
          <cell r="O6849" t="str">
            <v>INR</v>
          </cell>
        </row>
        <row r="6850">
          <cell r="A6850" t="str">
            <v>L003 Ankleshwar</v>
          </cell>
          <cell r="B6850">
            <v>738907</v>
          </cell>
          <cell r="C6850" t="str">
            <v>HOSE CLAMP 1"[45A]</v>
          </cell>
          <cell r="D6850" t="str">
            <v>L0030151                       EnggStore</v>
          </cell>
          <cell r="E6850" t="str">
            <v>E42 E42</v>
          </cell>
          <cell r="F6850" t="str">
            <v>VB Manual reorder point planning</v>
          </cell>
          <cell r="G6850" t="str">
            <v>HIBE Operating supplies</v>
          </cell>
          <cell r="H6850" t="str">
            <v>EN027     Prod&amp;OtherConsumable</v>
          </cell>
          <cell r="I6850" t="str">
            <v>L003 Ankleshwar</v>
          </cell>
          <cell r="J6850" t="str">
            <v>99 Input/Byprodt/Scrap</v>
          </cell>
          <cell r="K6850" t="str">
            <v>10.2012</v>
          </cell>
          <cell r="L6850">
            <v>178</v>
          </cell>
          <cell r="M6850" t="str">
            <v>EA</v>
          </cell>
          <cell r="N6850">
            <v>1920.8499999999899</v>
          </cell>
          <cell r="O6850" t="str">
            <v>INR</v>
          </cell>
        </row>
        <row r="6851">
          <cell r="A6851" t="str">
            <v>L003 Ankleshwar</v>
          </cell>
          <cell r="B6851">
            <v>738907</v>
          </cell>
          <cell r="C6851" t="str">
            <v>HOSE CLAMP 1"[45A]</v>
          </cell>
          <cell r="D6851" t="str">
            <v>L0030201                       Cons StoreKP</v>
          </cell>
          <cell r="E6851" t="str">
            <v>E42 E42</v>
          </cell>
          <cell r="F6851" t="str">
            <v>VB Manual reorder point planning</v>
          </cell>
          <cell r="G6851" t="str">
            <v>HIBE Operating supplies</v>
          </cell>
          <cell r="H6851" t="str">
            <v>EN027     Prod&amp;OtherConsumable</v>
          </cell>
          <cell r="I6851" t="str">
            <v>L003 Ankleshwar</v>
          </cell>
          <cell r="J6851" t="str">
            <v>99 Input/Byprodt/Scrap</v>
          </cell>
          <cell r="K6851" t="str">
            <v>10.2012</v>
          </cell>
          <cell r="L6851">
            <v>56</v>
          </cell>
          <cell r="M6851" t="str">
            <v>EA</v>
          </cell>
          <cell r="N6851">
            <v>604.30999999999904</v>
          </cell>
          <cell r="O6851" t="str">
            <v>INR</v>
          </cell>
        </row>
        <row r="6852">
          <cell r="A6852" t="str">
            <v>L003 Ankleshwar</v>
          </cell>
          <cell r="B6852">
            <v>738908</v>
          </cell>
          <cell r="C6852" t="str">
            <v>HOSE CLAMP 1-1/2"[2X]</v>
          </cell>
          <cell r="D6852" t="str">
            <v>L0030151                       EnggStore</v>
          </cell>
          <cell r="E6852" t="str">
            <v>E42 E42</v>
          </cell>
          <cell r="F6852" t="str">
            <v>VB Manual reorder point planning</v>
          </cell>
          <cell r="G6852" t="str">
            <v>HIBE Operating supplies</v>
          </cell>
          <cell r="H6852" t="str">
            <v>EN027     Prod&amp;OtherConsumable</v>
          </cell>
          <cell r="I6852" t="str">
            <v>L003 Ankleshwar</v>
          </cell>
          <cell r="J6852" t="str">
            <v>99 Input/Byprodt/Scrap</v>
          </cell>
          <cell r="K6852" t="str">
            <v>10.2012</v>
          </cell>
          <cell r="L6852">
            <v>65</v>
          </cell>
          <cell r="M6852" t="str">
            <v>EA</v>
          </cell>
          <cell r="N6852">
            <v>881.80999999999904</v>
          </cell>
          <cell r="O6852" t="str">
            <v>INR</v>
          </cell>
        </row>
        <row r="6853">
          <cell r="A6853" t="str">
            <v>L003 Ankleshwar</v>
          </cell>
          <cell r="B6853">
            <v>738908</v>
          </cell>
          <cell r="C6853" t="str">
            <v>HOSE CLAMP 1-1/2"[2X]</v>
          </cell>
          <cell r="D6853" t="str">
            <v>L0030201                       Cons StoreKP</v>
          </cell>
          <cell r="E6853" t="str">
            <v>E42 E42</v>
          </cell>
          <cell r="F6853" t="str">
            <v>VB Manual reorder point planning</v>
          </cell>
          <cell r="G6853" t="str">
            <v>HIBE Operating supplies</v>
          </cell>
          <cell r="H6853" t="str">
            <v>EN027     Prod&amp;OtherConsumable</v>
          </cell>
          <cell r="I6853" t="str">
            <v>L003 Ankleshwar</v>
          </cell>
          <cell r="J6853" t="str">
            <v>99 Input/Byprodt/Scrap</v>
          </cell>
          <cell r="K6853" t="str">
            <v>10.2012</v>
          </cell>
          <cell r="L6853">
            <v>31</v>
          </cell>
          <cell r="M6853" t="str">
            <v>EA</v>
          </cell>
          <cell r="N6853">
            <v>420.55</v>
          </cell>
          <cell r="O6853" t="str">
            <v>INR</v>
          </cell>
        </row>
        <row r="6854">
          <cell r="A6854" t="str">
            <v>L003 Ankleshwar</v>
          </cell>
          <cell r="B6854">
            <v>738909</v>
          </cell>
          <cell r="C6854" t="str">
            <v>HOSE CLAMP 2" (75A)</v>
          </cell>
          <cell r="D6854" t="str">
            <v>L0030151                       EnggStore</v>
          </cell>
          <cell r="E6854" t="str">
            <v>E42 E42</v>
          </cell>
          <cell r="F6854" t="str">
            <v>VB Manual reorder point planning</v>
          </cell>
          <cell r="G6854" t="str">
            <v>HIBE Operating supplies</v>
          </cell>
          <cell r="H6854" t="str">
            <v>EN027     Prod&amp;OtherConsumable</v>
          </cell>
          <cell r="I6854" t="str">
            <v>L003 Ankleshwar</v>
          </cell>
          <cell r="J6854" t="str">
            <v>99 Input/Byprodt/Scrap</v>
          </cell>
          <cell r="K6854" t="str">
            <v>10.2012</v>
          </cell>
          <cell r="L6854">
            <v>215</v>
          </cell>
          <cell r="M6854" t="str">
            <v>EA</v>
          </cell>
          <cell r="N6854">
            <v>2822.4099999999899</v>
          </cell>
          <cell r="O6854" t="str">
            <v>INR</v>
          </cell>
        </row>
        <row r="6855">
          <cell r="A6855" t="str">
            <v>L003 Ankleshwar</v>
          </cell>
          <cell r="B6855">
            <v>738909</v>
          </cell>
          <cell r="C6855" t="str">
            <v>HOSE CLAMP 2" (75A)</v>
          </cell>
          <cell r="D6855" t="str">
            <v>L0030201                       Cons StoreKP</v>
          </cell>
          <cell r="E6855" t="str">
            <v>E42 E42</v>
          </cell>
          <cell r="F6855" t="str">
            <v>VB Manual reorder point planning</v>
          </cell>
          <cell r="G6855" t="str">
            <v>HIBE Operating supplies</v>
          </cell>
          <cell r="H6855" t="str">
            <v>EN027     Prod&amp;OtherConsumable</v>
          </cell>
          <cell r="I6855" t="str">
            <v>L003 Ankleshwar</v>
          </cell>
          <cell r="J6855" t="str">
            <v>99 Input/Byprodt/Scrap</v>
          </cell>
          <cell r="K6855" t="str">
            <v>10.2012</v>
          </cell>
          <cell r="L6855">
            <v>17</v>
          </cell>
          <cell r="M6855" t="str">
            <v>EA</v>
          </cell>
          <cell r="N6855">
            <v>223.16999999999899</v>
          </cell>
          <cell r="O6855" t="str">
            <v>INR</v>
          </cell>
        </row>
        <row r="6856">
          <cell r="A6856" t="str">
            <v>L003 Ankleshwar</v>
          </cell>
          <cell r="B6856">
            <v>738910</v>
          </cell>
          <cell r="C6856" t="str">
            <v>HOSE CLAMP 3" [3X80]</v>
          </cell>
          <cell r="D6856" t="str">
            <v>L0030151                       EnggStore</v>
          </cell>
          <cell r="E6856" t="str">
            <v>E42 E42</v>
          </cell>
          <cell r="F6856" t="str">
            <v>VB Manual reorder point planning</v>
          </cell>
          <cell r="G6856" t="str">
            <v>HIBE Operating supplies</v>
          </cell>
          <cell r="H6856" t="str">
            <v>EN027     Prod&amp;OtherConsumable</v>
          </cell>
          <cell r="I6856" t="str">
            <v>L003 Ankleshwar</v>
          </cell>
          <cell r="J6856" t="str">
            <v>99 Input/Byprodt/Scrap</v>
          </cell>
          <cell r="K6856" t="str">
            <v>10.2012</v>
          </cell>
          <cell r="L6856">
            <v>63</v>
          </cell>
          <cell r="M6856" t="str">
            <v>EA</v>
          </cell>
          <cell r="N6856">
            <v>821.65999999999894</v>
          </cell>
          <cell r="O6856" t="str">
            <v>INR</v>
          </cell>
        </row>
        <row r="6857">
          <cell r="A6857" t="str">
            <v>L003 Ankleshwar</v>
          </cell>
          <cell r="B6857">
            <v>738910</v>
          </cell>
          <cell r="C6857" t="str">
            <v>HOSE CLAMP 3" [3X80]</v>
          </cell>
          <cell r="D6857" t="str">
            <v>L0030201                       Cons StoreKP</v>
          </cell>
          <cell r="E6857" t="str">
            <v>E42 E42</v>
          </cell>
          <cell r="F6857" t="str">
            <v>VB Manual reorder point planning</v>
          </cell>
          <cell r="G6857" t="str">
            <v>HIBE Operating supplies</v>
          </cell>
          <cell r="H6857" t="str">
            <v>EN027     Prod&amp;OtherConsumable</v>
          </cell>
          <cell r="I6857" t="str">
            <v>L003 Ankleshwar</v>
          </cell>
          <cell r="J6857" t="str">
            <v>99 Input/Byprodt/Scrap</v>
          </cell>
          <cell r="K6857" t="str">
            <v>10.2012</v>
          </cell>
          <cell r="L6857">
            <v>68</v>
          </cell>
          <cell r="M6857" t="str">
            <v>EA</v>
          </cell>
          <cell r="N6857">
            <v>886.88</v>
          </cell>
          <cell r="O6857" t="str">
            <v>INR</v>
          </cell>
        </row>
        <row r="6858">
          <cell r="A6858" t="str">
            <v>L003 Ankleshwar</v>
          </cell>
          <cell r="B6858">
            <v>738911</v>
          </cell>
          <cell r="C6858" t="str">
            <v>HOSE CLAMP 4" [4X]</v>
          </cell>
          <cell r="D6858" t="str">
            <v>L0030151                       EnggStore</v>
          </cell>
          <cell r="E6858" t="str">
            <v>E42 E42</v>
          </cell>
          <cell r="F6858" t="str">
            <v>VB Manual reorder point planning</v>
          </cell>
          <cell r="G6858" t="str">
            <v>HIBE Operating supplies</v>
          </cell>
          <cell r="H6858" t="str">
            <v>EN027     Prod&amp;OtherConsumable</v>
          </cell>
          <cell r="I6858" t="str">
            <v>L003 Ankleshwar</v>
          </cell>
          <cell r="J6858" t="str">
            <v>99 Input/Byprodt/Scrap</v>
          </cell>
          <cell r="K6858" t="str">
            <v>10.2012</v>
          </cell>
          <cell r="L6858">
            <v>88</v>
          </cell>
          <cell r="M6858" t="str">
            <v>EA</v>
          </cell>
          <cell r="N6858">
            <v>1227.8199999999899</v>
          </cell>
          <cell r="O6858" t="str">
            <v>INR</v>
          </cell>
        </row>
        <row r="6859">
          <cell r="A6859" t="str">
            <v>L003 Ankleshwar</v>
          </cell>
          <cell r="B6859">
            <v>738911</v>
          </cell>
          <cell r="C6859" t="str">
            <v>HOSE CLAMP 4" [4X]</v>
          </cell>
          <cell r="D6859" t="str">
            <v>L0030201                       Cons StoreKP</v>
          </cell>
          <cell r="E6859" t="str">
            <v>E42 E42</v>
          </cell>
          <cell r="F6859" t="str">
            <v>VB Manual reorder point planning</v>
          </cell>
          <cell r="G6859" t="str">
            <v>HIBE Operating supplies</v>
          </cell>
          <cell r="H6859" t="str">
            <v>EN027     Prod&amp;OtherConsumable</v>
          </cell>
          <cell r="I6859" t="str">
            <v>L003 Ankleshwar</v>
          </cell>
          <cell r="J6859" t="str">
            <v>99 Input/Byprodt/Scrap</v>
          </cell>
          <cell r="K6859" t="str">
            <v>10.2012</v>
          </cell>
          <cell r="L6859">
            <v>14</v>
          </cell>
          <cell r="M6859" t="str">
            <v>EA</v>
          </cell>
          <cell r="N6859">
            <v>195.33</v>
          </cell>
          <cell r="O6859" t="str">
            <v>INR</v>
          </cell>
        </row>
        <row r="6860">
          <cell r="A6860" t="str">
            <v>L003 Ankleshwar</v>
          </cell>
          <cell r="B6860">
            <v>738913</v>
          </cell>
          <cell r="C6860" t="str">
            <v>HYDROMETER 900 TO 1000 SP.GR.</v>
          </cell>
          <cell r="D6860" t="str">
            <v>L0030151                       EnggStore</v>
          </cell>
          <cell r="E6860" t="str">
            <v>E42 E42</v>
          </cell>
          <cell r="F6860" t="str">
            <v>VB Manual reorder point planning</v>
          </cell>
          <cell r="G6860" t="str">
            <v>HIBE Operating supplies</v>
          </cell>
          <cell r="H6860" t="str">
            <v>EN027     Prod&amp;OtherConsumable</v>
          </cell>
          <cell r="I6860" t="str">
            <v>L003 Ankleshwar</v>
          </cell>
          <cell r="J6860" t="str">
            <v>99 Input/Byprodt/Scrap</v>
          </cell>
          <cell r="K6860" t="str">
            <v>10.2012</v>
          </cell>
          <cell r="L6860">
            <v>6</v>
          </cell>
          <cell r="M6860" t="str">
            <v>EA</v>
          </cell>
          <cell r="N6860">
            <v>566.75999999999897</v>
          </cell>
          <cell r="O6860" t="str">
            <v>INR</v>
          </cell>
        </row>
        <row r="6861">
          <cell r="A6861" t="str">
            <v>L003 Ankleshwar</v>
          </cell>
          <cell r="B6861">
            <v>738914</v>
          </cell>
          <cell r="C6861" t="str">
            <v>HYDROMETER 1.0 TO 1.5 SP.GR.</v>
          </cell>
          <cell r="D6861" t="str">
            <v>L0030151                       EnggStore</v>
          </cell>
          <cell r="E6861" t="str">
            <v>E42 E42</v>
          </cell>
          <cell r="F6861" t="str">
            <v>VB Manual reorder point planning</v>
          </cell>
          <cell r="G6861" t="str">
            <v>HIBE Operating supplies</v>
          </cell>
          <cell r="H6861" t="str">
            <v>EN027     Prod&amp;OtherConsumable</v>
          </cell>
          <cell r="I6861" t="str">
            <v>L003 Ankleshwar</v>
          </cell>
          <cell r="J6861" t="str">
            <v>99 Input/Byprodt/Scrap</v>
          </cell>
          <cell r="K6861" t="str">
            <v>10.2012</v>
          </cell>
          <cell r="L6861">
            <v>9</v>
          </cell>
          <cell r="M6861" t="str">
            <v>EA</v>
          </cell>
          <cell r="N6861">
            <v>907.2</v>
          </cell>
          <cell r="O6861" t="str">
            <v>INR</v>
          </cell>
        </row>
        <row r="6862">
          <cell r="A6862" t="str">
            <v>L003 Ankleshwar</v>
          </cell>
          <cell r="B6862">
            <v>738915</v>
          </cell>
          <cell r="C6862" t="str">
            <v>CELLO TAPE 1/2"X65MET</v>
          </cell>
          <cell r="D6862" t="str">
            <v>L0030151                       EnggStore</v>
          </cell>
          <cell r="E6862" t="str">
            <v>E42 E42</v>
          </cell>
          <cell r="F6862" t="str">
            <v>VB Manual reorder point planning</v>
          </cell>
          <cell r="G6862" t="str">
            <v>HIBE Operating supplies</v>
          </cell>
          <cell r="H6862" t="str">
            <v>EN027     Prod&amp;OtherConsumable</v>
          </cell>
          <cell r="I6862" t="str">
            <v>L003 Ankleshwar</v>
          </cell>
          <cell r="J6862" t="str">
            <v>99 Input/Byprodt/Scrap</v>
          </cell>
          <cell r="K6862" t="str">
            <v>10.2012</v>
          </cell>
          <cell r="L6862">
            <v>5</v>
          </cell>
          <cell r="M6862" t="str">
            <v>EA</v>
          </cell>
          <cell r="N6862">
            <v>23.94</v>
          </cell>
          <cell r="O6862" t="str">
            <v>INR</v>
          </cell>
        </row>
        <row r="6863">
          <cell r="A6863" t="str">
            <v>L003 Ankleshwar</v>
          </cell>
          <cell r="B6863">
            <v>738920</v>
          </cell>
          <cell r="C6863" t="str">
            <v>DUPLON BRAIDED PVC HOSE SIZE 1/2" (12MM)</v>
          </cell>
          <cell r="D6863" t="str">
            <v>L0030201                       Cons StoreKP</v>
          </cell>
          <cell r="E6863" t="str">
            <v>E01 E01</v>
          </cell>
          <cell r="F6863" t="str">
            <v>ND No planning</v>
          </cell>
          <cell r="G6863" t="str">
            <v>HIBE Operating supplies</v>
          </cell>
          <cell r="H6863" t="str">
            <v>EN027     Prod&amp;OtherConsumable</v>
          </cell>
          <cell r="I6863" t="str">
            <v>L003 Ankleshwar</v>
          </cell>
          <cell r="J6863" t="str">
            <v>99 Input/Byprodt/Scrap</v>
          </cell>
          <cell r="K6863" t="str">
            <v>10.2012</v>
          </cell>
          <cell r="L6863">
            <v>1200</v>
          </cell>
          <cell r="M6863" t="str">
            <v>M</v>
          </cell>
          <cell r="N6863">
            <v>46200</v>
          </cell>
          <cell r="O6863" t="str">
            <v>INR</v>
          </cell>
        </row>
        <row r="6864">
          <cell r="A6864" t="str">
            <v>L003 Ankleshwar</v>
          </cell>
          <cell r="B6864">
            <v>738926</v>
          </cell>
          <cell r="C6864" t="str">
            <v>OLD SS-316 WIRE BRAIDED HOSE MFCxNE1"X1M</v>
          </cell>
          <cell r="D6864" t="str">
            <v>L0030151                       EnggStore</v>
          </cell>
          <cell r="E6864" t="str">
            <v>E01 E01</v>
          </cell>
          <cell r="F6864" t="str">
            <v>ND No planning</v>
          </cell>
          <cell r="G6864" t="str">
            <v>HIBE Operating supplies</v>
          </cell>
          <cell r="H6864" t="str">
            <v>EN027     Prod&amp;OtherConsumable</v>
          </cell>
          <cell r="I6864" t="str">
            <v>L003 Ankleshwar</v>
          </cell>
          <cell r="J6864" t="str">
            <v>99 Input/Byprodt/Scrap</v>
          </cell>
          <cell r="K6864" t="str">
            <v>10.2012</v>
          </cell>
          <cell r="L6864">
            <v>1</v>
          </cell>
          <cell r="M6864" t="str">
            <v>EA</v>
          </cell>
          <cell r="N6864">
            <v>346.14999999999901</v>
          </cell>
          <cell r="O6864" t="str">
            <v>INR</v>
          </cell>
        </row>
        <row r="6865">
          <cell r="A6865" t="str">
            <v>L003 Ankleshwar</v>
          </cell>
          <cell r="B6865">
            <v>738928</v>
          </cell>
          <cell r="C6865" t="str">
            <v>OLD SS-316 WIRE BRAID HOSE 1"X 2 MTR</v>
          </cell>
          <cell r="D6865" t="str">
            <v>L0030151                       EnggStore</v>
          </cell>
          <cell r="E6865" t="str">
            <v>E01 E01</v>
          </cell>
          <cell r="F6865" t="str">
            <v>ND No planning</v>
          </cell>
          <cell r="G6865" t="str">
            <v>HIBE Operating supplies</v>
          </cell>
          <cell r="H6865" t="str">
            <v>EN027     Prod&amp;OtherConsumable</v>
          </cell>
          <cell r="I6865" t="str">
            <v>L003 Ankleshwar</v>
          </cell>
          <cell r="J6865" t="str">
            <v>99 Input/Byprodt/Scrap</v>
          </cell>
          <cell r="K6865" t="str">
            <v>10.2012</v>
          </cell>
          <cell r="L6865">
            <v>5</v>
          </cell>
          <cell r="M6865" t="str">
            <v>EA</v>
          </cell>
          <cell r="N6865">
            <v>3479.86</v>
          </cell>
          <cell r="O6865" t="str">
            <v>INR</v>
          </cell>
        </row>
        <row r="6866">
          <cell r="A6866" t="str">
            <v>L003 Ankleshwar</v>
          </cell>
          <cell r="B6866">
            <v>738930</v>
          </cell>
          <cell r="C6866" t="str">
            <v>SK999 FILTER BAG PP CLOTH 35"X10-1/2"X2"</v>
          </cell>
          <cell r="D6866" t="str">
            <v>L0030201                       Cons StoreKP</v>
          </cell>
          <cell r="E6866" t="str">
            <v>E01 E01</v>
          </cell>
          <cell r="F6866" t="str">
            <v>ND No planning</v>
          </cell>
          <cell r="G6866" t="str">
            <v>HIBE Operating supplies</v>
          </cell>
          <cell r="H6866" t="str">
            <v>EN027     Prod&amp;OtherConsumable</v>
          </cell>
          <cell r="I6866" t="str">
            <v>L003 Ankleshwar</v>
          </cell>
          <cell r="J6866" t="str">
            <v>99 Input/Byprodt/Scrap</v>
          </cell>
          <cell r="K6866" t="str">
            <v>10.2012</v>
          </cell>
          <cell r="L6866">
            <v>2</v>
          </cell>
          <cell r="M6866" t="str">
            <v>EA</v>
          </cell>
          <cell r="N6866">
            <v>298.86</v>
          </cell>
          <cell r="O6866" t="str">
            <v>INR</v>
          </cell>
        </row>
        <row r="6867">
          <cell r="A6867" t="str">
            <v>L003 Ankleshwar</v>
          </cell>
          <cell r="B6867">
            <v>738933</v>
          </cell>
          <cell r="C6867" t="str">
            <v>WELDING WIRE BRUSH</v>
          </cell>
          <cell r="D6867" t="str">
            <v>L0030151                       EnggStore</v>
          </cell>
          <cell r="E6867" t="str">
            <v>E42 E42</v>
          </cell>
          <cell r="F6867" t="str">
            <v>VB Manual reorder point planning</v>
          </cell>
          <cell r="G6867" t="str">
            <v>HIBE Operating supplies</v>
          </cell>
          <cell r="H6867" t="str">
            <v>EN027     Prod&amp;OtherConsumable</v>
          </cell>
          <cell r="I6867" t="str">
            <v>L003 Ankleshwar</v>
          </cell>
          <cell r="J6867" t="str">
            <v>99 Input/Byprodt/Scrap</v>
          </cell>
          <cell r="K6867" t="str">
            <v>10.2012</v>
          </cell>
          <cell r="L6867">
            <v>115</v>
          </cell>
          <cell r="M6867" t="str">
            <v>EA</v>
          </cell>
          <cell r="N6867">
            <v>2709.88</v>
          </cell>
          <cell r="O6867" t="str">
            <v>INR</v>
          </cell>
        </row>
        <row r="6868">
          <cell r="A6868" t="str">
            <v>L003 Ankleshwar</v>
          </cell>
          <cell r="B6868">
            <v>738933</v>
          </cell>
          <cell r="C6868" t="str">
            <v>WELDING WIRE BRUSH</v>
          </cell>
          <cell r="D6868" t="str">
            <v>L0030201                       Cons StoreKP</v>
          </cell>
          <cell r="E6868" t="str">
            <v>E42 E42</v>
          </cell>
          <cell r="F6868" t="str">
            <v>VB Manual reorder point planning</v>
          </cell>
          <cell r="G6868" t="str">
            <v>HIBE Operating supplies</v>
          </cell>
          <cell r="H6868" t="str">
            <v>EN027     Prod&amp;OtherConsumable</v>
          </cell>
          <cell r="I6868" t="str">
            <v>L003 Ankleshwar</v>
          </cell>
          <cell r="J6868" t="str">
            <v>99 Input/Byprodt/Scrap</v>
          </cell>
          <cell r="K6868" t="str">
            <v>10.2012</v>
          </cell>
          <cell r="L6868">
            <v>30</v>
          </cell>
          <cell r="M6868" t="str">
            <v>EA</v>
          </cell>
          <cell r="N6868">
            <v>706.91999999999905</v>
          </cell>
          <cell r="O6868" t="str">
            <v>INR</v>
          </cell>
        </row>
        <row r="6869">
          <cell r="A6869" t="str">
            <v>L003 Ankleshwar</v>
          </cell>
          <cell r="B6869">
            <v>738934</v>
          </cell>
          <cell r="C6869" t="str">
            <v>UHMW PE TROLLEY WHEEL 8"X3"</v>
          </cell>
          <cell r="D6869" t="str">
            <v>L0030151                       EnggStore</v>
          </cell>
          <cell r="E6869" t="str">
            <v>E01 E01</v>
          </cell>
          <cell r="F6869" t="str">
            <v>ND No planning</v>
          </cell>
          <cell r="G6869" t="str">
            <v>HIBE Operating supplies</v>
          </cell>
          <cell r="H6869" t="str">
            <v>EN027     Prod&amp;OtherConsumable</v>
          </cell>
          <cell r="I6869" t="str">
            <v>L003 Ankleshwar</v>
          </cell>
          <cell r="J6869" t="str">
            <v>99 Input/Byprodt/Scrap</v>
          </cell>
          <cell r="K6869" t="str">
            <v>10.2012</v>
          </cell>
          <cell r="L6869">
            <v>4</v>
          </cell>
          <cell r="M6869" t="str">
            <v>EA</v>
          </cell>
          <cell r="N6869">
            <v>3692</v>
          </cell>
          <cell r="O6869" t="str">
            <v>INR</v>
          </cell>
        </row>
        <row r="6870">
          <cell r="A6870" t="str">
            <v>L003 Ankleshwar</v>
          </cell>
          <cell r="B6870">
            <v>738935</v>
          </cell>
          <cell r="C6870" t="str">
            <v>UHMW PE TROLLEY WHEEL 10"X2"</v>
          </cell>
          <cell r="D6870" t="str">
            <v>L0030151                       EnggStore</v>
          </cell>
          <cell r="E6870" t="str">
            <v>E42 E42</v>
          </cell>
          <cell r="F6870" t="str">
            <v>VB Manual reorder point planning</v>
          </cell>
          <cell r="G6870" t="str">
            <v>HIBE Operating supplies</v>
          </cell>
          <cell r="H6870" t="str">
            <v>EN027     Prod&amp;OtherConsumable</v>
          </cell>
          <cell r="I6870" t="str">
            <v>L003 Ankleshwar</v>
          </cell>
          <cell r="J6870" t="str">
            <v>99 Input/Byprodt/Scrap</v>
          </cell>
          <cell r="K6870" t="str">
            <v>10.2012</v>
          </cell>
          <cell r="L6870">
            <v>2</v>
          </cell>
          <cell r="M6870" t="str">
            <v>EA</v>
          </cell>
          <cell r="N6870">
            <v>1412.5</v>
          </cell>
          <cell r="O6870" t="str">
            <v>INR</v>
          </cell>
        </row>
        <row r="6871">
          <cell r="A6871" t="str">
            <v>L003 Ankleshwar</v>
          </cell>
          <cell r="B6871">
            <v>738937</v>
          </cell>
          <cell r="C6871" t="str">
            <v>SS 316 SIFTER SIEVE 40MSH,20 LEAD FREE</v>
          </cell>
          <cell r="D6871" t="str">
            <v>L0030151                       EnggStore</v>
          </cell>
          <cell r="E6871" t="str">
            <v>E01 E01</v>
          </cell>
          <cell r="F6871" t="str">
            <v>ND No planning</v>
          </cell>
          <cell r="G6871" t="str">
            <v>HIBE Operating supplies</v>
          </cell>
          <cell r="H6871" t="str">
            <v>EN027     Prod&amp;OtherConsumable</v>
          </cell>
          <cell r="I6871" t="str">
            <v>L003 Ankleshwar</v>
          </cell>
          <cell r="J6871" t="str">
            <v>99 Input/Byprodt/Scrap</v>
          </cell>
          <cell r="K6871" t="str">
            <v>10.2012</v>
          </cell>
          <cell r="L6871">
            <v>2</v>
          </cell>
          <cell r="M6871" t="str">
            <v>EA</v>
          </cell>
          <cell r="N6871">
            <v>4149.38</v>
          </cell>
          <cell r="O6871" t="str">
            <v>INR</v>
          </cell>
        </row>
        <row r="6872">
          <cell r="A6872" t="str">
            <v>L003 Ankleshwar</v>
          </cell>
          <cell r="B6872">
            <v>738939</v>
          </cell>
          <cell r="C6872" t="str">
            <v>OLD SS-316 WIRE BRAID HOSE 2"X600MM</v>
          </cell>
          <cell r="D6872" t="str">
            <v>L0030151                       EnggStore</v>
          </cell>
          <cell r="E6872" t="str">
            <v>E01 E01</v>
          </cell>
          <cell r="F6872" t="str">
            <v>ND No planning</v>
          </cell>
          <cell r="G6872" t="str">
            <v>HIBE Operating supplies</v>
          </cell>
          <cell r="H6872" t="str">
            <v>EN027     Prod&amp;OtherConsumable</v>
          </cell>
          <cell r="I6872" t="str">
            <v>L003 Ankleshwar</v>
          </cell>
          <cell r="J6872" t="str">
            <v>99 Input/Byprodt/Scrap</v>
          </cell>
          <cell r="K6872" t="str">
            <v>10.2012</v>
          </cell>
          <cell r="L6872">
            <v>1</v>
          </cell>
          <cell r="M6872" t="str">
            <v>EA</v>
          </cell>
          <cell r="N6872">
            <v>531.45000000000005</v>
          </cell>
          <cell r="O6872" t="str">
            <v>INR</v>
          </cell>
        </row>
        <row r="6873">
          <cell r="A6873" t="str">
            <v>L003 Ankleshwar</v>
          </cell>
          <cell r="B6873">
            <v>738943</v>
          </cell>
          <cell r="C6873" t="str">
            <v>SS316-WIRE BRAIDED FLEX HOSE: 1-½</v>
          </cell>
          <cell r="D6873" t="str">
            <v>L0030201                       Cons StoreKP</v>
          </cell>
          <cell r="E6873" t="str">
            <v>E01 E01</v>
          </cell>
          <cell r="F6873" t="str">
            <v>ND No planning</v>
          </cell>
          <cell r="G6873" t="str">
            <v>HIBE Operating supplies</v>
          </cell>
          <cell r="H6873" t="str">
            <v>EN027     Prod&amp;OtherConsumable</v>
          </cell>
          <cell r="I6873" t="str">
            <v>L003 Ankleshwar</v>
          </cell>
          <cell r="J6873" t="str">
            <v>99 Input/Byprodt/Scrap</v>
          </cell>
          <cell r="K6873" t="str">
            <v>10.2012</v>
          </cell>
          <cell r="L6873">
            <v>1</v>
          </cell>
          <cell r="M6873" t="str">
            <v>EA</v>
          </cell>
          <cell r="N6873">
            <v>1907.4</v>
          </cell>
          <cell r="O6873" t="str">
            <v>INR</v>
          </cell>
        </row>
        <row r="6874">
          <cell r="A6874" t="str">
            <v>L003 Ankleshwar</v>
          </cell>
          <cell r="B6874">
            <v>738944</v>
          </cell>
          <cell r="C6874" t="str">
            <v>PLASTIC STOOL</v>
          </cell>
          <cell r="D6874" t="str">
            <v>L0030151                       EnggStore</v>
          </cell>
          <cell r="E6874" t="str">
            <v>E01 E01</v>
          </cell>
          <cell r="F6874" t="str">
            <v>ND No planning</v>
          </cell>
          <cell r="G6874" t="str">
            <v>HIBE Operating supplies</v>
          </cell>
          <cell r="H6874" t="str">
            <v>EN027     Prod&amp;OtherConsumable</v>
          </cell>
          <cell r="I6874" t="str">
            <v>L003 Ankleshwar</v>
          </cell>
          <cell r="J6874" t="str">
            <v>99 Input/Byprodt/Scrap</v>
          </cell>
          <cell r="K6874" t="str">
            <v>10.2012</v>
          </cell>
          <cell r="L6874">
            <v>5</v>
          </cell>
          <cell r="M6874" t="str">
            <v>EA</v>
          </cell>
          <cell r="N6874">
            <v>1207.5</v>
          </cell>
          <cell r="O6874" t="str">
            <v>INR</v>
          </cell>
        </row>
        <row r="6875">
          <cell r="A6875" t="str">
            <v>L003 Ankleshwar</v>
          </cell>
          <cell r="B6875">
            <v>738945</v>
          </cell>
          <cell r="C6875" t="str">
            <v>LEAD WASHER: 23X10X3MM</v>
          </cell>
          <cell r="D6875" t="str">
            <v>L0030151                       EnggStore</v>
          </cell>
          <cell r="E6875" t="str">
            <v>E42 E42</v>
          </cell>
          <cell r="F6875" t="str">
            <v>VB Manual reorder point planning</v>
          </cell>
          <cell r="G6875" t="str">
            <v>HIBE Operating supplies</v>
          </cell>
          <cell r="H6875" t="str">
            <v>EN027     Prod&amp;OtherConsumable</v>
          </cell>
          <cell r="I6875" t="str">
            <v>L003 Ankleshwar</v>
          </cell>
          <cell r="J6875" t="str">
            <v>99 Input/Byprodt/Scrap</v>
          </cell>
          <cell r="K6875" t="str">
            <v>10.2012</v>
          </cell>
          <cell r="L6875">
            <v>50</v>
          </cell>
          <cell r="M6875" t="str">
            <v>EA</v>
          </cell>
          <cell r="N6875">
            <v>200</v>
          </cell>
          <cell r="O6875" t="str">
            <v>INR</v>
          </cell>
        </row>
        <row r="6876">
          <cell r="A6876" t="str">
            <v>L003 Ankleshwar</v>
          </cell>
          <cell r="B6876">
            <v>738954</v>
          </cell>
          <cell r="C6876" t="str">
            <v>SS316-WIRE BRAIDED FLEX HOSE: 2"X1.5FIT</v>
          </cell>
          <cell r="D6876" t="str">
            <v>L0030151                       EnggStore</v>
          </cell>
          <cell r="E6876" t="str">
            <v>E01 E01</v>
          </cell>
          <cell r="F6876" t="str">
            <v>ND No planning</v>
          </cell>
          <cell r="G6876" t="str">
            <v>HIBE Operating supplies</v>
          </cell>
          <cell r="H6876" t="str">
            <v>EN027     Prod&amp;OtherConsumable</v>
          </cell>
          <cell r="I6876" t="str">
            <v>L003 Ankleshwar</v>
          </cell>
          <cell r="J6876" t="str">
            <v>99 Input/Byprodt/Scrap</v>
          </cell>
          <cell r="K6876" t="str">
            <v>10.2012</v>
          </cell>
          <cell r="L6876">
            <v>1</v>
          </cell>
          <cell r="M6876" t="str">
            <v>EA</v>
          </cell>
          <cell r="N6876">
            <v>2316.8299999999899</v>
          </cell>
          <cell r="O6876" t="str">
            <v>INR</v>
          </cell>
        </row>
        <row r="6877">
          <cell r="A6877" t="str">
            <v>L003 Ankleshwar</v>
          </cell>
          <cell r="B6877">
            <v>738956</v>
          </cell>
          <cell r="C6877" t="str">
            <v>SS316-WIRE BRAIDED FLEX HOSE: 2"X1M</v>
          </cell>
          <cell r="D6877" t="str">
            <v>L0030151                       EnggStore</v>
          </cell>
          <cell r="E6877" t="str">
            <v>E01 E01</v>
          </cell>
          <cell r="F6877" t="str">
            <v>ND No planning</v>
          </cell>
          <cell r="G6877" t="str">
            <v>HIBE Operating supplies</v>
          </cell>
          <cell r="H6877" t="str">
            <v>EN027     Prod&amp;OtherConsumable</v>
          </cell>
          <cell r="I6877" t="str">
            <v>L003 Ankleshwar</v>
          </cell>
          <cell r="J6877" t="str">
            <v>99 Input/Byprodt/Scrap</v>
          </cell>
          <cell r="K6877" t="str">
            <v>10.2012</v>
          </cell>
          <cell r="L6877">
            <v>1</v>
          </cell>
          <cell r="M6877" t="str">
            <v>EA</v>
          </cell>
          <cell r="N6877">
            <v>3546.29</v>
          </cell>
          <cell r="O6877" t="str">
            <v>INR</v>
          </cell>
        </row>
        <row r="6878">
          <cell r="A6878" t="str">
            <v>L003 Ankleshwar</v>
          </cell>
          <cell r="B6878">
            <v>738959</v>
          </cell>
          <cell r="C6878" t="str">
            <v>SS316-WIRE BRAIDED FLEX HOSE: 1"X3M</v>
          </cell>
          <cell r="D6878" t="str">
            <v>L0030151                       EnggStore</v>
          </cell>
          <cell r="E6878" t="str">
            <v>E01 E01</v>
          </cell>
          <cell r="F6878" t="str">
            <v>ND No planning</v>
          </cell>
          <cell r="G6878" t="str">
            <v>HIBE Operating supplies</v>
          </cell>
          <cell r="H6878" t="str">
            <v>EN027     Prod&amp;OtherConsumable</v>
          </cell>
          <cell r="I6878" t="str">
            <v>L003 Ankleshwar</v>
          </cell>
          <cell r="J6878" t="str">
            <v>99 Input/Byprodt/Scrap</v>
          </cell>
          <cell r="K6878" t="str">
            <v>10.2012</v>
          </cell>
          <cell r="L6878">
            <v>1</v>
          </cell>
          <cell r="M6878" t="str">
            <v>EA</v>
          </cell>
          <cell r="N6878">
            <v>1159.6400000000001</v>
          </cell>
          <cell r="O6878" t="str">
            <v>INR</v>
          </cell>
        </row>
        <row r="6879">
          <cell r="A6879" t="str">
            <v>L003 Ankleshwar</v>
          </cell>
          <cell r="B6879">
            <v>738959</v>
          </cell>
          <cell r="C6879" t="str">
            <v>SS316-WIRE BRAIDED FLEX HOSE: 1"X3M</v>
          </cell>
          <cell r="D6879" t="str">
            <v>L0030201                       Cons StoreKP</v>
          </cell>
          <cell r="E6879" t="str">
            <v>E01 E01</v>
          </cell>
          <cell r="F6879" t="str">
            <v>ND No planning</v>
          </cell>
          <cell r="G6879" t="str">
            <v>HIBE Operating supplies</v>
          </cell>
          <cell r="H6879" t="str">
            <v>EN027     Prod&amp;OtherConsumable</v>
          </cell>
          <cell r="I6879" t="str">
            <v>L003 Ankleshwar</v>
          </cell>
          <cell r="J6879" t="str">
            <v>99 Input/Byprodt/Scrap</v>
          </cell>
          <cell r="K6879" t="str">
            <v>10.2012</v>
          </cell>
          <cell r="L6879">
            <v>1</v>
          </cell>
          <cell r="M6879" t="str">
            <v>EA</v>
          </cell>
          <cell r="N6879">
            <v>1159.6400000000001</v>
          </cell>
          <cell r="O6879" t="str">
            <v>INR</v>
          </cell>
        </row>
        <row r="6880">
          <cell r="A6880" t="str">
            <v>L003 Ankleshwar</v>
          </cell>
          <cell r="B6880">
            <v>738971</v>
          </cell>
          <cell r="C6880" t="str">
            <v>SS-316 WIRE BRAIDED HOSE MFCxNE2"X1.25M</v>
          </cell>
          <cell r="D6880" t="str">
            <v>L0030151                       EnggStore</v>
          </cell>
          <cell r="E6880" t="str">
            <v>E01 E01</v>
          </cell>
          <cell r="F6880" t="str">
            <v>ND No planning</v>
          </cell>
          <cell r="G6880" t="str">
            <v>HIBE Operating supplies</v>
          </cell>
          <cell r="H6880" t="str">
            <v>EN027     Prod&amp;OtherConsumable</v>
          </cell>
          <cell r="I6880" t="str">
            <v>L003 Ankleshwar</v>
          </cell>
          <cell r="J6880" t="str">
            <v>99 Input/Byprodt/Scrap</v>
          </cell>
          <cell r="K6880" t="str">
            <v>10.2012</v>
          </cell>
          <cell r="L6880">
            <v>1</v>
          </cell>
          <cell r="M6880" t="str">
            <v>EA</v>
          </cell>
          <cell r="N6880">
            <v>1536.55</v>
          </cell>
          <cell r="O6880" t="str">
            <v>INR</v>
          </cell>
        </row>
        <row r="6881">
          <cell r="A6881" t="str">
            <v>L003 Ankleshwar</v>
          </cell>
          <cell r="B6881">
            <v>738976</v>
          </cell>
          <cell r="C6881" t="str">
            <v>SS316 BRAID HOSE 1-1/2"X2M FExFE</v>
          </cell>
          <cell r="D6881" t="str">
            <v>L0030151                       EnggStore</v>
          </cell>
          <cell r="E6881" t="str">
            <v>E01 E01</v>
          </cell>
          <cell r="F6881" t="str">
            <v>ND No planning</v>
          </cell>
          <cell r="G6881" t="str">
            <v>HIBE Operating supplies</v>
          </cell>
          <cell r="H6881" t="str">
            <v>EN027     Prod&amp;OtherConsumable</v>
          </cell>
          <cell r="I6881" t="str">
            <v>L003 Ankleshwar</v>
          </cell>
          <cell r="J6881" t="str">
            <v>99 Input/Byprodt/Scrap</v>
          </cell>
          <cell r="K6881" t="str">
            <v>10.2012</v>
          </cell>
          <cell r="L6881">
            <v>1</v>
          </cell>
          <cell r="M6881" t="str">
            <v>EA</v>
          </cell>
          <cell r="N6881">
            <v>2317.13</v>
          </cell>
          <cell r="O6881" t="str">
            <v>INR</v>
          </cell>
        </row>
        <row r="6882">
          <cell r="A6882" t="str">
            <v>L003 Ankleshwar</v>
          </cell>
          <cell r="B6882">
            <v>738978</v>
          </cell>
          <cell r="C6882" t="str">
            <v>970MM OD SPLITTERFOOD GRADE GASKET</v>
          </cell>
          <cell r="D6882" t="str">
            <v>L0030151                       EnggStore</v>
          </cell>
          <cell r="E6882" t="str">
            <v>E42 E42</v>
          </cell>
          <cell r="F6882" t="str">
            <v>VB Manual reorder point planning</v>
          </cell>
          <cell r="G6882" t="str">
            <v>HIBE Operating supplies</v>
          </cell>
          <cell r="H6882" t="str">
            <v>EN027     Prod&amp;OtherConsumable</v>
          </cell>
          <cell r="I6882" t="str">
            <v>L003 Ankleshwar</v>
          </cell>
          <cell r="J6882" t="str">
            <v>99 Input/Byprodt/Scrap</v>
          </cell>
          <cell r="K6882" t="str">
            <v>10.2012</v>
          </cell>
          <cell r="L6882">
            <v>1</v>
          </cell>
          <cell r="M6882" t="str">
            <v>EA</v>
          </cell>
          <cell r="N6882">
            <v>1328.2</v>
          </cell>
          <cell r="O6882" t="str">
            <v>INR</v>
          </cell>
        </row>
        <row r="6883">
          <cell r="A6883" t="str">
            <v>L003 Ankleshwar</v>
          </cell>
          <cell r="B6883">
            <v>738979</v>
          </cell>
          <cell r="C6883" t="str">
            <v>720 MMOD SPLITTER FOOD GRDE GASKET</v>
          </cell>
          <cell r="D6883" t="str">
            <v>L0030151                       EnggStore</v>
          </cell>
          <cell r="E6883" t="str">
            <v>E01 E01</v>
          </cell>
          <cell r="F6883" t="str">
            <v>VB Manual reorder point planning</v>
          </cell>
          <cell r="G6883" t="str">
            <v>HIBE Operating supplies</v>
          </cell>
          <cell r="H6883" t="str">
            <v>EN027     Prod&amp;OtherConsumable</v>
          </cell>
          <cell r="I6883" t="str">
            <v>L003 Ankleshwar</v>
          </cell>
          <cell r="J6883" t="str">
            <v>99 Input/Byprodt/Scrap</v>
          </cell>
          <cell r="K6883" t="str">
            <v>10.2012</v>
          </cell>
          <cell r="L6883">
            <v>1</v>
          </cell>
          <cell r="M6883" t="str">
            <v>EA</v>
          </cell>
          <cell r="N6883">
            <v>1008.25</v>
          </cell>
          <cell r="O6883" t="str">
            <v>INR</v>
          </cell>
        </row>
        <row r="6884">
          <cell r="A6884" t="str">
            <v>L003 Ankleshwar</v>
          </cell>
          <cell r="B6884">
            <v>738980</v>
          </cell>
          <cell r="C6884" t="str">
            <v>715MM OD SPLITTER FOOD GRADE GASKET</v>
          </cell>
          <cell r="D6884" t="str">
            <v>L0030151                       EnggStore</v>
          </cell>
          <cell r="E6884" t="str">
            <v>E42 E42</v>
          </cell>
          <cell r="F6884" t="str">
            <v>VB Manual reorder point planning</v>
          </cell>
          <cell r="G6884" t="str">
            <v>HIBE Operating supplies</v>
          </cell>
          <cell r="H6884" t="str">
            <v>EN027     Prod&amp;OtherConsumable</v>
          </cell>
          <cell r="I6884" t="str">
            <v>L003 Ankleshwar</v>
          </cell>
          <cell r="J6884" t="str">
            <v>99 Input/Byprodt/Scrap</v>
          </cell>
          <cell r="K6884" t="str">
            <v>10.2012</v>
          </cell>
          <cell r="L6884">
            <v>1</v>
          </cell>
          <cell r="M6884" t="str">
            <v>EA</v>
          </cell>
          <cell r="N6884">
            <v>999</v>
          </cell>
          <cell r="O6884" t="str">
            <v>INR</v>
          </cell>
        </row>
        <row r="6885">
          <cell r="A6885" t="str">
            <v>L003 Ankleshwar</v>
          </cell>
          <cell r="B6885">
            <v>738983</v>
          </cell>
          <cell r="C6885" t="str">
            <v>UHMW PE TROLLEY WHEEL 6"X1-½"</v>
          </cell>
          <cell r="D6885" t="str">
            <v>L0030151                       EnggStore</v>
          </cell>
          <cell r="E6885" t="str">
            <v>E01 E01</v>
          </cell>
          <cell r="F6885" t="str">
            <v>ND No planning</v>
          </cell>
          <cell r="G6885" t="str">
            <v>HIBE Operating supplies</v>
          </cell>
          <cell r="H6885" t="str">
            <v>EN027     Prod&amp;OtherConsumable</v>
          </cell>
          <cell r="I6885" t="str">
            <v>L003 Ankleshwar</v>
          </cell>
          <cell r="J6885" t="str">
            <v>99 Input/Byprodt/Scrap</v>
          </cell>
          <cell r="K6885" t="str">
            <v>10.2012</v>
          </cell>
          <cell r="L6885">
            <v>2</v>
          </cell>
          <cell r="M6885" t="str">
            <v>EA</v>
          </cell>
          <cell r="N6885">
            <v>550</v>
          </cell>
          <cell r="O6885" t="str">
            <v>INR</v>
          </cell>
        </row>
        <row r="6886">
          <cell r="A6886" t="str">
            <v>L003 Ankleshwar</v>
          </cell>
          <cell r="B6886">
            <v>738984</v>
          </cell>
          <cell r="C6886" t="str">
            <v>SS316-WIRE BRAID HOSE B/E BSP(FL) 1/2"X1</v>
          </cell>
          <cell r="D6886" t="str">
            <v>L0030151                       EnggStore</v>
          </cell>
          <cell r="E6886" t="str">
            <v>E01 E01</v>
          </cell>
          <cell r="F6886" t="str">
            <v>ND No planning</v>
          </cell>
          <cell r="G6886" t="str">
            <v>HIBE Operating supplies</v>
          </cell>
          <cell r="H6886" t="str">
            <v>EN027     Prod&amp;OtherConsumable</v>
          </cell>
          <cell r="I6886" t="str">
            <v>L003 Ankleshwar</v>
          </cell>
          <cell r="J6886" t="str">
            <v>99 Input/Byprodt/Scrap</v>
          </cell>
          <cell r="K6886" t="str">
            <v>10.2012</v>
          </cell>
          <cell r="L6886">
            <v>4</v>
          </cell>
          <cell r="M6886" t="str">
            <v>EA</v>
          </cell>
          <cell r="N6886">
            <v>1350.8399999999899</v>
          </cell>
          <cell r="O6886" t="str">
            <v>INR</v>
          </cell>
        </row>
        <row r="6887">
          <cell r="A6887" t="str">
            <v>L003 Ankleshwar</v>
          </cell>
          <cell r="B6887">
            <v>738986</v>
          </cell>
          <cell r="C6887" t="str">
            <v>SS316-WIRE BRAIDED HOSE FExFE 4"x750MM</v>
          </cell>
          <cell r="D6887" t="str">
            <v>L0030201                       Cons StoreKP</v>
          </cell>
          <cell r="E6887" t="str">
            <v>E01 E01</v>
          </cell>
          <cell r="F6887" t="str">
            <v>ND No planning</v>
          </cell>
          <cell r="G6887" t="str">
            <v>HIBE Operating supplies</v>
          </cell>
          <cell r="H6887" t="str">
            <v>EN027     Prod&amp;OtherConsumable</v>
          </cell>
          <cell r="I6887" t="str">
            <v>L003 Ankleshwar</v>
          </cell>
          <cell r="J6887" t="str">
            <v>99 Input/Byprodt/Scrap</v>
          </cell>
          <cell r="K6887" t="str">
            <v>10.2012</v>
          </cell>
          <cell r="L6887">
            <v>1</v>
          </cell>
          <cell r="M6887" t="str">
            <v>EA</v>
          </cell>
          <cell r="N6887">
            <v>3821.5599999999899</v>
          </cell>
          <cell r="O6887" t="str">
            <v>INR</v>
          </cell>
        </row>
        <row r="6888">
          <cell r="A6888" t="str">
            <v>L003 Ankleshwar</v>
          </cell>
          <cell r="B6888">
            <v>738987</v>
          </cell>
          <cell r="C6888" t="str">
            <v>SS316-WIRE BRAIDED HOSE FExFE  2"x540MM</v>
          </cell>
          <cell r="D6888" t="str">
            <v>L0030151                       EnggStore</v>
          </cell>
          <cell r="E6888" t="str">
            <v>E01 E01</v>
          </cell>
          <cell r="F6888" t="str">
            <v>ND No planning</v>
          </cell>
          <cell r="G6888" t="str">
            <v>HIBE Operating supplies</v>
          </cell>
          <cell r="H6888" t="str">
            <v>EN027     Prod&amp;OtherConsumable</v>
          </cell>
          <cell r="I6888" t="str">
            <v>L003 Ankleshwar</v>
          </cell>
          <cell r="J6888" t="str">
            <v>99 Input/Byprodt/Scrap</v>
          </cell>
          <cell r="K6888" t="str">
            <v>10.2012</v>
          </cell>
          <cell r="L6888">
            <v>1</v>
          </cell>
          <cell r="M6888" t="str">
            <v>EA</v>
          </cell>
          <cell r="N6888">
            <v>559.96</v>
          </cell>
          <cell r="O6888" t="str">
            <v>INR</v>
          </cell>
        </row>
        <row r="6889">
          <cell r="A6889" t="str">
            <v>L003 Ankleshwar</v>
          </cell>
          <cell r="B6889">
            <v>738991</v>
          </cell>
          <cell r="C6889" t="str">
            <v>STICKER OF WET 7ACCA</v>
          </cell>
          <cell r="D6889" t="str">
            <v>L0030201                       Cons StoreKP</v>
          </cell>
          <cell r="E6889" t="str">
            <v>E01 E01</v>
          </cell>
          <cell r="F6889" t="str">
            <v>ND No planning</v>
          </cell>
          <cell r="G6889" t="str">
            <v>HIBE Operating supplies</v>
          </cell>
          <cell r="H6889" t="str">
            <v>EN027     Prod&amp;OtherConsumable</v>
          </cell>
          <cell r="I6889" t="str">
            <v>L003 Ankleshwar</v>
          </cell>
          <cell r="J6889" t="str">
            <v>99 Input/Byprodt/Scrap</v>
          </cell>
          <cell r="K6889" t="str">
            <v>10.2012</v>
          </cell>
          <cell r="L6889">
            <v>2000</v>
          </cell>
          <cell r="M6889" t="str">
            <v>EA</v>
          </cell>
          <cell r="N6889">
            <v>2000</v>
          </cell>
          <cell r="O6889" t="str">
            <v>INR</v>
          </cell>
        </row>
        <row r="6890">
          <cell r="A6890" t="str">
            <v>L003 Ankleshwar</v>
          </cell>
          <cell r="B6890">
            <v>739002</v>
          </cell>
          <cell r="C6890" t="str">
            <v>DA-104TERYLANTI BAG19"CIVX19"HFOR RD3101</v>
          </cell>
          <cell r="D6890" t="str">
            <v>L0030201                       Cons StoreKP</v>
          </cell>
          <cell r="E6890" t="str">
            <v>E01 E01</v>
          </cell>
          <cell r="F6890" t="str">
            <v>VB Manual reorder point planning</v>
          </cell>
          <cell r="G6890" t="str">
            <v>HIBE Operating supplies</v>
          </cell>
          <cell r="H6890" t="str">
            <v>EN040     Prinitng &amp;Stationery</v>
          </cell>
          <cell r="I6890" t="str">
            <v>L003 Ankleshwar</v>
          </cell>
          <cell r="J6890" t="str">
            <v>99 Input/Byprodt/Scrap</v>
          </cell>
          <cell r="K6890" t="str">
            <v>10.2012</v>
          </cell>
          <cell r="L6890">
            <v>2</v>
          </cell>
          <cell r="M6890" t="str">
            <v>EA</v>
          </cell>
          <cell r="N6890">
            <v>1200</v>
          </cell>
          <cell r="O6890" t="str">
            <v>INR</v>
          </cell>
        </row>
        <row r="6891">
          <cell r="A6891" t="str">
            <v>L003 Ankleshwar</v>
          </cell>
          <cell r="B6891">
            <v>739010</v>
          </cell>
          <cell r="C6891" t="str">
            <v>R-1002  MIX ANHYDRIED BOOK 100PAGE</v>
          </cell>
          <cell r="D6891" t="str">
            <v>L0030151                       EnggStore</v>
          </cell>
          <cell r="E6891" t="str">
            <v>E01 E01</v>
          </cell>
          <cell r="F6891" t="str">
            <v>ND No planning</v>
          </cell>
          <cell r="G6891" t="str">
            <v>HIBE Operating supplies</v>
          </cell>
          <cell r="H6891" t="str">
            <v>EN040     Prinitng &amp;Stationery</v>
          </cell>
          <cell r="I6891" t="str">
            <v>L003 Ankleshwar</v>
          </cell>
          <cell r="J6891" t="str">
            <v>99 Input/Byprodt/Scrap</v>
          </cell>
          <cell r="K6891" t="str">
            <v>10.2012</v>
          </cell>
          <cell r="L6891">
            <v>1</v>
          </cell>
          <cell r="M6891" t="str">
            <v>EA</v>
          </cell>
          <cell r="N6891">
            <v>150</v>
          </cell>
          <cell r="O6891" t="str">
            <v>INR</v>
          </cell>
        </row>
        <row r="6892">
          <cell r="A6892" t="str">
            <v>L003 Ankleshwar</v>
          </cell>
          <cell r="B6892">
            <v>739012</v>
          </cell>
          <cell r="C6892" t="str">
            <v>HYDROMETER 1100 TO 1200 SP.GR.</v>
          </cell>
          <cell r="D6892" t="str">
            <v>L0030151                       EnggStore</v>
          </cell>
          <cell r="E6892" t="str">
            <v>E42 E42</v>
          </cell>
          <cell r="F6892" t="str">
            <v>VB Manual reorder point planning</v>
          </cell>
          <cell r="G6892" t="str">
            <v>HIBE Operating supplies</v>
          </cell>
          <cell r="H6892" t="str">
            <v>EN027     Prod&amp;OtherConsumable</v>
          </cell>
          <cell r="I6892" t="str">
            <v>L003 Ankleshwar</v>
          </cell>
          <cell r="J6892" t="str">
            <v>99 Input/Byprodt/Scrap</v>
          </cell>
          <cell r="K6892" t="str">
            <v>10.2012</v>
          </cell>
          <cell r="L6892">
            <v>3</v>
          </cell>
          <cell r="M6892" t="str">
            <v>EA</v>
          </cell>
          <cell r="N6892">
            <v>313.5</v>
          </cell>
          <cell r="O6892" t="str">
            <v>INR</v>
          </cell>
        </row>
        <row r="6893">
          <cell r="A6893" t="str">
            <v>L003 Ankleshwar</v>
          </cell>
          <cell r="B6893">
            <v>739065</v>
          </cell>
          <cell r="C6893" t="str">
            <v>STICKER OF 7ADCA POWDER</v>
          </cell>
          <cell r="D6893" t="str">
            <v>L0030151                       EnggStore</v>
          </cell>
          <cell r="E6893" t="str">
            <v>E01 E01</v>
          </cell>
          <cell r="F6893" t="str">
            <v>VB Manual reorder point planning</v>
          </cell>
          <cell r="G6893" t="str">
            <v>HIBE Operating supplies</v>
          </cell>
          <cell r="H6893" t="str">
            <v>EN040     Prinitng &amp;Stationery</v>
          </cell>
          <cell r="I6893" t="str">
            <v>L003 Ankleshwar</v>
          </cell>
          <cell r="J6893" t="str">
            <v>99 Input/Byprodt/Scrap</v>
          </cell>
          <cell r="K6893" t="str">
            <v>10.2012</v>
          </cell>
          <cell r="L6893">
            <v>3000</v>
          </cell>
          <cell r="M6893" t="str">
            <v>EA</v>
          </cell>
          <cell r="N6893">
            <v>3000</v>
          </cell>
          <cell r="O6893" t="str">
            <v>INR</v>
          </cell>
        </row>
        <row r="6894">
          <cell r="A6894" t="str">
            <v>L003 Ankleshwar</v>
          </cell>
          <cell r="B6894">
            <v>739081</v>
          </cell>
          <cell r="C6894" t="str">
            <v>D-1001 SOLVATE DRYING BOOK 100 PAGE</v>
          </cell>
          <cell r="D6894" t="str">
            <v>L0030151                       EnggStore</v>
          </cell>
          <cell r="E6894" t="str">
            <v>E01 E01</v>
          </cell>
          <cell r="F6894" t="str">
            <v>ND No planning</v>
          </cell>
          <cell r="G6894" t="str">
            <v>HIBE Operating supplies</v>
          </cell>
          <cell r="H6894" t="str">
            <v>EN040     Prinitng &amp;Stationery</v>
          </cell>
          <cell r="I6894" t="str">
            <v>L003 Ankleshwar</v>
          </cell>
          <cell r="J6894" t="str">
            <v>99 Input/Byprodt/Scrap</v>
          </cell>
          <cell r="K6894" t="str">
            <v>10.2012</v>
          </cell>
          <cell r="L6894">
            <v>3</v>
          </cell>
          <cell r="M6894" t="str">
            <v>EA</v>
          </cell>
          <cell r="N6894">
            <v>450</v>
          </cell>
          <cell r="O6894" t="str">
            <v>INR</v>
          </cell>
        </row>
        <row r="6895">
          <cell r="A6895" t="str">
            <v>L003 Ankleshwar</v>
          </cell>
          <cell r="B6895">
            <v>739098</v>
          </cell>
          <cell r="C6895" t="str">
            <v>DA-104 H TERYLANTI BAG12"X9" RVD3201A/B</v>
          </cell>
          <cell r="D6895" t="str">
            <v>L0030201                       Cons StoreKP</v>
          </cell>
          <cell r="E6895" t="str">
            <v>E01 E01</v>
          </cell>
          <cell r="F6895" t="str">
            <v>VB Manual reorder point planning</v>
          </cell>
          <cell r="G6895" t="str">
            <v>HIBE Operating supplies</v>
          </cell>
          <cell r="H6895" t="str">
            <v>EN027     Prod&amp;OtherConsumable</v>
          </cell>
          <cell r="I6895" t="str">
            <v>L003 Ankleshwar</v>
          </cell>
          <cell r="J6895" t="str">
            <v>99 Input/Byprodt/Scrap</v>
          </cell>
          <cell r="K6895" t="str">
            <v>10.2012</v>
          </cell>
          <cell r="L6895">
            <v>2</v>
          </cell>
          <cell r="M6895" t="str">
            <v>EA</v>
          </cell>
          <cell r="N6895">
            <v>1200</v>
          </cell>
          <cell r="O6895" t="str">
            <v>INR</v>
          </cell>
        </row>
        <row r="6896">
          <cell r="A6896" t="str">
            <v>L003 Ankleshwar</v>
          </cell>
          <cell r="B6896">
            <v>739099</v>
          </cell>
          <cell r="C6896" t="str">
            <v>CEFADROXIL SRP TANK LEVEL RECO BOOK</v>
          </cell>
          <cell r="D6896" t="str">
            <v>L0030201                       Cons StoreKP</v>
          </cell>
          <cell r="E6896" t="str">
            <v>E01 E01</v>
          </cell>
          <cell r="F6896" t="str">
            <v>ND No planning</v>
          </cell>
          <cell r="G6896" t="str">
            <v>HIBE Operating supplies</v>
          </cell>
          <cell r="H6896" t="str">
            <v>EN040     Prinitng &amp;Stationery</v>
          </cell>
          <cell r="I6896" t="str">
            <v>L003 Ankleshwar</v>
          </cell>
          <cell r="J6896" t="str">
            <v>99 Input/Byprodt/Scrap</v>
          </cell>
          <cell r="K6896" t="str">
            <v>10.2012</v>
          </cell>
          <cell r="L6896">
            <v>1</v>
          </cell>
          <cell r="M6896" t="str">
            <v>EA</v>
          </cell>
          <cell r="N6896">
            <v>350</v>
          </cell>
          <cell r="O6896" t="str">
            <v>INR</v>
          </cell>
        </row>
        <row r="6897">
          <cell r="A6897" t="str">
            <v>L003 Ankleshwar</v>
          </cell>
          <cell r="B6897">
            <v>739120</v>
          </cell>
          <cell r="C6897" t="str">
            <v>PVC HOSE 1-1/2"X1/4" THICK</v>
          </cell>
          <cell r="D6897" t="str">
            <v>L0030151                       EnggStore</v>
          </cell>
          <cell r="E6897" t="str">
            <v>E42 E42</v>
          </cell>
          <cell r="F6897" t="str">
            <v>VB Manual reorder point planning</v>
          </cell>
          <cell r="G6897" t="str">
            <v>HIBE Operating supplies</v>
          </cell>
          <cell r="H6897" t="str">
            <v>EN027     Prod&amp;OtherConsumable</v>
          </cell>
          <cell r="I6897" t="str">
            <v>L003 Ankleshwar</v>
          </cell>
          <cell r="J6897" t="str">
            <v>99 Input/Byprodt/Scrap</v>
          </cell>
          <cell r="K6897" t="str">
            <v>10.2012</v>
          </cell>
          <cell r="L6897">
            <v>14.1999999999999</v>
          </cell>
          <cell r="M6897" t="str">
            <v>KG</v>
          </cell>
          <cell r="N6897">
            <v>1562</v>
          </cell>
          <cell r="O6897" t="str">
            <v>INR</v>
          </cell>
        </row>
        <row r="6898">
          <cell r="A6898" t="str">
            <v>L003 Ankleshwar</v>
          </cell>
          <cell r="B6898">
            <v>739141</v>
          </cell>
          <cell r="C6898" t="str">
            <v>D-900S ANF 3201A FILTER CLOTH 2200 MMDIA</v>
          </cell>
          <cell r="D6898" t="str">
            <v>L0030201                       Cons StoreKP</v>
          </cell>
          <cell r="E6898" t="str">
            <v>E42 E42</v>
          </cell>
          <cell r="F6898" t="str">
            <v>VB Manual reorder point planning</v>
          </cell>
          <cell r="G6898" t="str">
            <v>HIBE Operating supplies</v>
          </cell>
          <cell r="H6898" t="str">
            <v>EN027     Prod&amp;OtherConsumable</v>
          </cell>
          <cell r="I6898" t="str">
            <v>L003 Ankleshwar</v>
          </cell>
          <cell r="J6898" t="str">
            <v>99 Input/Byprodt/Scrap</v>
          </cell>
          <cell r="K6898" t="str">
            <v>10.2012</v>
          </cell>
          <cell r="L6898">
            <v>2</v>
          </cell>
          <cell r="M6898" t="str">
            <v>EA</v>
          </cell>
          <cell r="N6898">
            <v>2996</v>
          </cell>
          <cell r="O6898" t="str">
            <v>INR</v>
          </cell>
        </row>
        <row r="6899">
          <cell r="A6899" t="str">
            <v>L003 Ankleshwar</v>
          </cell>
          <cell r="B6899">
            <v>739146</v>
          </cell>
          <cell r="C6899" t="str">
            <v>ULTRA FILTER UNIT FOR D.M WATER</v>
          </cell>
          <cell r="D6899" t="str">
            <v>L0030201                       Cons StoreKP</v>
          </cell>
          <cell r="E6899" t="str">
            <v>E01 E01</v>
          </cell>
          <cell r="F6899" t="str">
            <v>ND No planning</v>
          </cell>
          <cell r="G6899" t="str">
            <v>HIBE Operating supplies</v>
          </cell>
          <cell r="H6899" t="str">
            <v>EN027     Prod&amp;OtherConsumable</v>
          </cell>
          <cell r="I6899" t="str">
            <v>L003 Ankleshwar</v>
          </cell>
          <cell r="J6899" t="str">
            <v>99 Input/Byprodt/Scrap</v>
          </cell>
          <cell r="K6899" t="str">
            <v>10.2012</v>
          </cell>
          <cell r="L6899">
            <v>1</v>
          </cell>
          <cell r="M6899" t="str">
            <v>EA</v>
          </cell>
          <cell r="N6899">
            <v>173922.48</v>
          </cell>
          <cell r="O6899" t="str">
            <v>INR</v>
          </cell>
        </row>
        <row r="6900">
          <cell r="A6900" t="str">
            <v>L003 Ankleshwar</v>
          </cell>
          <cell r="B6900">
            <v>739147</v>
          </cell>
          <cell r="C6900" t="str">
            <v>SS-PERFORATED JALI-SUBODH SPARKLER: 14"</v>
          </cell>
          <cell r="D6900" t="str">
            <v>L0030151                       EnggStore</v>
          </cell>
          <cell r="E6900" t="str">
            <v>E01 E01</v>
          </cell>
          <cell r="F6900" t="str">
            <v>ND No planning</v>
          </cell>
          <cell r="G6900" t="str">
            <v>HIBE Operating supplies</v>
          </cell>
          <cell r="H6900" t="str">
            <v>EN027     Prod&amp;OtherConsumable</v>
          </cell>
          <cell r="I6900" t="str">
            <v>L003 Ankleshwar</v>
          </cell>
          <cell r="J6900" t="str">
            <v>99 Input/Byprodt/Scrap</v>
          </cell>
          <cell r="K6900" t="str">
            <v>10.2012</v>
          </cell>
          <cell r="L6900">
            <v>10</v>
          </cell>
          <cell r="M6900" t="str">
            <v>EA</v>
          </cell>
          <cell r="N6900">
            <v>8850</v>
          </cell>
          <cell r="O6900" t="str">
            <v>INR</v>
          </cell>
        </row>
        <row r="6901">
          <cell r="A6901" t="str">
            <v>L003 Ankleshwar</v>
          </cell>
          <cell r="B6901">
            <v>739149</v>
          </cell>
          <cell r="C6901" t="str">
            <v>SS-PERFORATED JALI-SUBODH SPARKLER: 18"</v>
          </cell>
          <cell r="D6901" t="str">
            <v>L0030151                       EnggStore</v>
          </cell>
          <cell r="E6901" t="str">
            <v>E01 E01</v>
          </cell>
          <cell r="F6901" t="str">
            <v>ND No planning</v>
          </cell>
          <cell r="G6901" t="str">
            <v>HIBE Operating supplies</v>
          </cell>
          <cell r="H6901" t="str">
            <v>EN027     Prod&amp;OtherConsumable</v>
          </cell>
          <cell r="I6901" t="str">
            <v>L003 Ankleshwar</v>
          </cell>
          <cell r="J6901" t="str">
            <v>99 Input/Byprodt/Scrap</v>
          </cell>
          <cell r="K6901" t="str">
            <v>10.2012</v>
          </cell>
          <cell r="L6901">
            <v>6</v>
          </cell>
          <cell r="M6901" t="str">
            <v>EA</v>
          </cell>
          <cell r="N6901">
            <v>8602.5</v>
          </cell>
          <cell r="O6901" t="str">
            <v>INR</v>
          </cell>
        </row>
        <row r="6902">
          <cell r="A6902" t="str">
            <v>L003 Ankleshwar</v>
          </cell>
          <cell r="B6902">
            <v>739151</v>
          </cell>
          <cell r="C6902" t="str">
            <v>SPECIMEN SIGNATURE BOOK</v>
          </cell>
          <cell r="D6902" t="str">
            <v>L0030201                       Cons StoreKP</v>
          </cell>
          <cell r="E6902" t="str">
            <v>E01 E01</v>
          </cell>
          <cell r="F6902" t="str">
            <v>VB Manual reorder point planning</v>
          </cell>
          <cell r="G6902" t="str">
            <v>HIBE Operating supplies</v>
          </cell>
          <cell r="H6902" t="str">
            <v>EN040     Prinitng &amp;Stationery</v>
          </cell>
          <cell r="I6902" t="str">
            <v>L003 Ankleshwar</v>
          </cell>
          <cell r="J6902" t="str">
            <v>99 Input/Byprodt/Scrap</v>
          </cell>
          <cell r="K6902" t="str">
            <v>10.2012</v>
          </cell>
          <cell r="L6902">
            <v>8</v>
          </cell>
          <cell r="M6902" t="str">
            <v>EA</v>
          </cell>
          <cell r="N6902">
            <v>1440</v>
          </cell>
          <cell r="O6902" t="str">
            <v>INR</v>
          </cell>
        </row>
        <row r="6903">
          <cell r="A6903" t="str">
            <v>L003 Ankleshwar</v>
          </cell>
          <cell r="B6903">
            <v>739152</v>
          </cell>
          <cell r="C6903" t="str">
            <v>SAS BOOK FOR WETPEN G SULFOXIDE 7-APDCA</v>
          </cell>
          <cell r="D6903" t="str">
            <v>L0030151                       EnggStore</v>
          </cell>
          <cell r="E6903" t="str">
            <v>E01 E01</v>
          </cell>
          <cell r="F6903" t="str">
            <v>ND No planning</v>
          </cell>
          <cell r="G6903" t="str">
            <v>HIBE Operating supplies</v>
          </cell>
          <cell r="H6903" t="str">
            <v>EN040     Prinitng &amp;Stationery</v>
          </cell>
          <cell r="I6903" t="str">
            <v>L003 Ankleshwar</v>
          </cell>
          <cell r="J6903" t="str">
            <v>99 Input/Byprodt/Scrap</v>
          </cell>
          <cell r="K6903" t="str">
            <v>10.2012</v>
          </cell>
          <cell r="L6903">
            <v>10</v>
          </cell>
          <cell r="M6903" t="str">
            <v>EA</v>
          </cell>
          <cell r="N6903">
            <v>997.5</v>
          </cell>
          <cell r="O6903" t="str">
            <v>INR</v>
          </cell>
        </row>
        <row r="6904">
          <cell r="A6904" t="str">
            <v>L003 Ankleshwar</v>
          </cell>
          <cell r="B6904">
            <v>739171</v>
          </cell>
          <cell r="C6904" t="str">
            <v>UHMW PE TROLLEY WHEEL 8"X2"</v>
          </cell>
          <cell r="D6904" t="str">
            <v>L0030151                       EnggStore</v>
          </cell>
          <cell r="E6904" t="str">
            <v>E42 E42</v>
          </cell>
          <cell r="F6904" t="str">
            <v>VB Manual reorder point planning</v>
          </cell>
          <cell r="G6904" t="str">
            <v>HIBE Operating supplies</v>
          </cell>
          <cell r="H6904" t="str">
            <v>EN027     Prod&amp;OtherConsumable</v>
          </cell>
          <cell r="I6904" t="str">
            <v>L003 Ankleshwar</v>
          </cell>
          <cell r="J6904" t="str">
            <v>99 Input/Byprodt/Scrap</v>
          </cell>
          <cell r="K6904" t="str">
            <v>10.2012</v>
          </cell>
          <cell r="L6904">
            <v>6</v>
          </cell>
          <cell r="M6904" t="str">
            <v>EA</v>
          </cell>
          <cell r="N6904">
            <v>4062.5</v>
          </cell>
          <cell r="O6904" t="str">
            <v>INR</v>
          </cell>
        </row>
        <row r="6905">
          <cell r="A6905" t="str">
            <v>L003 Ankleshwar</v>
          </cell>
          <cell r="B6905">
            <v>739174</v>
          </cell>
          <cell r="C6905" t="str">
            <v>12"GLASS MERCURY THERMOMETER -10+150 C</v>
          </cell>
          <cell r="D6905" t="str">
            <v>L0030151                       EnggStore</v>
          </cell>
          <cell r="E6905" t="str">
            <v>E42 E42</v>
          </cell>
          <cell r="F6905" t="str">
            <v>VB Manual reorder point planning</v>
          </cell>
          <cell r="G6905" t="str">
            <v>HIBE Operating supplies</v>
          </cell>
          <cell r="H6905" t="str">
            <v>EN027     Prod&amp;OtherConsumable</v>
          </cell>
          <cell r="I6905" t="str">
            <v>L003 Ankleshwar</v>
          </cell>
          <cell r="J6905" t="str">
            <v>99 Input/Byprodt/Scrap</v>
          </cell>
          <cell r="K6905" t="str">
            <v>10.2012</v>
          </cell>
          <cell r="L6905">
            <v>4</v>
          </cell>
          <cell r="M6905" t="str">
            <v>EA</v>
          </cell>
          <cell r="N6905">
            <v>504</v>
          </cell>
          <cell r="O6905" t="str">
            <v>INR</v>
          </cell>
        </row>
        <row r="6906">
          <cell r="A6906" t="str">
            <v>L003 Ankleshwar</v>
          </cell>
          <cell r="B6906">
            <v>739260</v>
          </cell>
          <cell r="C6906" t="str">
            <v>7ACCA YIELD MONITORING CLUSTER BOOK</v>
          </cell>
          <cell r="D6906" t="str">
            <v>L0030201                       Cons StoreKP</v>
          </cell>
          <cell r="E6906" t="str">
            <v>E01 E01</v>
          </cell>
          <cell r="F6906" t="str">
            <v>ND No planning</v>
          </cell>
          <cell r="G6906" t="str">
            <v>HIBE Operating supplies</v>
          </cell>
          <cell r="H6906" t="str">
            <v>EN040     Prinitng &amp;Stationery</v>
          </cell>
          <cell r="I6906" t="str">
            <v>L003 Ankleshwar</v>
          </cell>
          <cell r="J6906" t="str">
            <v>99 Input/Byprodt/Scrap</v>
          </cell>
          <cell r="K6906" t="str">
            <v>10.2012</v>
          </cell>
          <cell r="L6906">
            <v>4</v>
          </cell>
          <cell r="M6906" t="str">
            <v>EA</v>
          </cell>
          <cell r="N6906">
            <v>240</v>
          </cell>
          <cell r="O6906" t="str">
            <v>INR</v>
          </cell>
        </row>
        <row r="6907">
          <cell r="A6907" t="str">
            <v>L003 Ankleshwar</v>
          </cell>
          <cell r="B6907">
            <v>739269</v>
          </cell>
          <cell r="C6907" t="str">
            <v>SAS BOOK FOR  WET 7-APDCA</v>
          </cell>
          <cell r="D6907" t="str">
            <v>L0030151                       EnggStore</v>
          </cell>
          <cell r="E6907" t="str">
            <v>E01 E01</v>
          </cell>
          <cell r="F6907" t="str">
            <v>VB Manual reorder point planning</v>
          </cell>
          <cell r="G6907" t="str">
            <v>HIBE Operating supplies</v>
          </cell>
          <cell r="H6907" t="str">
            <v>EN040     Prinitng &amp;Stationery</v>
          </cell>
          <cell r="I6907" t="str">
            <v>L003 Ankleshwar</v>
          </cell>
          <cell r="J6907" t="str">
            <v>99 Input/Byprodt/Scrap</v>
          </cell>
          <cell r="K6907" t="str">
            <v>10.2012</v>
          </cell>
          <cell r="L6907">
            <v>10</v>
          </cell>
          <cell r="M6907" t="str">
            <v>EA</v>
          </cell>
          <cell r="N6907">
            <v>997.5</v>
          </cell>
          <cell r="O6907" t="str">
            <v>INR</v>
          </cell>
        </row>
        <row r="6908">
          <cell r="A6908" t="str">
            <v>L003 Ankleshwar</v>
          </cell>
          <cell r="B6908">
            <v>739275</v>
          </cell>
          <cell r="C6908" t="str">
            <v>S.S.304 HOSE CLAMP - 1/2''</v>
          </cell>
          <cell r="D6908" t="str">
            <v>L0030151                       EnggStore</v>
          </cell>
          <cell r="E6908" t="str">
            <v>E01 E01</v>
          </cell>
          <cell r="F6908" t="str">
            <v>ND No planning</v>
          </cell>
          <cell r="G6908" t="str">
            <v>HIBE Operating supplies</v>
          </cell>
          <cell r="H6908" t="str">
            <v>EN027     Prod&amp;OtherConsumable</v>
          </cell>
          <cell r="I6908" t="str">
            <v>L003 Ankleshwar</v>
          </cell>
          <cell r="J6908" t="str">
            <v>99 Input/Byprodt/Scrap</v>
          </cell>
          <cell r="K6908" t="str">
            <v>10.2012</v>
          </cell>
          <cell r="L6908">
            <v>650</v>
          </cell>
          <cell r="M6908" t="str">
            <v>EA</v>
          </cell>
          <cell r="N6908">
            <v>15600</v>
          </cell>
          <cell r="O6908" t="str">
            <v>INR</v>
          </cell>
        </row>
        <row r="6909">
          <cell r="A6909" t="str">
            <v>L003 Ankleshwar</v>
          </cell>
          <cell r="B6909">
            <v>739302</v>
          </cell>
          <cell r="C6909" t="str">
            <v>SAS BOOK FOR  HMDO+TOLUENE7-APDCA</v>
          </cell>
          <cell r="D6909" t="str">
            <v>L0030151                       EnggStore</v>
          </cell>
          <cell r="E6909" t="str">
            <v>E01 E01</v>
          </cell>
          <cell r="F6909" t="str">
            <v>VB Manual reorder point planning</v>
          </cell>
          <cell r="G6909" t="str">
            <v>HIBE Operating supplies</v>
          </cell>
          <cell r="H6909" t="str">
            <v>EN040     Prinitng &amp;Stationery</v>
          </cell>
          <cell r="I6909" t="str">
            <v>L003 Ankleshwar</v>
          </cell>
          <cell r="J6909" t="str">
            <v>99 Input/Byprodt/Scrap</v>
          </cell>
          <cell r="K6909" t="str">
            <v>10.2012</v>
          </cell>
          <cell r="L6909">
            <v>11</v>
          </cell>
          <cell r="M6909" t="str">
            <v>EA</v>
          </cell>
          <cell r="N6909">
            <v>1097.25</v>
          </cell>
          <cell r="O6909" t="str">
            <v>INR</v>
          </cell>
        </row>
        <row r="6910">
          <cell r="A6910" t="str">
            <v>L003 Ankleshwar</v>
          </cell>
          <cell r="B6910">
            <v>739303</v>
          </cell>
          <cell r="C6910" t="str">
            <v>SAS BOOK FOR  RECOVERED TOLUENE7-APDCA</v>
          </cell>
          <cell r="D6910" t="str">
            <v>L0030151                       EnggStore</v>
          </cell>
          <cell r="E6910" t="str">
            <v>E01 E01</v>
          </cell>
          <cell r="F6910" t="str">
            <v>VB Manual reorder point planning</v>
          </cell>
          <cell r="G6910" t="str">
            <v>HIBE Operating supplies</v>
          </cell>
          <cell r="H6910" t="str">
            <v>EN040     Prinitng &amp;Stationery</v>
          </cell>
          <cell r="I6910" t="str">
            <v>L003 Ankleshwar</v>
          </cell>
          <cell r="J6910" t="str">
            <v>99 Input/Byprodt/Scrap</v>
          </cell>
          <cell r="K6910" t="str">
            <v>10.2012</v>
          </cell>
          <cell r="L6910">
            <v>10</v>
          </cell>
          <cell r="M6910" t="str">
            <v>EA</v>
          </cell>
          <cell r="N6910">
            <v>997.5</v>
          </cell>
          <cell r="O6910" t="str">
            <v>INR</v>
          </cell>
        </row>
        <row r="6911">
          <cell r="A6911" t="str">
            <v>L003 Ankleshwar</v>
          </cell>
          <cell r="B6911">
            <v>739304</v>
          </cell>
          <cell r="C6911" t="str">
            <v>SAS BOOK FOR  TOLUENE 7-APDCA SRP</v>
          </cell>
          <cell r="D6911" t="str">
            <v>L0030151                       EnggStore</v>
          </cell>
          <cell r="E6911" t="str">
            <v>E01 E01</v>
          </cell>
          <cell r="F6911" t="str">
            <v>VB Manual reorder point planning</v>
          </cell>
          <cell r="G6911" t="str">
            <v>HIBE Operating supplies</v>
          </cell>
          <cell r="H6911" t="str">
            <v>EN040     Prinitng &amp;Stationery</v>
          </cell>
          <cell r="I6911" t="str">
            <v>L003 Ankleshwar</v>
          </cell>
          <cell r="J6911" t="str">
            <v>99 Input/Byprodt/Scrap</v>
          </cell>
          <cell r="K6911" t="str">
            <v>10.2012</v>
          </cell>
          <cell r="L6911">
            <v>10</v>
          </cell>
          <cell r="M6911" t="str">
            <v>EA</v>
          </cell>
          <cell r="N6911">
            <v>997.5</v>
          </cell>
          <cell r="O6911" t="str">
            <v>INR</v>
          </cell>
        </row>
        <row r="6912">
          <cell r="A6912" t="str">
            <v>L003 Ankleshwar</v>
          </cell>
          <cell r="B6912">
            <v>739305</v>
          </cell>
          <cell r="C6912" t="str">
            <v>SAS BOOK FOR  PYRIDINE SULPHATE 7-APDCA</v>
          </cell>
          <cell r="D6912" t="str">
            <v>L0030151                       EnggStore</v>
          </cell>
          <cell r="E6912" t="str">
            <v>E01 E01</v>
          </cell>
          <cell r="F6912" t="str">
            <v>VB Manual reorder point planning</v>
          </cell>
          <cell r="G6912" t="str">
            <v>HIBE Operating supplies</v>
          </cell>
          <cell r="H6912" t="str">
            <v>EN040     Prinitng &amp;Stationery</v>
          </cell>
          <cell r="I6912" t="str">
            <v>L003 Ankleshwar</v>
          </cell>
          <cell r="J6912" t="str">
            <v>99 Input/Byprodt/Scrap</v>
          </cell>
          <cell r="K6912" t="str">
            <v>10.2012</v>
          </cell>
          <cell r="L6912">
            <v>10</v>
          </cell>
          <cell r="M6912" t="str">
            <v>EA</v>
          </cell>
          <cell r="N6912">
            <v>997.5</v>
          </cell>
          <cell r="O6912" t="str">
            <v>INR</v>
          </cell>
        </row>
        <row r="6913">
          <cell r="A6913" t="str">
            <v>L003 Ankleshwar</v>
          </cell>
          <cell r="B6913">
            <v>739306</v>
          </cell>
          <cell r="C6913" t="str">
            <v>SAS BOOK FOR  SPENT ACID 7-APDCA</v>
          </cell>
          <cell r="D6913" t="str">
            <v>L0030201                       Cons StoreKP</v>
          </cell>
          <cell r="E6913" t="str">
            <v>E01 E01</v>
          </cell>
          <cell r="F6913" t="str">
            <v>VB Manual reorder point planning</v>
          </cell>
          <cell r="G6913" t="str">
            <v>HIBE Operating supplies</v>
          </cell>
          <cell r="H6913" t="str">
            <v>EN040     Prinitng &amp;Stationery</v>
          </cell>
          <cell r="I6913" t="str">
            <v>L003 Ankleshwar</v>
          </cell>
          <cell r="J6913" t="str">
            <v>99 Input/Byprodt/Scrap</v>
          </cell>
          <cell r="K6913" t="str">
            <v>10.2012</v>
          </cell>
          <cell r="L6913">
            <v>10</v>
          </cell>
          <cell r="M6913" t="str">
            <v>EA</v>
          </cell>
          <cell r="N6913">
            <v>997.5</v>
          </cell>
          <cell r="O6913" t="str">
            <v>INR</v>
          </cell>
        </row>
        <row r="6914">
          <cell r="A6914" t="str">
            <v>L003 Ankleshwar</v>
          </cell>
          <cell r="B6914">
            <v>739319</v>
          </cell>
          <cell r="C6914" t="str">
            <v>DAILY MCC READING BOOK,PLOT-124</v>
          </cell>
          <cell r="D6914" t="str">
            <v>L0030151                       EnggStore</v>
          </cell>
          <cell r="E6914" t="str">
            <v>E01 E01</v>
          </cell>
          <cell r="F6914" t="str">
            <v>ND No planning</v>
          </cell>
          <cell r="G6914" t="str">
            <v>HIBE Operating supplies</v>
          </cell>
          <cell r="H6914" t="str">
            <v>EN024     EnggConsumables</v>
          </cell>
          <cell r="I6914" t="str">
            <v>L003 Ankleshwar</v>
          </cell>
          <cell r="J6914" t="str">
            <v>99 Input/Byprodt/Scrap</v>
          </cell>
          <cell r="K6914" t="str">
            <v>10.2012</v>
          </cell>
          <cell r="L6914">
            <v>5</v>
          </cell>
          <cell r="M6914" t="str">
            <v>EA</v>
          </cell>
          <cell r="N6914">
            <v>2400</v>
          </cell>
          <cell r="O6914" t="str">
            <v>INR</v>
          </cell>
        </row>
        <row r="6915">
          <cell r="A6915" t="str">
            <v>L003 Ankleshwar</v>
          </cell>
          <cell r="B6915">
            <v>739320</v>
          </cell>
          <cell r="C6915" t="str">
            <v>TRANSFORMER CHECKLIST BOOK</v>
          </cell>
          <cell r="D6915" t="str">
            <v>L0030151                       EnggStore</v>
          </cell>
          <cell r="E6915" t="str">
            <v>E01 E01</v>
          </cell>
          <cell r="F6915" t="str">
            <v>ND No planning</v>
          </cell>
          <cell r="G6915" t="str">
            <v>HIBE Operating supplies</v>
          </cell>
          <cell r="H6915" t="str">
            <v>EN040     Prinitng &amp;Stationery</v>
          </cell>
          <cell r="I6915" t="str">
            <v>L003 Ankleshwar</v>
          </cell>
          <cell r="J6915" t="str">
            <v>99 Input/Byprodt/Scrap</v>
          </cell>
          <cell r="K6915" t="str">
            <v>10.2012</v>
          </cell>
          <cell r="L6915">
            <v>6</v>
          </cell>
          <cell r="M6915" t="str">
            <v>EA</v>
          </cell>
          <cell r="N6915">
            <v>480</v>
          </cell>
          <cell r="O6915" t="str">
            <v>INR</v>
          </cell>
        </row>
        <row r="6916">
          <cell r="A6916" t="str">
            <v>L003 Ankleshwar</v>
          </cell>
          <cell r="B6916">
            <v>739347</v>
          </cell>
          <cell r="C6916" t="str">
            <v>BRASSO LIQUID</v>
          </cell>
          <cell r="D6916" t="str">
            <v>L0030151                       EnggStore</v>
          </cell>
          <cell r="E6916" t="str">
            <v>E42 E42</v>
          </cell>
          <cell r="F6916" t="str">
            <v>VB Manual reorder point planning</v>
          </cell>
          <cell r="G6916" t="str">
            <v>HIBE Operating supplies</v>
          </cell>
          <cell r="H6916" t="str">
            <v>EN027     Prod&amp;OtherConsumable</v>
          </cell>
          <cell r="I6916" t="str">
            <v>L003 Ankleshwar</v>
          </cell>
          <cell r="J6916" t="str">
            <v>99 Input/Byprodt/Scrap</v>
          </cell>
          <cell r="K6916" t="str">
            <v>10.2012</v>
          </cell>
          <cell r="L6916">
            <v>5.5</v>
          </cell>
          <cell r="M6916" t="str">
            <v>EA</v>
          </cell>
          <cell r="N6916">
            <v>904.48</v>
          </cell>
          <cell r="O6916" t="str">
            <v>INR</v>
          </cell>
        </row>
        <row r="6917">
          <cell r="A6917" t="str">
            <v>L003 Ankleshwar</v>
          </cell>
          <cell r="B6917">
            <v>739456</v>
          </cell>
          <cell r="C6917" t="str">
            <v>SS 316 SIFTR SIEVE 100 MSH 30 LEAD FREE</v>
          </cell>
          <cell r="D6917" t="str">
            <v>L0030151                       EnggStore</v>
          </cell>
          <cell r="E6917" t="str">
            <v>E42 E42</v>
          </cell>
          <cell r="F6917" t="str">
            <v>VB Manual reorder point planning</v>
          </cell>
          <cell r="G6917" t="str">
            <v>HIBE Operating supplies</v>
          </cell>
          <cell r="H6917" t="str">
            <v>EN027     Prod&amp;OtherConsumable</v>
          </cell>
          <cell r="I6917" t="str">
            <v>L003 Ankleshwar</v>
          </cell>
          <cell r="J6917" t="str">
            <v>99 Input/Byprodt/Scrap</v>
          </cell>
          <cell r="K6917" t="str">
            <v>10.2012</v>
          </cell>
          <cell r="L6917">
            <v>4</v>
          </cell>
          <cell r="M6917" t="str">
            <v>EA</v>
          </cell>
          <cell r="N6917">
            <v>13175.01</v>
          </cell>
          <cell r="O6917" t="str">
            <v>INR</v>
          </cell>
        </row>
        <row r="6918">
          <cell r="A6918" t="str">
            <v>L003 Ankleshwar</v>
          </cell>
          <cell r="B6918">
            <v>739457</v>
          </cell>
          <cell r="C6918" t="str">
            <v>SS MULTIMILL SIEVE 1.5MM</v>
          </cell>
          <cell r="D6918" t="str">
            <v>L0030151                       EnggStore</v>
          </cell>
          <cell r="E6918" t="str">
            <v>E42 E42</v>
          </cell>
          <cell r="F6918" t="str">
            <v>VB Manual reorder point planning</v>
          </cell>
          <cell r="G6918" t="str">
            <v>HIBE Operating supplies</v>
          </cell>
          <cell r="H6918" t="str">
            <v>EN027     Prod&amp;OtherConsumable</v>
          </cell>
          <cell r="I6918" t="str">
            <v>L003 Ankleshwar</v>
          </cell>
          <cell r="J6918" t="str">
            <v>99 Input/Byprodt/Scrap</v>
          </cell>
          <cell r="K6918" t="str">
            <v>10.2012</v>
          </cell>
          <cell r="L6918">
            <v>3</v>
          </cell>
          <cell r="M6918" t="str">
            <v>EA</v>
          </cell>
          <cell r="N6918">
            <v>3757.1599999999899</v>
          </cell>
          <cell r="O6918" t="str">
            <v>INR</v>
          </cell>
        </row>
        <row r="6919">
          <cell r="A6919" t="str">
            <v>L003 Ankleshwar</v>
          </cell>
          <cell r="B6919">
            <v>739458</v>
          </cell>
          <cell r="C6919" t="str">
            <v>S.S.316 MULTIMILL SIEVES 2 MM DIA.</v>
          </cell>
          <cell r="D6919" t="str">
            <v>L0030151                       EnggStore</v>
          </cell>
          <cell r="E6919" t="str">
            <v>E42 E42</v>
          </cell>
          <cell r="F6919" t="str">
            <v>VB Manual reorder point planning</v>
          </cell>
          <cell r="G6919" t="str">
            <v>HIBE Operating supplies</v>
          </cell>
          <cell r="H6919" t="str">
            <v>EN027     Prod&amp;OtherConsumable</v>
          </cell>
          <cell r="I6919" t="str">
            <v>L003 Ankleshwar</v>
          </cell>
          <cell r="J6919" t="str">
            <v>99 Input/Byprodt/Scrap</v>
          </cell>
          <cell r="K6919" t="str">
            <v>10.2012</v>
          </cell>
          <cell r="L6919">
            <v>4</v>
          </cell>
          <cell r="M6919" t="str">
            <v>EA</v>
          </cell>
          <cell r="N6919">
            <v>6034.3999999999896</v>
          </cell>
          <cell r="O6919" t="str">
            <v>INR</v>
          </cell>
        </row>
        <row r="6920">
          <cell r="A6920" t="str">
            <v>L003 Ankleshwar</v>
          </cell>
          <cell r="B6920">
            <v>739459</v>
          </cell>
          <cell r="C6920" t="str">
            <v>SIEVE,SS316,FOR SIFTER, 20X100 MESH</v>
          </cell>
          <cell r="D6920" t="str">
            <v>L0030151                       EnggStore</v>
          </cell>
          <cell r="E6920" t="str">
            <v>E42 E42</v>
          </cell>
          <cell r="F6920" t="str">
            <v>VB Manual reorder point planning</v>
          </cell>
          <cell r="G6920" t="str">
            <v>HIBE Operating supplies</v>
          </cell>
          <cell r="H6920" t="str">
            <v>EN027     Prod&amp;OtherConsumable</v>
          </cell>
          <cell r="I6920" t="str">
            <v>L003 Ankleshwar</v>
          </cell>
          <cell r="J6920" t="str">
            <v>99 Input/Byprodt/Scrap</v>
          </cell>
          <cell r="K6920" t="str">
            <v>10.2012</v>
          </cell>
          <cell r="L6920">
            <v>5</v>
          </cell>
          <cell r="M6920" t="str">
            <v>EA</v>
          </cell>
          <cell r="N6920">
            <v>8248.45999999999</v>
          </cell>
          <cell r="O6920" t="str">
            <v>INR</v>
          </cell>
        </row>
        <row r="6921">
          <cell r="A6921" t="str">
            <v>L003 Ankleshwar</v>
          </cell>
          <cell r="B6921">
            <v>739460</v>
          </cell>
          <cell r="C6921" t="str">
            <v>SS 316 MULTIMILL SIEVE 5THK,D-264,H-140</v>
          </cell>
          <cell r="D6921" t="str">
            <v>L0030151                       EnggStore</v>
          </cell>
          <cell r="E6921" t="str">
            <v>E42 E42</v>
          </cell>
          <cell r="F6921" t="str">
            <v>VB Manual reorder point planning</v>
          </cell>
          <cell r="G6921" t="str">
            <v>HIBE Operating supplies</v>
          </cell>
          <cell r="H6921" t="str">
            <v>EN027     Prod&amp;OtherConsumable</v>
          </cell>
          <cell r="I6921" t="str">
            <v>L003 Ankleshwar</v>
          </cell>
          <cell r="J6921" t="str">
            <v>99 Input/Byprodt/Scrap</v>
          </cell>
          <cell r="K6921" t="str">
            <v>10.2012</v>
          </cell>
          <cell r="L6921">
            <v>2</v>
          </cell>
          <cell r="M6921" t="str">
            <v>EA</v>
          </cell>
          <cell r="N6921">
            <v>3182.51</v>
          </cell>
          <cell r="O6921" t="str">
            <v>INR</v>
          </cell>
        </row>
        <row r="6922">
          <cell r="A6922" t="str">
            <v>L003 Ankleshwar</v>
          </cell>
          <cell r="B6922">
            <v>739508</v>
          </cell>
          <cell r="C6922" t="str">
            <v>MS SHOWEL WITH HANDEL(BELCHA)</v>
          </cell>
          <cell r="D6922" t="str">
            <v>L0030151                       EnggStore</v>
          </cell>
          <cell r="E6922" t="str">
            <v>E01 E01</v>
          </cell>
          <cell r="F6922" t="str">
            <v>ND No planning</v>
          </cell>
          <cell r="G6922" t="str">
            <v>HIBE Operating supplies</v>
          </cell>
          <cell r="H6922" t="str">
            <v>EN019     Civil/Buliding Mater</v>
          </cell>
          <cell r="I6922" t="str">
            <v>L003 Ankleshwar</v>
          </cell>
          <cell r="J6922" t="str">
            <v>99 Input/Byprodt/Scrap</v>
          </cell>
          <cell r="K6922" t="str">
            <v>10.2012</v>
          </cell>
          <cell r="L6922">
            <v>6</v>
          </cell>
          <cell r="M6922" t="str">
            <v>EA</v>
          </cell>
          <cell r="N6922">
            <v>1080</v>
          </cell>
          <cell r="O6922" t="str">
            <v>INR</v>
          </cell>
        </row>
        <row r="6923">
          <cell r="A6923" t="str">
            <v>L003 Ankleshwar</v>
          </cell>
          <cell r="B6923">
            <v>739659</v>
          </cell>
          <cell r="C6923" t="str">
            <v>DURACELL BATTERY SIZE: ½ AA-1.5V</v>
          </cell>
          <cell r="D6923" t="str">
            <v>L0030151                       EnggStore</v>
          </cell>
          <cell r="E6923" t="str">
            <v>E42 E42</v>
          </cell>
          <cell r="F6923" t="str">
            <v>VB Manual reorder point planning</v>
          </cell>
          <cell r="G6923" t="str">
            <v>HIBE Operating supplies</v>
          </cell>
          <cell r="H6923" t="str">
            <v>EN017     InstrumentSpares</v>
          </cell>
          <cell r="I6923" t="str">
            <v>L003 Ankleshwar</v>
          </cell>
          <cell r="J6923" t="str">
            <v>99 Input/Byprodt/Scrap</v>
          </cell>
          <cell r="K6923" t="str">
            <v>10.2012</v>
          </cell>
          <cell r="L6923">
            <v>26</v>
          </cell>
          <cell r="M6923" t="str">
            <v>EA</v>
          </cell>
          <cell r="N6923">
            <v>732.55999999999904</v>
          </cell>
          <cell r="O6923" t="str">
            <v>INR</v>
          </cell>
        </row>
        <row r="6924">
          <cell r="A6924" t="str">
            <v>L003 Ankleshwar</v>
          </cell>
          <cell r="B6924">
            <v>739660</v>
          </cell>
          <cell r="C6924" t="str">
            <v>DL2AB RESOLUTION DETAILS 4X25P</v>
          </cell>
          <cell r="D6924" t="str">
            <v>L0030151                       EnggStore</v>
          </cell>
          <cell r="E6924" t="str">
            <v>E42 E42</v>
          </cell>
          <cell r="F6924" t="str">
            <v>VB Manual reorder point planning</v>
          </cell>
          <cell r="G6924" t="str">
            <v>HIBE Operating supplies</v>
          </cell>
          <cell r="H6924" t="str">
            <v>EN040     Prinitng &amp;Stationery</v>
          </cell>
          <cell r="I6924" t="str">
            <v>L003 Ankleshwar</v>
          </cell>
          <cell r="J6924" t="str">
            <v>99 Input/Byprodt/Scrap</v>
          </cell>
          <cell r="K6924" t="str">
            <v>10.2012</v>
          </cell>
          <cell r="L6924">
            <v>2</v>
          </cell>
          <cell r="M6924" t="str">
            <v>EA</v>
          </cell>
          <cell r="N6924">
            <v>1300</v>
          </cell>
          <cell r="O6924" t="str">
            <v>INR</v>
          </cell>
        </row>
        <row r="6925">
          <cell r="A6925" t="str">
            <v>L003 Ankleshwar</v>
          </cell>
          <cell r="B6925">
            <v>739729</v>
          </cell>
          <cell r="C6925" t="str">
            <v>R-403 BPR LOW VACUUM DIST.OF CRUDE 1X100</v>
          </cell>
          <cell r="D6925" t="str">
            <v>L0030151                       EnggStore</v>
          </cell>
          <cell r="E6925" t="str">
            <v>E01 E01</v>
          </cell>
          <cell r="F6925" t="str">
            <v>VB Manual reorder point planning</v>
          </cell>
          <cell r="G6925" t="str">
            <v>HIBE Operating supplies</v>
          </cell>
          <cell r="H6925" t="str">
            <v>EN040     Prinitng &amp;Stationery</v>
          </cell>
          <cell r="I6925" t="str">
            <v>L003 Ankleshwar</v>
          </cell>
          <cell r="J6925" t="str">
            <v>99 Input/Byprodt/Scrap</v>
          </cell>
          <cell r="K6925" t="str">
            <v>10.2012</v>
          </cell>
          <cell r="L6925">
            <v>2</v>
          </cell>
          <cell r="M6925" t="str">
            <v>EA</v>
          </cell>
          <cell r="N6925">
            <v>231</v>
          </cell>
          <cell r="O6925" t="str">
            <v>INR</v>
          </cell>
        </row>
        <row r="6926">
          <cell r="A6926" t="str">
            <v>L003 Ankleshwar</v>
          </cell>
          <cell r="B6926">
            <v>739741</v>
          </cell>
          <cell r="C6926" t="str">
            <v>HEATER U SHAPE</v>
          </cell>
          <cell r="D6926" t="str">
            <v>L0030151                       EnggStore</v>
          </cell>
          <cell r="E6926" t="str">
            <v>E01 E01</v>
          </cell>
          <cell r="F6926" t="str">
            <v>ND No planning</v>
          </cell>
          <cell r="G6926" t="str">
            <v>HIBE Operating supplies</v>
          </cell>
          <cell r="H6926" t="str">
            <v>EN034     LabConsumables</v>
          </cell>
          <cell r="I6926" t="str">
            <v>L003 Ankleshwar</v>
          </cell>
          <cell r="J6926" t="str">
            <v>99 Input/Byprodt/Scrap</v>
          </cell>
          <cell r="K6926" t="str">
            <v>10.2012</v>
          </cell>
          <cell r="L6926">
            <v>1</v>
          </cell>
          <cell r="M6926" t="str">
            <v>EA</v>
          </cell>
          <cell r="N6926">
            <v>756.32</v>
          </cell>
          <cell r="O6926" t="str">
            <v>INR</v>
          </cell>
        </row>
        <row r="6927">
          <cell r="A6927" t="str">
            <v>L003 Ankleshwar</v>
          </cell>
          <cell r="B6927">
            <v>739825</v>
          </cell>
          <cell r="C6927" t="str">
            <v>DISCHARGE HOSE WITH HORN 4.5 KG CO2 EXT.</v>
          </cell>
          <cell r="D6927" t="str">
            <v>L0030151                       EnggStore</v>
          </cell>
          <cell r="E6927" t="str">
            <v>E42 E42</v>
          </cell>
          <cell r="F6927" t="str">
            <v>VB Manual reorder point planning</v>
          </cell>
          <cell r="G6927" t="str">
            <v>HIBE Operating supplies</v>
          </cell>
          <cell r="H6927" t="str">
            <v>EN010     Fire&amp;safety</v>
          </cell>
          <cell r="I6927" t="str">
            <v>L003 Ankleshwar</v>
          </cell>
          <cell r="J6927" t="str">
            <v>99 Input/Byprodt/Scrap</v>
          </cell>
          <cell r="K6927" t="str">
            <v>10.2012</v>
          </cell>
          <cell r="L6927">
            <v>20</v>
          </cell>
          <cell r="M6927" t="str">
            <v>EA</v>
          </cell>
          <cell r="N6927">
            <v>4300</v>
          </cell>
          <cell r="O6927" t="str">
            <v>INR</v>
          </cell>
        </row>
        <row r="6928">
          <cell r="A6928" t="str">
            <v>L003 Ankleshwar</v>
          </cell>
          <cell r="B6928">
            <v>739839</v>
          </cell>
          <cell r="C6928" t="str">
            <v>SAS BOOK CRUDE IPA ETB PLANT 3X100P</v>
          </cell>
          <cell r="D6928" t="str">
            <v>L0030151                       EnggStore</v>
          </cell>
          <cell r="E6928" t="str">
            <v>E01 E01</v>
          </cell>
          <cell r="F6928" t="str">
            <v>ND No planning</v>
          </cell>
          <cell r="G6928" t="str">
            <v>HIBE Operating supplies</v>
          </cell>
          <cell r="H6928" t="str">
            <v>EN040     Prinitng &amp;Stationery</v>
          </cell>
          <cell r="I6928" t="str">
            <v>L003 Ankleshwar</v>
          </cell>
          <cell r="J6928" t="str">
            <v>99 Input/Byprodt/Scrap</v>
          </cell>
          <cell r="K6928" t="str">
            <v>10.2012</v>
          </cell>
          <cell r="L6928">
            <v>3</v>
          </cell>
          <cell r="M6928" t="str">
            <v>EA</v>
          </cell>
          <cell r="N6928">
            <v>299.25</v>
          </cell>
          <cell r="O6928" t="str">
            <v>INR</v>
          </cell>
        </row>
        <row r="6929">
          <cell r="A6929" t="str">
            <v>L003 Ankleshwar</v>
          </cell>
          <cell r="B6929">
            <v>739907</v>
          </cell>
          <cell r="C6929" t="str">
            <v>SAS BOOK RECOVERED METHANOL ETB PLANT</v>
          </cell>
          <cell r="D6929" t="str">
            <v>L0030151                       EnggStore</v>
          </cell>
          <cell r="E6929" t="str">
            <v>E01 E01</v>
          </cell>
          <cell r="F6929" t="str">
            <v>VB Manual reorder point planning</v>
          </cell>
          <cell r="G6929" t="str">
            <v>HIBE Operating supplies</v>
          </cell>
          <cell r="H6929" t="str">
            <v>EN040     Prinitng &amp;Stationery</v>
          </cell>
          <cell r="I6929" t="str">
            <v>L003 Ankleshwar</v>
          </cell>
          <cell r="J6929" t="str">
            <v>99 Input/Byprodt/Scrap</v>
          </cell>
          <cell r="K6929" t="str">
            <v>10.2012</v>
          </cell>
          <cell r="L6929">
            <v>15</v>
          </cell>
          <cell r="M6929" t="str">
            <v>EA</v>
          </cell>
          <cell r="N6929">
            <v>1417.5</v>
          </cell>
          <cell r="O6929" t="str">
            <v>INR</v>
          </cell>
        </row>
        <row r="6930">
          <cell r="A6930" t="str">
            <v>L003 Ankleshwar</v>
          </cell>
          <cell r="B6930">
            <v>739970</v>
          </cell>
          <cell r="C6930" t="str">
            <v>LIQUID SOAP DISPENSER</v>
          </cell>
          <cell r="D6930" t="str">
            <v>L0030151                       EnggStore</v>
          </cell>
          <cell r="E6930" t="str">
            <v>E01 E01</v>
          </cell>
          <cell r="F6930" t="str">
            <v>ND No planning</v>
          </cell>
          <cell r="G6930" t="str">
            <v>HIBE Operating supplies</v>
          </cell>
          <cell r="H6930" t="str">
            <v>EN024     EnggConsumables</v>
          </cell>
          <cell r="I6930" t="str">
            <v>L003 Ankleshwar</v>
          </cell>
          <cell r="J6930" t="str">
            <v>99 Input/Byprodt/Scrap</v>
          </cell>
          <cell r="K6930" t="str">
            <v>10.2012</v>
          </cell>
          <cell r="L6930">
            <v>7</v>
          </cell>
          <cell r="M6930" t="str">
            <v>EA</v>
          </cell>
          <cell r="N6930">
            <v>5195.42</v>
          </cell>
          <cell r="O6930" t="str">
            <v>INR</v>
          </cell>
        </row>
        <row r="6931">
          <cell r="A6931" t="str">
            <v>L003 Ankleshwar</v>
          </cell>
          <cell r="B6931">
            <v>739980</v>
          </cell>
          <cell r="C6931" t="str">
            <v>CHS REGISTER</v>
          </cell>
          <cell r="D6931" t="str">
            <v>L0030151                       EnggStore</v>
          </cell>
          <cell r="E6931" t="str">
            <v>E01 E01</v>
          </cell>
          <cell r="F6931" t="str">
            <v>ND No planning</v>
          </cell>
          <cell r="G6931" t="str">
            <v>HIBE Operating supplies</v>
          </cell>
          <cell r="H6931" t="str">
            <v>EN040     Prinitng &amp;Stationery</v>
          </cell>
          <cell r="I6931" t="str">
            <v>L003 Ankleshwar</v>
          </cell>
          <cell r="J6931" t="str">
            <v>99 Input/Byprodt/Scrap</v>
          </cell>
          <cell r="K6931" t="str">
            <v>10.2012</v>
          </cell>
          <cell r="L6931">
            <v>1</v>
          </cell>
          <cell r="M6931" t="str">
            <v>EA</v>
          </cell>
          <cell r="N6931">
            <v>240</v>
          </cell>
          <cell r="O6931" t="str">
            <v>INR</v>
          </cell>
        </row>
        <row r="6932">
          <cell r="A6932" t="str">
            <v>L003 Ankleshwar</v>
          </cell>
          <cell r="B6932">
            <v>739981</v>
          </cell>
          <cell r="C6932" t="str">
            <v>MEOH REC FROM CHS WASHING ML R-4402</v>
          </cell>
          <cell r="D6932" t="str">
            <v>L0030201                       Cons StoreKP</v>
          </cell>
          <cell r="E6932" t="str">
            <v>E01 E01</v>
          </cell>
          <cell r="F6932" t="str">
            <v>VB Manual reorder point planning</v>
          </cell>
          <cell r="G6932" t="str">
            <v>HIBE Operating supplies</v>
          </cell>
          <cell r="H6932" t="str">
            <v>EN040     Prinitng &amp;Stationery</v>
          </cell>
          <cell r="I6932" t="str">
            <v>L003 Ankleshwar</v>
          </cell>
          <cell r="J6932" t="str">
            <v>99 Input/Byprodt/Scrap</v>
          </cell>
          <cell r="K6932" t="str">
            <v>10.2012</v>
          </cell>
          <cell r="L6932">
            <v>5</v>
          </cell>
          <cell r="M6932" t="str">
            <v>EA</v>
          </cell>
          <cell r="N6932">
            <v>400</v>
          </cell>
          <cell r="O6932" t="str">
            <v>INR</v>
          </cell>
        </row>
        <row r="6933">
          <cell r="A6933" t="str">
            <v>L003 Ankleshwar</v>
          </cell>
          <cell r="B6933">
            <v>740057</v>
          </cell>
          <cell r="C6933" t="str">
            <v>CHLORO REGISTER FOR 7ACCA</v>
          </cell>
          <cell r="D6933" t="str">
            <v>L0030201                       Cons StoreKP</v>
          </cell>
          <cell r="E6933" t="str">
            <v>E01 E01</v>
          </cell>
          <cell r="F6933" t="str">
            <v>VB Manual reorder point planning</v>
          </cell>
          <cell r="G6933" t="str">
            <v>HIBE Operating supplies</v>
          </cell>
          <cell r="H6933" t="str">
            <v>EN040     Prinitng &amp;Stationery</v>
          </cell>
          <cell r="I6933" t="str">
            <v>L003 Ankleshwar</v>
          </cell>
          <cell r="J6933" t="str">
            <v>99 Input/Byprodt/Scrap</v>
          </cell>
          <cell r="K6933" t="str">
            <v>10.2012</v>
          </cell>
          <cell r="L6933">
            <v>4</v>
          </cell>
          <cell r="M6933" t="str">
            <v>EA</v>
          </cell>
          <cell r="N6933">
            <v>960</v>
          </cell>
          <cell r="O6933" t="str">
            <v>INR</v>
          </cell>
        </row>
        <row r="6934">
          <cell r="A6934" t="str">
            <v>L003 Ankleshwar</v>
          </cell>
          <cell r="B6934">
            <v>740148</v>
          </cell>
          <cell r="C6934" t="str">
            <v>TYRE SIZE: 650 x 10 x 10/FORKLIFT</v>
          </cell>
          <cell r="D6934" t="str">
            <v>L0030151                       EnggStore</v>
          </cell>
          <cell r="E6934" t="str">
            <v>E01 E01</v>
          </cell>
          <cell r="F6934" t="str">
            <v>VB Manual reorder point planning</v>
          </cell>
          <cell r="G6934" t="str">
            <v>HIBE Operating supplies</v>
          </cell>
          <cell r="H6934" t="str">
            <v>EN015     MaterialHandlingspar</v>
          </cell>
          <cell r="I6934" t="str">
            <v>L003 Ankleshwar</v>
          </cell>
          <cell r="J6934" t="str">
            <v>99 Input/Byprodt/Scrap</v>
          </cell>
          <cell r="K6934" t="str">
            <v>10.2012</v>
          </cell>
          <cell r="L6934">
            <v>3</v>
          </cell>
          <cell r="M6934" t="str">
            <v>EA</v>
          </cell>
          <cell r="N6934">
            <v>15544.6</v>
          </cell>
          <cell r="O6934" t="str">
            <v>INR</v>
          </cell>
        </row>
        <row r="6935">
          <cell r="A6935" t="str">
            <v>L003 Ankleshwar</v>
          </cell>
          <cell r="B6935">
            <v>740187</v>
          </cell>
          <cell r="C6935" t="str">
            <v>SAS BOOK FOR  D2AB OF ETB PLANT</v>
          </cell>
          <cell r="D6935" t="str">
            <v>L0030151                       EnggStore</v>
          </cell>
          <cell r="E6935" t="str">
            <v>099 099</v>
          </cell>
          <cell r="F6935" t="str">
            <v>VB Manual reorder point planning</v>
          </cell>
          <cell r="G6935" t="str">
            <v>HIBE Operating supplies</v>
          </cell>
          <cell r="H6935" t="str">
            <v>EN040     Prinitng &amp;Stationery</v>
          </cell>
          <cell r="I6935" t="str">
            <v>L003 Ankleshwar</v>
          </cell>
          <cell r="J6935" t="str">
            <v>99 Input/Byprodt/Scrap</v>
          </cell>
          <cell r="K6935" t="str">
            <v>10.2012</v>
          </cell>
          <cell r="L6935">
            <v>7</v>
          </cell>
          <cell r="M6935" t="str">
            <v>EA</v>
          </cell>
          <cell r="N6935">
            <v>698.25</v>
          </cell>
          <cell r="O6935" t="str">
            <v>INR</v>
          </cell>
        </row>
        <row r="6936">
          <cell r="A6936" t="str">
            <v>L003 Ankleshwar</v>
          </cell>
          <cell r="B6936">
            <v>740303</v>
          </cell>
          <cell r="C6936" t="str">
            <v>PVC SUTALI</v>
          </cell>
          <cell r="D6936" t="str">
            <v>L0030151                       EnggStore</v>
          </cell>
          <cell r="E6936" t="str">
            <v>099 099</v>
          </cell>
          <cell r="F6936" t="str">
            <v>VB Manual reorder point planning</v>
          </cell>
          <cell r="G6936" t="str">
            <v>HIBE Operating supplies</v>
          </cell>
          <cell r="H6936" t="str">
            <v>EN027     Prod&amp;OtherConsumable</v>
          </cell>
          <cell r="I6936" t="str">
            <v>L003 Ankleshwar</v>
          </cell>
          <cell r="J6936" t="str">
            <v>99 Input/Byprodt/Scrap</v>
          </cell>
          <cell r="K6936" t="str">
            <v>10.2012</v>
          </cell>
          <cell r="L6936">
            <v>9</v>
          </cell>
          <cell r="M6936" t="str">
            <v>KG</v>
          </cell>
          <cell r="N6936">
            <v>567</v>
          </cell>
          <cell r="O6936" t="str">
            <v>INR</v>
          </cell>
        </row>
        <row r="6937">
          <cell r="A6937" t="str">
            <v>L003 Ankleshwar</v>
          </cell>
          <cell r="B6937">
            <v>740303</v>
          </cell>
          <cell r="C6937" t="str">
            <v>PVC SUTALI</v>
          </cell>
          <cell r="D6937" t="str">
            <v>L0030201                       Cons StoreKP</v>
          </cell>
          <cell r="E6937" t="str">
            <v>099 099</v>
          </cell>
          <cell r="F6937" t="str">
            <v>VB Manual reorder point planning</v>
          </cell>
          <cell r="G6937" t="str">
            <v>HIBE Operating supplies</v>
          </cell>
          <cell r="H6937" t="str">
            <v>EN027     Prod&amp;OtherConsumable</v>
          </cell>
          <cell r="I6937" t="str">
            <v>L003 Ankleshwar</v>
          </cell>
          <cell r="J6937" t="str">
            <v>99 Input/Byprodt/Scrap</v>
          </cell>
          <cell r="K6937" t="str">
            <v>10.2012</v>
          </cell>
          <cell r="L6937">
            <v>5</v>
          </cell>
          <cell r="M6937" t="str">
            <v>KG</v>
          </cell>
          <cell r="N6937">
            <v>315</v>
          </cell>
          <cell r="O6937" t="str">
            <v>INR</v>
          </cell>
        </row>
        <row r="6938">
          <cell r="A6938" t="str">
            <v>L003 Ankleshwar</v>
          </cell>
          <cell r="B6938">
            <v>740306</v>
          </cell>
          <cell r="C6938" t="str">
            <v>YMC-PAC ODS-A SIZE: 4.6X100X5µM</v>
          </cell>
          <cell r="D6938" t="str">
            <v>L0030301                       QCStores</v>
          </cell>
          <cell r="E6938">
            <v>0</v>
          </cell>
          <cell r="F6938" t="str">
            <v>ND No planning</v>
          </cell>
          <cell r="G6938" t="str">
            <v>HIBE Operating supplies</v>
          </cell>
          <cell r="H6938" t="str">
            <v>EN017     InstrumentSpares</v>
          </cell>
          <cell r="I6938" t="str">
            <v>L003 Ankleshwar</v>
          </cell>
          <cell r="J6938" t="str">
            <v>99 Input/Byprodt/Scrap</v>
          </cell>
          <cell r="K6938" t="str">
            <v>10.2012</v>
          </cell>
          <cell r="L6938">
            <v>2</v>
          </cell>
          <cell r="M6938" t="str">
            <v>EA</v>
          </cell>
          <cell r="N6938">
            <v>37984.800000000003</v>
          </cell>
          <cell r="O6938" t="str">
            <v>INR</v>
          </cell>
        </row>
        <row r="6939">
          <cell r="A6939" t="str">
            <v>L003 Ankleshwar</v>
          </cell>
          <cell r="B6939">
            <v>740505</v>
          </cell>
          <cell r="C6939" t="str">
            <v>ENG STOCK LEDGER  REGISTER</v>
          </cell>
          <cell r="D6939" t="str">
            <v>L0030151                       EnggStore</v>
          </cell>
          <cell r="E6939" t="str">
            <v>099 099</v>
          </cell>
          <cell r="F6939" t="str">
            <v>VB Manual reorder point planning</v>
          </cell>
          <cell r="G6939" t="str">
            <v>HIBE Operating supplies</v>
          </cell>
          <cell r="H6939" t="str">
            <v>EN040     Prinitng &amp;Stationery</v>
          </cell>
          <cell r="I6939" t="str">
            <v>L003 Ankleshwar</v>
          </cell>
          <cell r="J6939" t="str">
            <v>99 Input/Byprodt/Scrap</v>
          </cell>
          <cell r="K6939" t="str">
            <v>10.2012</v>
          </cell>
          <cell r="L6939">
            <v>6</v>
          </cell>
          <cell r="M6939" t="str">
            <v>EA</v>
          </cell>
          <cell r="N6939">
            <v>1291.5</v>
          </cell>
          <cell r="O6939" t="str">
            <v>INR</v>
          </cell>
        </row>
        <row r="6940">
          <cell r="A6940" t="str">
            <v>L003 Ankleshwar</v>
          </cell>
          <cell r="B6940">
            <v>740550</v>
          </cell>
          <cell r="C6940" t="str">
            <v>LABEL OF L-2 AMINO -1-BUTANOL</v>
          </cell>
          <cell r="D6940" t="str">
            <v>L0030151                       EnggStore</v>
          </cell>
          <cell r="E6940" t="str">
            <v>E01 E01</v>
          </cell>
          <cell r="F6940" t="str">
            <v>VB Manual reorder point planning</v>
          </cell>
          <cell r="G6940" t="str">
            <v>HIBE Operating supplies</v>
          </cell>
          <cell r="H6940" t="str">
            <v>EN024     EnggConsumables</v>
          </cell>
          <cell r="I6940" t="str">
            <v>L003 Ankleshwar</v>
          </cell>
          <cell r="J6940" t="str">
            <v>99 Input/Byprodt/Scrap</v>
          </cell>
          <cell r="K6940" t="str">
            <v>10.2012</v>
          </cell>
          <cell r="L6940">
            <v>1000</v>
          </cell>
          <cell r="M6940" t="str">
            <v>EA</v>
          </cell>
          <cell r="N6940">
            <v>2400</v>
          </cell>
          <cell r="O6940" t="str">
            <v>INR</v>
          </cell>
        </row>
        <row r="6941">
          <cell r="A6941" t="str">
            <v>L003 Ankleshwar</v>
          </cell>
          <cell r="B6941">
            <v>740579</v>
          </cell>
          <cell r="C6941" t="str">
            <v>NOVOZYMES BIO REMOVE 5100</v>
          </cell>
          <cell r="D6941" t="str">
            <v>L0030151                       EnggStore</v>
          </cell>
          <cell r="E6941" t="str">
            <v>E01 E01</v>
          </cell>
          <cell r="F6941" t="str">
            <v>VB Manual reorder point planning</v>
          </cell>
          <cell r="G6941" t="str">
            <v>HIBE Operating supplies</v>
          </cell>
          <cell r="H6941" t="str">
            <v>EN027     Prod&amp;OtherConsumable</v>
          </cell>
          <cell r="I6941" t="str">
            <v>L003 Ankleshwar</v>
          </cell>
          <cell r="J6941" t="str">
            <v>99 Input/Byprodt/Scrap</v>
          </cell>
          <cell r="K6941" t="str">
            <v>10.2012</v>
          </cell>
          <cell r="L6941">
            <v>800</v>
          </cell>
          <cell r="M6941" t="str">
            <v>LBS</v>
          </cell>
          <cell r="N6941">
            <v>1054033.1899999899</v>
          </cell>
          <cell r="O6941" t="str">
            <v>INR</v>
          </cell>
        </row>
        <row r="6942">
          <cell r="A6942" t="str">
            <v>L003 Ankleshwar</v>
          </cell>
          <cell r="B6942">
            <v>740620</v>
          </cell>
          <cell r="C6942" t="str">
            <v>PRESSURE FILTER PLATE SEAL</v>
          </cell>
          <cell r="D6942" t="str">
            <v>L0030151                       EnggStore</v>
          </cell>
          <cell r="E6942" t="str">
            <v>E01 E01</v>
          </cell>
          <cell r="F6942" t="str">
            <v>VB Manual reorder point planning</v>
          </cell>
          <cell r="G6942" t="str">
            <v>HIBE Operating supplies</v>
          </cell>
          <cell r="H6942" t="str">
            <v>EN027     Prod&amp;OtherConsumable</v>
          </cell>
          <cell r="I6942" t="str">
            <v>L003 Ankleshwar</v>
          </cell>
          <cell r="J6942" t="str">
            <v>99 Input/Byprodt/Scrap</v>
          </cell>
          <cell r="K6942" t="str">
            <v>10.2012</v>
          </cell>
          <cell r="L6942">
            <v>6</v>
          </cell>
          <cell r="M6942" t="str">
            <v>EA</v>
          </cell>
          <cell r="N6942">
            <v>18300</v>
          </cell>
          <cell r="O6942" t="str">
            <v>INR</v>
          </cell>
        </row>
        <row r="6943">
          <cell r="A6943" t="str">
            <v>L003 Ankleshwar</v>
          </cell>
          <cell r="B6943">
            <v>740622</v>
          </cell>
          <cell r="C6943" t="str">
            <v>SAS BOOK FOR  DIL.SPENT ACID 7-APDCA</v>
          </cell>
          <cell r="D6943" t="str">
            <v>L0030201                       Cons StoreKP</v>
          </cell>
          <cell r="E6943" t="str">
            <v>E01 E01</v>
          </cell>
          <cell r="F6943" t="str">
            <v>VB Manual reorder point planning</v>
          </cell>
          <cell r="G6943" t="str">
            <v>HIBE Operating supplies</v>
          </cell>
          <cell r="H6943" t="str">
            <v>EN040     Prinitng &amp;Stationery</v>
          </cell>
          <cell r="I6943" t="str">
            <v>L003 Ankleshwar</v>
          </cell>
          <cell r="J6943" t="str">
            <v>99 Input/Byprodt/Scrap</v>
          </cell>
          <cell r="K6943" t="str">
            <v>10.2012</v>
          </cell>
          <cell r="L6943">
            <v>5</v>
          </cell>
          <cell r="M6943" t="str">
            <v>EA</v>
          </cell>
          <cell r="N6943">
            <v>498.75</v>
          </cell>
          <cell r="O6943" t="str">
            <v>INR</v>
          </cell>
        </row>
        <row r="6944">
          <cell r="A6944" t="str">
            <v>L003 Ankleshwar</v>
          </cell>
          <cell r="B6944">
            <v>740623</v>
          </cell>
          <cell r="C6944" t="str">
            <v>SS QUICK RELEASE COUPLING 3/8" WITH NRV</v>
          </cell>
          <cell r="D6944" t="str">
            <v>L0030151                       EnggStore</v>
          </cell>
          <cell r="E6944">
            <v>0</v>
          </cell>
          <cell r="F6944" t="str">
            <v>ND No planning</v>
          </cell>
          <cell r="G6944" t="str">
            <v>HIBE Operating supplies</v>
          </cell>
          <cell r="H6944" t="str">
            <v>EN027     Prod&amp;OtherConsumable</v>
          </cell>
          <cell r="I6944" t="str">
            <v>L003 Ankleshwar</v>
          </cell>
          <cell r="J6944" t="str">
            <v>99 Input/Byprodt/Scrap</v>
          </cell>
          <cell r="K6944" t="str">
            <v>10.2012</v>
          </cell>
          <cell r="L6944">
            <v>5</v>
          </cell>
          <cell r="M6944" t="str">
            <v>EA</v>
          </cell>
          <cell r="N6944">
            <v>5250</v>
          </cell>
          <cell r="O6944" t="str">
            <v>INR</v>
          </cell>
        </row>
        <row r="6945">
          <cell r="A6945" t="str">
            <v>L003 Ankleshwar</v>
          </cell>
          <cell r="B6945">
            <v>740631</v>
          </cell>
          <cell r="C6945" t="str">
            <v>PP-247 PRESSURE FILTER CLOTH 16MX1000MM</v>
          </cell>
          <cell r="D6945" t="str">
            <v>L0030151                       EnggStore</v>
          </cell>
          <cell r="E6945" t="str">
            <v>E01 E01</v>
          </cell>
          <cell r="F6945" t="str">
            <v>VB Manual reorder point planning</v>
          </cell>
          <cell r="G6945" t="str">
            <v>HIBE Operating supplies</v>
          </cell>
          <cell r="H6945" t="str">
            <v>EN027     Prod&amp;OtherConsumable</v>
          </cell>
          <cell r="I6945" t="str">
            <v>L003 Ankleshwar</v>
          </cell>
          <cell r="J6945" t="str">
            <v>99 Input/Byprodt/Scrap</v>
          </cell>
          <cell r="K6945" t="str">
            <v>10.2012</v>
          </cell>
          <cell r="L6945">
            <v>1</v>
          </cell>
          <cell r="M6945" t="str">
            <v>EA</v>
          </cell>
          <cell r="N6945">
            <v>32352.04</v>
          </cell>
          <cell r="O6945" t="str">
            <v>INR</v>
          </cell>
        </row>
        <row r="6946">
          <cell r="A6946" t="str">
            <v>L003 Ankleshwar</v>
          </cell>
          <cell r="B6946">
            <v>740669</v>
          </cell>
          <cell r="C6946" t="str">
            <v>SAS BOOK FOR  D2ABT SLURRY OF ETB PLANT</v>
          </cell>
          <cell r="D6946" t="str">
            <v>L0030201                       Cons StoreKP</v>
          </cell>
          <cell r="E6946" t="str">
            <v>099 099</v>
          </cell>
          <cell r="F6946" t="str">
            <v>VB Manual reorder point planning</v>
          </cell>
          <cell r="G6946" t="str">
            <v>HIBE Operating supplies</v>
          </cell>
          <cell r="H6946" t="str">
            <v>EN040     Prinitng &amp;Stationery</v>
          </cell>
          <cell r="I6946" t="str">
            <v>L003 Ankleshwar</v>
          </cell>
          <cell r="J6946" t="str">
            <v>99 Input/Byprodt/Scrap</v>
          </cell>
          <cell r="K6946" t="str">
            <v>10.2012</v>
          </cell>
          <cell r="L6946">
            <v>4</v>
          </cell>
          <cell r="M6946" t="str">
            <v>EA</v>
          </cell>
          <cell r="N6946">
            <v>399</v>
          </cell>
          <cell r="O6946" t="str">
            <v>INR</v>
          </cell>
        </row>
        <row r="6947">
          <cell r="A6947" t="str">
            <v>L003 Ankleshwar</v>
          </cell>
          <cell r="B6947">
            <v>740674</v>
          </cell>
          <cell r="C6947" t="str">
            <v>EXTERNAL NOTIFICATION BOOK 1X100 PAGE</v>
          </cell>
          <cell r="D6947" t="str">
            <v>L0030151                       EnggStore</v>
          </cell>
          <cell r="E6947" t="str">
            <v>E01 E01</v>
          </cell>
          <cell r="F6947" t="str">
            <v>VB Manual reorder point planning</v>
          </cell>
          <cell r="G6947" t="str">
            <v>HIBE Operating supplies</v>
          </cell>
          <cell r="H6947" t="str">
            <v>EN040     Prinitng &amp;Stationery</v>
          </cell>
          <cell r="I6947" t="str">
            <v>L003 Ankleshwar</v>
          </cell>
          <cell r="J6947" t="str">
            <v>99 Input/Byprodt/Scrap</v>
          </cell>
          <cell r="K6947" t="str">
            <v>10.2012</v>
          </cell>
          <cell r="L6947">
            <v>27</v>
          </cell>
          <cell r="M6947" t="str">
            <v>EA</v>
          </cell>
          <cell r="N6947">
            <v>2032.1099999999899</v>
          </cell>
          <cell r="O6947" t="str">
            <v>INR</v>
          </cell>
        </row>
        <row r="6948">
          <cell r="A6948" t="str">
            <v>L003 Ankleshwar</v>
          </cell>
          <cell r="B6948">
            <v>740674</v>
          </cell>
          <cell r="C6948" t="str">
            <v>EXTERNAL NOTIFICATION BOOK 1X100 PAGE</v>
          </cell>
          <cell r="D6948" t="str">
            <v>L0030201                       Cons StoreKP</v>
          </cell>
          <cell r="E6948" t="str">
            <v>E01 E01</v>
          </cell>
          <cell r="F6948" t="str">
            <v>VB Manual reorder point planning</v>
          </cell>
          <cell r="G6948" t="str">
            <v>HIBE Operating supplies</v>
          </cell>
          <cell r="H6948" t="str">
            <v>EN040     Prinitng &amp;Stationery</v>
          </cell>
          <cell r="I6948" t="str">
            <v>L003 Ankleshwar</v>
          </cell>
          <cell r="J6948" t="str">
            <v>99 Input/Byprodt/Scrap</v>
          </cell>
          <cell r="K6948" t="str">
            <v>10.2012</v>
          </cell>
          <cell r="L6948">
            <v>4</v>
          </cell>
          <cell r="M6948" t="str">
            <v>EA</v>
          </cell>
          <cell r="N6948">
            <v>301.05</v>
          </cell>
          <cell r="O6948" t="str">
            <v>INR</v>
          </cell>
        </row>
        <row r="6949">
          <cell r="A6949" t="str">
            <v>L003 Ankleshwar</v>
          </cell>
          <cell r="B6949">
            <v>740685</v>
          </cell>
          <cell r="C6949" t="str">
            <v>D-929 PP CLOTH CIR. 10"X30.5" LONG 3 MIC</v>
          </cell>
          <cell r="D6949" t="str">
            <v>L0030201                       Cons StoreKP</v>
          </cell>
          <cell r="E6949" t="str">
            <v>E01 E01</v>
          </cell>
          <cell r="F6949" t="str">
            <v>VB Manual reorder point planning</v>
          </cell>
          <cell r="G6949" t="str">
            <v>HIBE Operating supplies</v>
          </cell>
          <cell r="H6949" t="str">
            <v>EN027     Prod&amp;OtherConsumable</v>
          </cell>
          <cell r="I6949" t="str">
            <v>L003 Ankleshwar</v>
          </cell>
          <cell r="J6949" t="str">
            <v>99 Input/Byprodt/Scrap</v>
          </cell>
          <cell r="K6949" t="str">
            <v>10.2012</v>
          </cell>
          <cell r="L6949">
            <v>3</v>
          </cell>
          <cell r="M6949" t="str">
            <v>EA</v>
          </cell>
          <cell r="N6949">
            <v>705</v>
          </cell>
          <cell r="O6949" t="str">
            <v>INR</v>
          </cell>
        </row>
        <row r="6950">
          <cell r="A6950" t="str">
            <v>L003 Ankleshwar</v>
          </cell>
          <cell r="B6950">
            <v>740686</v>
          </cell>
          <cell r="C6950" t="str">
            <v>SAS BOOK FOR  REC MEOH OF 7-ADCA</v>
          </cell>
          <cell r="D6950" t="str">
            <v>L0030201                       Cons StoreKP</v>
          </cell>
          <cell r="E6950" t="str">
            <v>E01 E01</v>
          </cell>
          <cell r="F6950" t="str">
            <v>VB Manual reorder point planning</v>
          </cell>
          <cell r="G6950" t="str">
            <v>HIBE Operating supplies</v>
          </cell>
          <cell r="H6950" t="str">
            <v>EN040     Prinitng &amp;Stationery</v>
          </cell>
          <cell r="I6950" t="str">
            <v>L003 Ankleshwar</v>
          </cell>
          <cell r="J6950" t="str">
            <v>99 Input/Byprodt/Scrap</v>
          </cell>
          <cell r="K6950" t="str">
            <v>10.2012</v>
          </cell>
          <cell r="L6950">
            <v>9</v>
          </cell>
          <cell r="M6950" t="str">
            <v>EA</v>
          </cell>
          <cell r="N6950">
            <v>897.75</v>
          </cell>
          <cell r="O6950" t="str">
            <v>INR</v>
          </cell>
        </row>
        <row r="6951">
          <cell r="A6951" t="str">
            <v>L003 Ankleshwar</v>
          </cell>
          <cell r="B6951">
            <v>740687</v>
          </cell>
          <cell r="C6951" t="str">
            <v>SAS BOOK FOR  DILUTE AMMONIA OF 7-ADCA</v>
          </cell>
          <cell r="D6951" t="str">
            <v>L0030201                       Cons StoreKP</v>
          </cell>
          <cell r="E6951" t="str">
            <v>E01 E01</v>
          </cell>
          <cell r="F6951" t="str">
            <v>VB Manual reorder point planning</v>
          </cell>
          <cell r="G6951" t="str">
            <v>HIBE Operating supplies</v>
          </cell>
          <cell r="H6951" t="str">
            <v>EN040     Prinitng &amp;Stationery</v>
          </cell>
          <cell r="I6951" t="str">
            <v>L003 Ankleshwar</v>
          </cell>
          <cell r="J6951" t="str">
            <v>99 Input/Byprodt/Scrap</v>
          </cell>
          <cell r="K6951" t="str">
            <v>10.2012</v>
          </cell>
          <cell r="L6951">
            <v>10</v>
          </cell>
          <cell r="M6951" t="str">
            <v>EA</v>
          </cell>
          <cell r="N6951">
            <v>997.5</v>
          </cell>
          <cell r="O6951" t="str">
            <v>INR</v>
          </cell>
        </row>
        <row r="6952">
          <cell r="A6952" t="str">
            <v>L003 Ankleshwar</v>
          </cell>
          <cell r="B6952">
            <v>740688</v>
          </cell>
          <cell r="C6952" t="str">
            <v>SAS BOOK FOR  RECYCLE MEOH OF 7-ADCA</v>
          </cell>
          <cell r="D6952" t="str">
            <v>L0030201                       Cons StoreKP</v>
          </cell>
          <cell r="E6952" t="str">
            <v>E01 E01</v>
          </cell>
          <cell r="F6952" t="str">
            <v>VB Manual reorder point planning</v>
          </cell>
          <cell r="G6952" t="str">
            <v>HIBE Operating supplies</v>
          </cell>
          <cell r="H6952" t="str">
            <v>EN040     Prinitng &amp;Stationery</v>
          </cell>
          <cell r="I6952" t="str">
            <v>L003 Ankleshwar</v>
          </cell>
          <cell r="J6952" t="str">
            <v>99 Input/Byprodt/Scrap</v>
          </cell>
          <cell r="K6952" t="str">
            <v>10.2012</v>
          </cell>
          <cell r="L6952">
            <v>8</v>
          </cell>
          <cell r="M6952" t="str">
            <v>EA</v>
          </cell>
          <cell r="N6952">
            <v>798</v>
          </cell>
          <cell r="O6952" t="str">
            <v>INR</v>
          </cell>
        </row>
        <row r="6953">
          <cell r="A6953" t="str">
            <v>L003 Ankleshwar</v>
          </cell>
          <cell r="B6953">
            <v>740689</v>
          </cell>
          <cell r="C6953" t="str">
            <v>SAS BOOK FOR  7-ADCA DRY POWDER</v>
          </cell>
          <cell r="D6953" t="str">
            <v>L0030201                       Cons StoreKP</v>
          </cell>
          <cell r="E6953" t="str">
            <v>E01 E01</v>
          </cell>
          <cell r="F6953" t="str">
            <v>VB Manual reorder point planning</v>
          </cell>
          <cell r="G6953" t="str">
            <v>HIBE Operating supplies</v>
          </cell>
          <cell r="H6953" t="str">
            <v>EN040     Prinitng &amp;Stationery</v>
          </cell>
          <cell r="I6953" t="str">
            <v>L003 Ankleshwar</v>
          </cell>
          <cell r="J6953" t="str">
            <v>99 Input/Byprodt/Scrap</v>
          </cell>
          <cell r="K6953" t="str">
            <v>10.2012</v>
          </cell>
          <cell r="L6953">
            <v>9</v>
          </cell>
          <cell r="M6953" t="str">
            <v>EA</v>
          </cell>
          <cell r="N6953">
            <v>897.75</v>
          </cell>
          <cell r="O6953" t="str">
            <v>INR</v>
          </cell>
        </row>
        <row r="6954">
          <cell r="A6954" t="str">
            <v>L003 Ankleshwar</v>
          </cell>
          <cell r="B6954">
            <v>740690</v>
          </cell>
          <cell r="C6954" t="str">
            <v>SAS BOOK FOR  REACT MASSOF7APDCATO7-ADCA</v>
          </cell>
          <cell r="D6954" t="str">
            <v>L0030201                       Cons StoreKP</v>
          </cell>
          <cell r="E6954" t="str">
            <v>E01 E01</v>
          </cell>
          <cell r="F6954" t="str">
            <v>VB Manual reorder point planning</v>
          </cell>
          <cell r="G6954" t="str">
            <v>HIBE Operating supplies</v>
          </cell>
          <cell r="H6954" t="str">
            <v>EN040     Prinitng &amp;Stationery</v>
          </cell>
          <cell r="I6954" t="str">
            <v>L003 Ankleshwar</v>
          </cell>
          <cell r="J6954" t="str">
            <v>99 Input/Byprodt/Scrap</v>
          </cell>
          <cell r="K6954" t="str">
            <v>10.2012</v>
          </cell>
          <cell r="L6954">
            <v>6</v>
          </cell>
          <cell r="M6954" t="str">
            <v>EA</v>
          </cell>
          <cell r="N6954">
            <v>598.5</v>
          </cell>
          <cell r="O6954" t="str">
            <v>INR</v>
          </cell>
        </row>
        <row r="6955">
          <cell r="A6955" t="str">
            <v>L003 Ankleshwar</v>
          </cell>
          <cell r="B6955">
            <v>740691</v>
          </cell>
          <cell r="C6955" t="str">
            <v>SAS BOOK FOR PERMEATE OF 7-ADCA SRP</v>
          </cell>
          <cell r="D6955" t="str">
            <v>L0030201                       Cons StoreKP</v>
          </cell>
          <cell r="E6955" t="str">
            <v>E01 E01</v>
          </cell>
          <cell r="F6955" t="str">
            <v>VB Manual reorder point planning</v>
          </cell>
          <cell r="G6955" t="str">
            <v>HIBE Operating supplies</v>
          </cell>
          <cell r="H6955" t="str">
            <v>EN040     Prinitng &amp;Stationery</v>
          </cell>
          <cell r="I6955" t="str">
            <v>L003 Ankleshwar</v>
          </cell>
          <cell r="J6955" t="str">
            <v>99 Input/Byprodt/Scrap</v>
          </cell>
          <cell r="K6955" t="str">
            <v>10.2012</v>
          </cell>
          <cell r="L6955">
            <v>9</v>
          </cell>
          <cell r="M6955" t="str">
            <v>EA</v>
          </cell>
          <cell r="N6955">
            <v>897.75</v>
          </cell>
          <cell r="O6955" t="str">
            <v>INR</v>
          </cell>
        </row>
        <row r="6956">
          <cell r="A6956" t="str">
            <v>L003 Ankleshwar</v>
          </cell>
          <cell r="B6956">
            <v>740692</v>
          </cell>
          <cell r="C6956" t="str">
            <v>SAS BOOK FOR  REFFINATE OF  7-ADCA</v>
          </cell>
          <cell r="D6956" t="str">
            <v>L0030201                       Cons StoreKP</v>
          </cell>
          <cell r="E6956" t="str">
            <v>E01 E01</v>
          </cell>
          <cell r="F6956" t="str">
            <v>VB Manual reorder point planning</v>
          </cell>
          <cell r="G6956" t="str">
            <v>HIBE Operating supplies</v>
          </cell>
          <cell r="H6956" t="str">
            <v>EN040     Prinitng &amp;Stationery</v>
          </cell>
          <cell r="I6956" t="str">
            <v>L003 Ankleshwar</v>
          </cell>
          <cell r="J6956" t="str">
            <v>99 Input/Byprodt/Scrap</v>
          </cell>
          <cell r="K6956" t="str">
            <v>10.2012</v>
          </cell>
          <cell r="L6956">
            <v>9</v>
          </cell>
          <cell r="M6956" t="str">
            <v>EA</v>
          </cell>
          <cell r="N6956">
            <v>897.75</v>
          </cell>
          <cell r="O6956" t="str">
            <v>INR</v>
          </cell>
        </row>
        <row r="6957">
          <cell r="A6957" t="str">
            <v>L003 Ankleshwar</v>
          </cell>
          <cell r="B6957">
            <v>740724</v>
          </cell>
          <cell r="C6957" t="str">
            <v>PVC HOSE NIPPLE THREADED 1/2"</v>
          </cell>
          <cell r="D6957" t="str">
            <v>L0030151                       EnggStore</v>
          </cell>
          <cell r="E6957">
            <v>0</v>
          </cell>
          <cell r="F6957" t="str">
            <v>ND No planning</v>
          </cell>
          <cell r="G6957" t="str">
            <v>HIBE Operating supplies</v>
          </cell>
          <cell r="H6957" t="str">
            <v>EN027     Prod&amp;OtherConsumable</v>
          </cell>
          <cell r="I6957" t="str">
            <v>L003 Ankleshwar</v>
          </cell>
          <cell r="J6957" t="str">
            <v>99 Input/Byprodt/Scrap</v>
          </cell>
          <cell r="K6957" t="str">
            <v>10.2012</v>
          </cell>
          <cell r="L6957">
            <v>738</v>
          </cell>
          <cell r="M6957" t="str">
            <v>EA</v>
          </cell>
          <cell r="N6957">
            <v>1021.85</v>
          </cell>
          <cell r="O6957" t="str">
            <v>INR</v>
          </cell>
        </row>
        <row r="6958">
          <cell r="A6958" t="str">
            <v>L003 Ankleshwar</v>
          </cell>
          <cell r="B6958">
            <v>740877</v>
          </cell>
          <cell r="C6958" t="str">
            <v>SS 316 SIFTER SIEVE 30 MESH, SIZE 20"</v>
          </cell>
          <cell r="D6958" t="str">
            <v>L0030151                       EnggStore</v>
          </cell>
          <cell r="E6958">
            <v>0</v>
          </cell>
          <cell r="F6958" t="str">
            <v>ND No planning</v>
          </cell>
          <cell r="G6958" t="str">
            <v>HIBE Operating supplies</v>
          </cell>
          <cell r="H6958" t="str">
            <v>EN027     Prod&amp;OtherConsumable</v>
          </cell>
          <cell r="I6958" t="str">
            <v>L003 Ankleshwar</v>
          </cell>
          <cell r="J6958" t="str">
            <v>99 Input/Byprodt/Scrap</v>
          </cell>
          <cell r="K6958" t="str">
            <v>10.2012</v>
          </cell>
          <cell r="L6958">
            <v>2</v>
          </cell>
          <cell r="M6958" t="str">
            <v>EA</v>
          </cell>
          <cell r="N6958">
            <v>3861.11</v>
          </cell>
          <cell r="O6958" t="str">
            <v>INR</v>
          </cell>
        </row>
        <row r="6959">
          <cell r="A6959" t="str">
            <v>L003 Ankleshwar</v>
          </cell>
          <cell r="B6959">
            <v>740909</v>
          </cell>
          <cell r="C6959" t="str">
            <v>SAS BOOK FOR  REC MECL2 OF 7AE</v>
          </cell>
          <cell r="D6959" t="str">
            <v>L0030151                       EnggStore</v>
          </cell>
          <cell r="E6959" t="str">
            <v>E01 E01</v>
          </cell>
          <cell r="F6959" t="str">
            <v>VB Manual reorder point planning</v>
          </cell>
          <cell r="G6959" t="str">
            <v>HIBE Operating supplies</v>
          </cell>
          <cell r="H6959" t="str">
            <v>EN040     Prinitng &amp;Stationery</v>
          </cell>
          <cell r="I6959" t="str">
            <v>L003 Ankleshwar</v>
          </cell>
          <cell r="J6959" t="str">
            <v>99 Input/Byprodt/Scrap</v>
          </cell>
          <cell r="K6959" t="str">
            <v>10.2012</v>
          </cell>
          <cell r="L6959">
            <v>1</v>
          </cell>
          <cell r="M6959" t="str">
            <v>EA</v>
          </cell>
          <cell r="N6959">
            <v>99.75</v>
          </cell>
          <cell r="O6959" t="str">
            <v>INR</v>
          </cell>
        </row>
        <row r="6960">
          <cell r="A6960" t="str">
            <v>L003 Ankleshwar</v>
          </cell>
          <cell r="B6960">
            <v>740909</v>
          </cell>
          <cell r="C6960" t="str">
            <v>SAS BOOK FOR  REC MECL2 OF 7AE</v>
          </cell>
          <cell r="D6960" t="str">
            <v>L0030201                       Cons StoreKP</v>
          </cell>
          <cell r="E6960" t="str">
            <v>E01 E01</v>
          </cell>
          <cell r="F6960" t="str">
            <v>VB Manual reorder point planning</v>
          </cell>
          <cell r="G6960" t="str">
            <v>HIBE Operating supplies</v>
          </cell>
          <cell r="H6960" t="str">
            <v>EN040     Prinitng &amp;Stationery</v>
          </cell>
          <cell r="I6960" t="str">
            <v>L003 Ankleshwar</v>
          </cell>
          <cell r="J6960" t="str">
            <v>99 Input/Byprodt/Scrap</v>
          </cell>
          <cell r="K6960" t="str">
            <v>10.2012</v>
          </cell>
          <cell r="L6960">
            <v>8</v>
          </cell>
          <cell r="M6960" t="str">
            <v>EA</v>
          </cell>
          <cell r="N6960">
            <v>798</v>
          </cell>
          <cell r="O6960" t="str">
            <v>INR</v>
          </cell>
        </row>
        <row r="6961">
          <cell r="A6961" t="str">
            <v>L003 Ankleshwar</v>
          </cell>
          <cell r="B6961">
            <v>740910</v>
          </cell>
          <cell r="C6961" t="str">
            <v>SAS BOOK FOR  REACT MASS OF 3-VBA TO7AE</v>
          </cell>
          <cell r="D6961" t="str">
            <v>L0030151                       EnggStore</v>
          </cell>
          <cell r="E6961" t="str">
            <v>E01 E01</v>
          </cell>
          <cell r="F6961" t="str">
            <v>VB Manual reorder point planning</v>
          </cell>
          <cell r="G6961" t="str">
            <v>HIBE Operating supplies</v>
          </cell>
          <cell r="H6961" t="str">
            <v>EN040     Prinitng &amp;Stationery</v>
          </cell>
          <cell r="I6961" t="str">
            <v>L003 Ankleshwar</v>
          </cell>
          <cell r="J6961" t="str">
            <v>99 Input/Byprodt/Scrap</v>
          </cell>
          <cell r="K6961" t="str">
            <v>10.2012</v>
          </cell>
          <cell r="L6961">
            <v>13</v>
          </cell>
          <cell r="M6961" t="str">
            <v>EA</v>
          </cell>
          <cell r="N6961">
            <v>1228.5</v>
          </cell>
          <cell r="O6961" t="str">
            <v>INR</v>
          </cell>
        </row>
        <row r="6962">
          <cell r="A6962" t="str">
            <v>L003 Ankleshwar</v>
          </cell>
          <cell r="B6962">
            <v>740971</v>
          </cell>
          <cell r="C6962" t="str">
            <v>SAS BOOK FOR  REC DIMETHYLE ANILINE 7AE</v>
          </cell>
          <cell r="D6962" t="str">
            <v>L0030151                       EnggStore</v>
          </cell>
          <cell r="E6962" t="str">
            <v>E01 E01</v>
          </cell>
          <cell r="F6962" t="str">
            <v>VB Manual reorder point planning</v>
          </cell>
          <cell r="G6962" t="str">
            <v>HIBE Operating supplies</v>
          </cell>
          <cell r="H6962" t="str">
            <v>EN040     Prinitng &amp;Stationery</v>
          </cell>
          <cell r="I6962" t="str">
            <v>L003 Ankleshwar</v>
          </cell>
          <cell r="J6962" t="str">
            <v>99 Input/Byprodt/Scrap</v>
          </cell>
          <cell r="K6962" t="str">
            <v>10.2012</v>
          </cell>
          <cell r="L6962">
            <v>10</v>
          </cell>
          <cell r="M6962" t="str">
            <v>EA</v>
          </cell>
          <cell r="N6962">
            <v>1076.25</v>
          </cell>
          <cell r="O6962" t="str">
            <v>INR</v>
          </cell>
        </row>
        <row r="6963">
          <cell r="A6963" t="str">
            <v>L003 Ankleshwar</v>
          </cell>
          <cell r="B6963">
            <v>740972</v>
          </cell>
          <cell r="C6963" t="str">
            <v>SAS BOOK FOR  REC MASS 3VBA+DCM OF 7AE</v>
          </cell>
          <cell r="D6963" t="str">
            <v>L0030151                       EnggStore</v>
          </cell>
          <cell r="E6963" t="str">
            <v>E01 E01</v>
          </cell>
          <cell r="F6963" t="str">
            <v>VB Manual reorder point planning</v>
          </cell>
          <cell r="G6963" t="str">
            <v>HIBE Operating supplies</v>
          </cell>
          <cell r="H6963" t="str">
            <v>EN040     Prinitng &amp;Stationery</v>
          </cell>
          <cell r="I6963" t="str">
            <v>L003 Ankleshwar</v>
          </cell>
          <cell r="J6963" t="str">
            <v>99 Input/Byprodt/Scrap</v>
          </cell>
          <cell r="K6963" t="str">
            <v>10.2012</v>
          </cell>
          <cell r="L6963">
            <v>10</v>
          </cell>
          <cell r="M6963" t="str">
            <v>EA</v>
          </cell>
          <cell r="N6963">
            <v>1076.25</v>
          </cell>
          <cell r="O6963" t="str">
            <v>INR</v>
          </cell>
        </row>
        <row r="6964">
          <cell r="A6964" t="str">
            <v>L003 Ankleshwar</v>
          </cell>
          <cell r="B6964">
            <v>740973</v>
          </cell>
          <cell r="C6964" t="str">
            <v>LABEL OF 7-AMINO ESTER HCL SALT</v>
          </cell>
          <cell r="D6964" t="str">
            <v>L0030151                       EnggStore</v>
          </cell>
          <cell r="E6964" t="str">
            <v>E01 E01</v>
          </cell>
          <cell r="F6964" t="str">
            <v>VB Manual reorder point planning</v>
          </cell>
          <cell r="G6964" t="str">
            <v>HIBE Operating supplies</v>
          </cell>
          <cell r="H6964" t="str">
            <v>EN040     Prinitng &amp;Stationery</v>
          </cell>
          <cell r="I6964" t="str">
            <v>L003 Ankleshwar</v>
          </cell>
          <cell r="J6964" t="str">
            <v>99 Input/Byprodt/Scrap</v>
          </cell>
          <cell r="K6964" t="str">
            <v>10.2012</v>
          </cell>
          <cell r="L6964">
            <v>500</v>
          </cell>
          <cell r="M6964" t="str">
            <v>EA</v>
          </cell>
          <cell r="N6964">
            <v>1500</v>
          </cell>
          <cell r="O6964" t="str">
            <v>INR</v>
          </cell>
        </row>
        <row r="6965">
          <cell r="A6965" t="str">
            <v>L003 Ankleshwar</v>
          </cell>
          <cell r="B6965">
            <v>741053</v>
          </cell>
          <cell r="C6965" t="str">
            <v>LOG BOOK OF PGESO,AEX&amp;AEN 7ACCA</v>
          </cell>
          <cell r="D6965" t="str">
            <v>L0030201                       Cons StoreKP</v>
          </cell>
          <cell r="E6965" t="str">
            <v>E01 E01</v>
          </cell>
          <cell r="F6965" t="str">
            <v>VB Manual reorder point planning</v>
          </cell>
          <cell r="G6965" t="str">
            <v>HIBE Operating supplies</v>
          </cell>
          <cell r="H6965" t="str">
            <v>EN040     Prinitng &amp;Stationery</v>
          </cell>
          <cell r="I6965" t="str">
            <v>L003 Ankleshwar</v>
          </cell>
          <cell r="J6965" t="str">
            <v>99 Input/Byprodt/Scrap</v>
          </cell>
          <cell r="K6965" t="str">
            <v>10.2012</v>
          </cell>
          <cell r="L6965">
            <v>4</v>
          </cell>
          <cell r="M6965" t="str">
            <v>EA</v>
          </cell>
          <cell r="N6965">
            <v>3200</v>
          </cell>
          <cell r="O6965" t="str">
            <v>INR</v>
          </cell>
        </row>
        <row r="6966">
          <cell r="A6966" t="str">
            <v>L003 Ankleshwar</v>
          </cell>
          <cell r="B6966">
            <v>741109</v>
          </cell>
          <cell r="C6966" t="str">
            <v>HIGH AIR PRESSURE SUPPLY HOOD</v>
          </cell>
          <cell r="D6966" t="str">
            <v>L0030151                       EnggStore</v>
          </cell>
          <cell r="E6966">
            <v>0</v>
          </cell>
          <cell r="F6966" t="str">
            <v>ND No planning</v>
          </cell>
          <cell r="G6966" t="str">
            <v>HIBE Operating supplies</v>
          </cell>
          <cell r="H6966" t="str">
            <v>EN010     Fire&amp;safety</v>
          </cell>
          <cell r="I6966" t="str">
            <v>L003 Ankleshwar</v>
          </cell>
          <cell r="J6966" t="str">
            <v>99 Input/Byprodt/Scrap</v>
          </cell>
          <cell r="K6966" t="str">
            <v>10.2012</v>
          </cell>
          <cell r="L6966">
            <v>2</v>
          </cell>
          <cell r="M6966" t="str">
            <v>EA</v>
          </cell>
          <cell r="N6966">
            <v>6480</v>
          </cell>
          <cell r="O6966" t="str">
            <v>INR</v>
          </cell>
        </row>
        <row r="6967">
          <cell r="A6967" t="str">
            <v>L003 Ankleshwar</v>
          </cell>
          <cell r="B6967">
            <v>741178</v>
          </cell>
          <cell r="C6967" t="str">
            <v>SAS BOOK FOR  ETB SLURRY PH OF ETB PLANT</v>
          </cell>
          <cell r="D6967" t="str">
            <v>L0030151                       EnggStore</v>
          </cell>
          <cell r="E6967" t="str">
            <v>099 099</v>
          </cell>
          <cell r="F6967" t="str">
            <v>VB Manual reorder point planning</v>
          </cell>
          <cell r="G6967" t="str">
            <v>HIBE Operating supplies</v>
          </cell>
          <cell r="H6967" t="str">
            <v>EN040     Prinitng &amp;Stationery</v>
          </cell>
          <cell r="I6967" t="str">
            <v>L003 Ankleshwar</v>
          </cell>
          <cell r="J6967" t="str">
            <v>99 Input/Byprodt/Scrap</v>
          </cell>
          <cell r="K6967" t="str">
            <v>10.2012</v>
          </cell>
          <cell r="L6967">
            <v>10</v>
          </cell>
          <cell r="M6967" t="str">
            <v>EA</v>
          </cell>
          <cell r="N6967">
            <v>997.5</v>
          </cell>
          <cell r="O6967" t="str">
            <v>INR</v>
          </cell>
        </row>
        <row r="6968">
          <cell r="A6968" t="str">
            <v>L003 Ankleshwar</v>
          </cell>
          <cell r="B6968">
            <v>741179</v>
          </cell>
          <cell r="C6968" t="str">
            <v>SAS BOOK FOR  REC ETHYL ACETATE  OF 7AE</v>
          </cell>
          <cell r="D6968" t="str">
            <v>L0030201                       Cons StoreKP</v>
          </cell>
          <cell r="E6968" t="str">
            <v>E01 E01</v>
          </cell>
          <cell r="F6968" t="str">
            <v>VB Manual reorder point planning</v>
          </cell>
          <cell r="G6968" t="str">
            <v>HIBE Operating supplies</v>
          </cell>
          <cell r="H6968" t="str">
            <v>EN040     Prinitng &amp;Stationery</v>
          </cell>
          <cell r="I6968" t="str">
            <v>L003 Ankleshwar</v>
          </cell>
          <cell r="J6968" t="str">
            <v>99 Input/Byprodt/Scrap</v>
          </cell>
          <cell r="K6968" t="str">
            <v>10.2012</v>
          </cell>
          <cell r="L6968">
            <v>2</v>
          </cell>
          <cell r="M6968" t="str">
            <v>EA</v>
          </cell>
          <cell r="N6968">
            <v>199.5</v>
          </cell>
          <cell r="O6968" t="str">
            <v>INR</v>
          </cell>
        </row>
        <row r="6969">
          <cell r="A6969" t="str">
            <v>L003 Ankleshwar</v>
          </cell>
          <cell r="B6969">
            <v>741395</v>
          </cell>
          <cell r="C6969" t="str">
            <v>3/8" LSA MINI AIR FLOW REG.W/BELT &amp; MASK</v>
          </cell>
          <cell r="D6969" t="str">
            <v>L0030151                       EnggStore</v>
          </cell>
          <cell r="E6969">
            <v>0</v>
          </cell>
          <cell r="F6969" t="str">
            <v>ND No planning</v>
          </cell>
          <cell r="G6969" t="str">
            <v>HIBE Operating supplies</v>
          </cell>
          <cell r="H6969" t="str">
            <v>EN027     Prod&amp;OtherConsumable</v>
          </cell>
          <cell r="I6969" t="str">
            <v>L003 Ankleshwar</v>
          </cell>
          <cell r="J6969" t="str">
            <v>99 Input/Byprodt/Scrap</v>
          </cell>
          <cell r="K6969" t="str">
            <v>10.2012</v>
          </cell>
          <cell r="L6969">
            <v>1</v>
          </cell>
          <cell r="M6969" t="str">
            <v>EA</v>
          </cell>
          <cell r="N6969">
            <v>3650</v>
          </cell>
          <cell r="O6969" t="str">
            <v>INR</v>
          </cell>
        </row>
        <row r="6970">
          <cell r="A6970" t="str">
            <v>L003 Ankleshwar</v>
          </cell>
          <cell r="B6970">
            <v>741416</v>
          </cell>
          <cell r="C6970" t="str">
            <v>SS316  PLEATED CANDLE FILTER 30"X1MIC</v>
          </cell>
          <cell r="D6970" t="str">
            <v>L0030201                       Cons StoreKP</v>
          </cell>
          <cell r="E6970">
            <v>0</v>
          </cell>
          <cell r="F6970" t="str">
            <v>ND No planning</v>
          </cell>
          <cell r="G6970" t="str">
            <v>HIBE Operating supplies</v>
          </cell>
          <cell r="H6970" t="str">
            <v>EN027     Prod&amp;OtherConsumable</v>
          </cell>
          <cell r="I6970" t="str">
            <v>L003 Ankleshwar</v>
          </cell>
          <cell r="J6970" t="str">
            <v>99 Input/Byprodt/Scrap</v>
          </cell>
          <cell r="K6970" t="str">
            <v>10.2012</v>
          </cell>
          <cell r="L6970">
            <v>6</v>
          </cell>
          <cell r="M6970" t="str">
            <v>EA</v>
          </cell>
          <cell r="N6970">
            <v>131580</v>
          </cell>
          <cell r="O6970" t="str">
            <v>INR</v>
          </cell>
        </row>
        <row r="6971">
          <cell r="A6971" t="str">
            <v>L003 Ankleshwar</v>
          </cell>
          <cell r="B6971">
            <v>741594</v>
          </cell>
          <cell r="C6971" t="str">
            <v>SAS BOOK FOR REC.TARTARIC ACID ETB PLANT</v>
          </cell>
          <cell r="D6971" t="str">
            <v>L0030151                       EnggStore</v>
          </cell>
          <cell r="E6971" t="str">
            <v>E01 E01</v>
          </cell>
          <cell r="F6971" t="str">
            <v>VB Manual reorder point planning</v>
          </cell>
          <cell r="G6971" t="str">
            <v>HIBE Operating supplies</v>
          </cell>
          <cell r="H6971" t="str">
            <v>EN040     Prinitng &amp;Stationery</v>
          </cell>
          <cell r="I6971" t="str">
            <v>L003 Ankleshwar</v>
          </cell>
          <cell r="J6971" t="str">
            <v>99 Input/Byprodt/Scrap</v>
          </cell>
          <cell r="K6971" t="str">
            <v>10.2012</v>
          </cell>
          <cell r="L6971">
            <v>5</v>
          </cell>
          <cell r="M6971" t="str">
            <v>EA</v>
          </cell>
          <cell r="N6971">
            <v>498.75</v>
          </cell>
          <cell r="O6971" t="str">
            <v>INR</v>
          </cell>
        </row>
        <row r="6972">
          <cell r="A6972" t="str">
            <v>L003 Ankleshwar</v>
          </cell>
          <cell r="B6972">
            <v>741606</v>
          </cell>
          <cell r="C6972" t="str">
            <v>TEMP.INSTRUCTION LABEL FOR ETBHCL(CHINA)</v>
          </cell>
          <cell r="D6972" t="str">
            <v>L0030151                       EnggStore</v>
          </cell>
          <cell r="E6972" t="str">
            <v>E01 E01</v>
          </cell>
          <cell r="F6972" t="str">
            <v>VB Manual reorder point planning</v>
          </cell>
          <cell r="G6972" t="str">
            <v>HIBE Operating supplies</v>
          </cell>
          <cell r="H6972" t="str">
            <v>EN040     Prinitng &amp;Stationery</v>
          </cell>
          <cell r="I6972" t="str">
            <v>L003 Ankleshwar</v>
          </cell>
          <cell r="J6972" t="str">
            <v>99 Input/Byprodt/Scrap</v>
          </cell>
          <cell r="K6972" t="str">
            <v>10.2012</v>
          </cell>
          <cell r="L6972">
            <v>800</v>
          </cell>
          <cell r="M6972" t="str">
            <v>EA</v>
          </cell>
          <cell r="N6972">
            <v>320</v>
          </cell>
          <cell r="O6972" t="str">
            <v>INR</v>
          </cell>
        </row>
        <row r="6973">
          <cell r="A6973" t="str">
            <v>L003 Ankleshwar</v>
          </cell>
          <cell r="B6973">
            <v>741742</v>
          </cell>
          <cell r="C6973" t="str">
            <v>MS SPADE WITH WOODEN HANDLE</v>
          </cell>
          <cell r="D6973" t="str">
            <v>L0030151                       EnggStore</v>
          </cell>
          <cell r="E6973" t="str">
            <v>E01 E01</v>
          </cell>
          <cell r="F6973" t="str">
            <v>ND No planning</v>
          </cell>
          <cell r="G6973" t="str">
            <v>HIBE Operating supplies</v>
          </cell>
          <cell r="H6973" t="str">
            <v>EN019     Civil/Buliding Mater</v>
          </cell>
          <cell r="I6973" t="str">
            <v>L003 Ankleshwar</v>
          </cell>
          <cell r="J6973" t="str">
            <v>99 Input/Byprodt/Scrap</v>
          </cell>
          <cell r="K6973" t="str">
            <v>10.2012</v>
          </cell>
          <cell r="L6973">
            <v>1</v>
          </cell>
          <cell r="M6973" t="str">
            <v>EA</v>
          </cell>
          <cell r="N6973">
            <v>160</v>
          </cell>
          <cell r="O6973" t="str">
            <v>INR</v>
          </cell>
        </row>
        <row r="6974">
          <cell r="A6974" t="str">
            <v>L003 Ankleshwar</v>
          </cell>
          <cell r="B6974">
            <v>741746</v>
          </cell>
          <cell r="C6974" t="str">
            <v>REGENERATION PARAMETER BOOK 1X100 PAGE</v>
          </cell>
          <cell r="D6974" t="str">
            <v>L0030201                       Cons StoreKP</v>
          </cell>
          <cell r="E6974" t="str">
            <v>E01 E01</v>
          </cell>
          <cell r="F6974" t="str">
            <v>VB Manual reorder point planning</v>
          </cell>
          <cell r="G6974" t="str">
            <v>HIBE Operating supplies</v>
          </cell>
          <cell r="H6974" t="str">
            <v>EN040     Prinitng &amp;Stationery</v>
          </cell>
          <cell r="I6974" t="str">
            <v>L003 Ankleshwar</v>
          </cell>
          <cell r="J6974" t="str">
            <v>99 Input/Byprodt/Scrap</v>
          </cell>
          <cell r="K6974" t="str">
            <v>10.2012</v>
          </cell>
          <cell r="L6974">
            <v>8</v>
          </cell>
          <cell r="M6974" t="str">
            <v>EA</v>
          </cell>
          <cell r="N6974">
            <v>2000</v>
          </cell>
          <cell r="O6974" t="str">
            <v>INR</v>
          </cell>
        </row>
        <row r="6975">
          <cell r="A6975" t="str">
            <v>L003 Ankleshwar</v>
          </cell>
          <cell r="B6975">
            <v>741911</v>
          </cell>
          <cell r="C6975" t="str">
            <v>COTTON D-550 FILTER BAG 4-1/2'X28"</v>
          </cell>
          <cell r="D6975" t="str">
            <v>L0030151                       EnggStore</v>
          </cell>
          <cell r="E6975" t="str">
            <v>E01 E01</v>
          </cell>
          <cell r="F6975" t="str">
            <v>ND No planning</v>
          </cell>
          <cell r="G6975" t="str">
            <v>HIBE Operating supplies</v>
          </cell>
          <cell r="H6975" t="str">
            <v>EN027     Prod&amp;OtherConsumable</v>
          </cell>
          <cell r="I6975" t="str">
            <v>L003 Ankleshwar</v>
          </cell>
          <cell r="J6975" t="str">
            <v>99 Input/Byprodt/Scrap</v>
          </cell>
          <cell r="K6975" t="str">
            <v>10.2012</v>
          </cell>
          <cell r="L6975">
            <v>4</v>
          </cell>
          <cell r="M6975" t="str">
            <v>EA</v>
          </cell>
          <cell r="N6975">
            <v>1708</v>
          </cell>
          <cell r="O6975" t="str">
            <v>INR</v>
          </cell>
        </row>
        <row r="6976">
          <cell r="A6976" t="str">
            <v>L003 Ankleshwar</v>
          </cell>
          <cell r="B6976">
            <v>742092</v>
          </cell>
          <cell r="C6976" t="str">
            <v>STICKER OF PYHBR</v>
          </cell>
          <cell r="D6976" t="str">
            <v>L0030201                       Cons StoreKP</v>
          </cell>
          <cell r="E6976" t="str">
            <v>E01 E01</v>
          </cell>
          <cell r="F6976" t="str">
            <v>VB Manual reorder point planning</v>
          </cell>
          <cell r="G6976" t="str">
            <v>HIBE Operating supplies</v>
          </cell>
          <cell r="H6976" t="str">
            <v>EN040     Prinitng &amp;Stationery</v>
          </cell>
          <cell r="I6976" t="str">
            <v>L003 Ankleshwar</v>
          </cell>
          <cell r="J6976" t="str">
            <v>99 Input/Byprodt/Scrap</v>
          </cell>
          <cell r="K6976" t="str">
            <v>10.2012</v>
          </cell>
          <cell r="L6976">
            <v>500</v>
          </cell>
          <cell r="M6976" t="str">
            <v>EA</v>
          </cell>
          <cell r="N6976">
            <v>2000</v>
          </cell>
          <cell r="O6976" t="str">
            <v>INR</v>
          </cell>
        </row>
        <row r="6977">
          <cell r="A6977" t="str">
            <v>L003 Ankleshwar</v>
          </cell>
          <cell r="B6977">
            <v>742344</v>
          </cell>
          <cell r="C6977" t="str">
            <v>PGESO DRYER BATCH SHEET 150 PAGE</v>
          </cell>
          <cell r="D6977" t="str">
            <v>L0030201                       Cons StoreKP</v>
          </cell>
          <cell r="E6977" t="str">
            <v>E01 E01</v>
          </cell>
          <cell r="F6977" t="str">
            <v>VB Manual reorder point planning</v>
          </cell>
          <cell r="G6977" t="str">
            <v>HIBE Operating supplies</v>
          </cell>
          <cell r="H6977" t="str">
            <v>EN040     Prinitng &amp;Stationery</v>
          </cell>
          <cell r="I6977" t="str">
            <v>L003 Ankleshwar</v>
          </cell>
          <cell r="J6977" t="str">
            <v>99 Input/Byprodt/Scrap</v>
          </cell>
          <cell r="K6977" t="str">
            <v>10.2012</v>
          </cell>
          <cell r="L6977">
            <v>6</v>
          </cell>
          <cell r="M6977" t="str">
            <v>EA</v>
          </cell>
          <cell r="N6977">
            <v>660</v>
          </cell>
          <cell r="O6977" t="str">
            <v>INR</v>
          </cell>
        </row>
        <row r="6978">
          <cell r="A6978" t="str">
            <v>L003 Ankleshwar</v>
          </cell>
          <cell r="B6978">
            <v>742448</v>
          </cell>
          <cell r="C6978" t="str">
            <v>SAS BOOK FOR WET ETB HCL(EPCOS)</v>
          </cell>
          <cell r="D6978" t="str">
            <v>L0030151                       EnggStore</v>
          </cell>
          <cell r="E6978" t="str">
            <v>E01 E01</v>
          </cell>
          <cell r="F6978" t="str">
            <v>VB Manual reorder point planning</v>
          </cell>
          <cell r="G6978" t="str">
            <v>HIBE Operating supplies</v>
          </cell>
          <cell r="H6978" t="str">
            <v>EN040     Prinitng &amp;Stationery</v>
          </cell>
          <cell r="I6978" t="str">
            <v>L003 Ankleshwar</v>
          </cell>
          <cell r="J6978" t="str">
            <v>99 Input/Byprodt/Scrap</v>
          </cell>
          <cell r="K6978" t="str">
            <v>10.2012</v>
          </cell>
          <cell r="L6978">
            <v>8</v>
          </cell>
          <cell r="M6978" t="str">
            <v>EA</v>
          </cell>
          <cell r="N6978">
            <v>798</v>
          </cell>
          <cell r="O6978" t="str">
            <v>INR</v>
          </cell>
        </row>
        <row r="6979">
          <cell r="A6979" t="str">
            <v>L003 Ankleshwar</v>
          </cell>
          <cell r="B6979">
            <v>742637</v>
          </cell>
          <cell r="C6979" t="str">
            <v>PP AREA STOCK STATUS REPORTBOOK ETB</v>
          </cell>
          <cell r="D6979" t="str">
            <v>L0030151                       EnggStore</v>
          </cell>
          <cell r="E6979" t="str">
            <v>E01 E01</v>
          </cell>
          <cell r="F6979" t="str">
            <v>VB Manual reorder point planning</v>
          </cell>
          <cell r="G6979" t="str">
            <v>HIBE Operating supplies</v>
          </cell>
          <cell r="H6979" t="str">
            <v>EN040     Prinitng &amp;Stationery</v>
          </cell>
          <cell r="I6979" t="str">
            <v>L003 Ankleshwar</v>
          </cell>
          <cell r="J6979" t="str">
            <v>99 Input/Byprodt/Scrap</v>
          </cell>
          <cell r="K6979" t="str">
            <v>10.2012</v>
          </cell>
          <cell r="L6979">
            <v>4</v>
          </cell>
          <cell r="M6979" t="str">
            <v>EA</v>
          </cell>
          <cell r="N6979">
            <v>320</v>
          </cell>
          <cell r="O6979" t="str">
            <v>INR</v>
          </cell>
        </row>
        <row r="6980">
          <cell r="A6980" t="str">
            <v>L003 Ankleshwar</v>
          </cell>
          <cell r="B6980">
            <v>742670</v>
          </cell>
          <cell r="C6980" t="str">
            <v>DISH CARE IDW DETERGENT</v>
          </cell>
          <cell r="D6980" t="str">
            <v>L0030151                       EnggStore</v>
          </cell>
          <cell r="E6980" t="str">
            <v>E01 E01</v>
          </cell>
          <cell r="F6980" t="str">
            <v>ND No planning</v>
          </cell>
          <cell r="G6980" t="str">
            <v>HIBE Operating supplies</v>
          </cell>
          <cell r="H6980" t="str">
            <v>EN024     EnggConsumables</v>
          </cell>
          <cell r="I6980" t="str">
            <v>L003 Ankleshwar</v>
          </cell>
          <cell r="J6980" t="str">
            <v>99 Input/Byprodt/Scrap</v>
          </cell>
          <cell r="K6980" t="str">
            <v>10.2012</v>
          </cell>
          <cell r="L6980">
            <v>200</v>
          </cell>
          <cell r="M6980" t="str">
            <v>L</v>
          </cell>
          <cell r="N6980">
            <v>20000</v>
          </cell>
          <cell r="O6980" t="str">
            <v>INR</v>
          </cell>
        </row>
        <row r="6981">
          <cell r="A6981" t="str">
            <v>L003 Ankleshwar</v>
          </cell>
          <cell r="B6981">
            <v>742761</v>
          </cell>
          <cell r="C6981" t="str">
            <v>DISH QUICK IDW RINSEAID</v>
          </cell>
          <cell r="D6981" t="str">
            <v>L0030151                       EnggStore</v>
          </cell>
          <cell r="E6981" t="str">
            <v>E01 E01</v>
          </cell>
          <cell r="F6981" t="str">
            <v>ND No planning</v>
          </cell>
          <cell r="G6981" t="str">
            <v>HIBE Operating supplies</v>
          </cell>
          <cell r="H6981" t="str">
            <v>EN024     EnggConsumables</v>
          </cell>
          <cell r="I6981" t="str">
            <v>L003 Ankleshwar</v>
          </cell>
          <cell r="J6981" t="str">
            <v>99 Input/Byprodt/Scrap</v>
          </cell>
          <cell r="K6981" t="str">
            <v>10.2012</v>
          </cell>
          <cell r="L6981">
            <v>80</v>
          </cell>
          <cell r="M6981" t="str">
            <v>L</v>
          </cell>
          <cell r="N6981">
            <v>8000</v>
          </cell>
          <cell r="O6981" t="str">
            <v>INR</v>
          </cell>
        </row>
        <row r="6982">
          <cell r="A6982" t="str">
            <v>L003 Ankleshwar</v>
          </cell>
          <cell r="B6982">
            <v>743206</v>
          </cell>
          <cell r="C6982" t="str">
            <v>PP-105 ANF- 2301 FILTER CLOTH 2300 MM</v>
          </cell>
          <cell r="D6982" t="str">
            <v>L0030151                       EnggStore</v>
          </cell>
          <cell r="E6982" t="str">
            <v>E01 E01</v>
          </cell>
          <cell r="F6982" t="str">
            <v>VB Manual reorder point planning</v>
          </cell>
          <cell r="G6982" t="str">
            <v>HIBE Operating supplies</v>
          </cell>
          <cell r="H6982" t="str">
            <v>EN027     Prod&amp;OtherConsumable</v>
          </cell>
          <cell r="I6982" t="str">
            <v>L003 Ankleshwar</v>
          </cell>
          <cell r="J6982" t="str">
            <v>99 Input/Byprodt/Scrap</v>
          </cell>
          <cell r="K6982" t="str">
            <v>10.2012</v>
          </cell>
          <cell r="L6982">
            <v>1</v>
          </cell>
          <cell r="M6982" t="str">
            <v>EA</v>
          </cell>
          <cell r="N6982">
            <v>810</v>
          </cell>
          <cell r="O6982" t="str">
            <v>INR</v>
          </cell>
        </row>
        <row r="6983">
          <cell r="A6983" t="str">
            <v>L003 Ankleshwar</v>
          </cell>
          <cell r="B6983">
            <v>743558</v>
          </cell>
          <cell r="C6983" t="str">
            <v>LOT IDENTIFICATION LABEL :5"X3"</v>
          </cell>
          <cell r="D6983" t="str">
            <v>L0030201                       Cons StoreKP</v>
          </cell>
          <cell r="E6983">
            <v>0</v>
          </cell>
          <cell r="F6983" t="str">
            <v>ND No planning</v>
          </cell>
          <cell r="G6983" t="str">
            <v>HIBE Operating supplies</v>
          </cell>
          <cell r="H6983" t="str">
            <v>EN040     Prinitng &amp;Stationery</v>
          </cell>
          <cell r="I6983" t="str">
            <v>L003 Ankleshwar</v>
          </cell>
          <cell r="J6983" t="str">
            <v>99 Input/Byprodt/Scrap</v>
          </cell>
          <cell r="K6983" t="str">
            <v>10.2012</v>
          </cell>
          <cell r="L6983">
            <v>5000</v>
          </cell>
          <cell r="M6983" t="str">
            <v>EA</v>
          </cell>
          <cell r="N6983">
            <v>5000</v>
          </cell>
          <cell r="O6983" t="str">
            <v>INR</v>
          </cell>
        </row>
        <row r="6984">
          <cell r="A6984" t="str">
            <v>L003 Ankleshwar</v>
          </cell>
          <cell r="B6984">
            <v>743559</v>
          </cell>
          <cell r="C6984" t="str">
            <v>MATERIAL IDENTIFICATION LABEL :5"X3"</v>
          </cell>
          <cell r="D6984" t="str">
            <v>L0030201                       Cons StoreKP</v>
          </cell>
          <cell r="E6984">
            <v>0</v>
          </cell>
          <cell r="F6984" t="str">
            <v>ND No planning</v>
          </cell>
          <cell r="G6984" t="str">
            <v>HIBE Operating supplies</v>
          </cell>
          <cell r="H6984" t="str">
            <v>EN040     Prinitng &amp;Stationery</v>
          </cell>
          <cell r="I6984" t="str">
            <v>L003 Ankleshwar</v>
          </cell>
          <cell r="J6984" t="str">
            <v>99 Input/Byprodt/Scrap</v>
          </cell>
          <cell r="K6984" t="str">
            <v>10.2012</v>
          </cell>
          <cell r="L6984">
            <v>12650</v>
          </cell>
          <cell r="M6984" t="str">
            <v>EA</v>
          </cell>
          <cell r="N6984">
            <v>12650</v>
          </cell>
          <cell r="O6984" t="str">
            <v>INR</v>
          </cell>
        </row>
        <row r="6985">
          <cell r="A6985" t="str">
            <v>L003 Ankleshwar</v>
          </cell>
          <cell r="B6985">
            <v>743560</v>
          </cell>
          <cell r="C6985" t="str">
            <v>UTENSIL/PPESTATUS LABEL:3.5"X2"</v>
          </cell>
          <cell r="D6985" t="str">
            <v>L0030151                       EnggStore</v>
          </cell>
          <cell r="E6985">
            <v>0</v>
          </cell>
          <cell r="F6985" t="str">
            <v>ND No planning</v>
          </cell>
          <cell r="G6985" t="str">
            <v>HIBE Operating supplies</v>
          </cell>
          <cell r="H6985" t="str">
            <v>EN040     Prinitng &amp;Stationery</v>
          </cell>
          <cell r="I6985" t="str">
            <v>L003 Ankleshwar</v>
          </cell>
          <cell r="J6985" t="str">
            <v>99 Input/Byprodt/Scrap</v>
          </cell>
          <cell r="K6985" t="str">
            <v>10.2012</v>
          </cell>
          <cell r="L6985">
            <v>9400</v>
          </cell>
          <cell r="M6985" t="str">
            <v>EA</v>
          </cell>
          <cell r="N6985">
            <v>9400</v>
          </cell>
          <cell r="O6985" t="str">
            <v>INR</v>
          </cell>
        </row>
        <row r="6986">
          <cell r="A6986" t="str">
            <v>L003 Ankleshwar</v>
          </cell>
          <cell r="B6986">
            <v>743624</v>
          </cell>
          <cell r="C6986" t="str">
            <v>D-900S AT ANTISTATIC C/F BAG 48" F-3601D</v>
          </cell>
          <cell r="D6986" t="str">
            <v>L0030201                       Cons StoreKP</v>
          </cell>
          <cell r="E6986" t="str">
            <v>E42 E42</v>
          </cell>
          <cell r="F6986" t="str">
            <v>VB Manual reorder point planning</v>
          </cell>
          <cell r="G6986" t="str">
            <v>HIBE Operating supplies</v>
          </cell>
          <cell r="H6986" t="str">
            <v>EN027     Prod&amp;OtherConsumable</v>
          </cell>
          <cell r="I6986" t="str">
            <v>L003 Ankleshwar</v>
          </cell>
          <cell r="J6986" t="str">
            <v>99 Input/Byprodt/Scrap</v>
          </cell>
          <cell r="K6986" t="str">
            <v>10.2012</v>
          </cell>
          <cell r="L6986">
            <v>5</v>
          </cell>
          <cell r="M6986" t="str">
            <v>EA</v>
          </cell>
          <cell r="N6986">
            <v>10765</v>
          </cell>
          <cell r="O6986" t="str">
            <v>INR</v>
          </cell>
        </row>
        <row r="6987">
          <cell r="A6987" t="str">
            <v>L003 Ankleshwar</v>
          </cell>
          <cell r="B6987">
            <v>743761</v>
          </cell>
          <cell r="C6987" t="str">
            <v>SS316 FLX.BRAIDED HOSE FE X FE 4"X500MM</v>
          </cell>
          <cell r="D6987" t="str">
            <v>L0030151                       EnggStore</v>
          </cell>
          <cell r="E6987" t="str">
            <v>E02 E02</v>
          </cell>
          <cell r="F6987" t="str">
            <v>VB Manual reorder point planning</v>
          </cell>
          <cell r="G6987" t="str">
            <v>HIBE Operating supplies</v>
          </cell>
          <cell r="H6987" t="str">
            <v>EN027     Prod&amp;OtherConsumable</v>
          </cell>
          <cell r="I6987" t="str">
            <v>L003 Ankleshwar</v>
          </cell>
          <cell r="J6987" t="str">
            <v>99 Input/Byprodt/Scrap</v>
          </cell>
          <cell r="K6987" t="str">
            <v>10.2012</v>
          </cell>
          <cell r="L6987">
            <v>1</v>
          </cell>
          <cell r="M6987" t="str">
            <v>EA</v>
          </cell>
          <cell r="N6987">
            <v>3484.46</v>
          </cell>
          <cell r="O6987" t="str">
            <v>INR</v>
          </cell>
        </row>
        <row r="6988">
          <cell r="A6988" t="str">
            <v>L003 Ankleshwar</v>
          </cell>
          <cell r="B6988">
            <v>743941</v>
          </cell>
          <cell r="C6988" t="str">
            <v>TA PLANT ANALYSIS BOOK 1X100 PAGE</v>
          </cell>
          <cell r="D6988" t="str">
            <v>L0030151                       EnggStore</v>
          </cell>
          <cell r="E6988">
            <v>0</v>
          </cell>
          <cell r="F6988" t="str">
            <v>ND No planning</v>
          </cell>
          <cell r="G6988" t="str">
            <v>HIBE Operating supplies</v>
          </cell>
          <cell r="H6988" t="str">
            <v>EN040     Prinitng &amp;Stationery</v>
          </cell>
          <cell r="I6988" t="str">
            <v>L003 Ankleshwar</v>
          </cell>
          <cell r="J6988" t="str">
            <v>99 Input/Byprodt/Scrap</v>
          </cell>
          <cell r="K6988" t="str">
            <v>10.2012</v>
          </cell>
          <cell r="L6988">
            <v>1</v>
          </cell>
          <cell r="M6988" t="str">
            <v>EA</v>
          </cell>
          <cell r="N6988">
            <v>190</v>
          </cell>
          <cell r="O6988" t="str">
            <v>INR</v>
          </cell>
        </row>
        <row r="6989">
          <cell r="A6989" t="str">
            <v>L003 Ankleshwar</v>
          </cell>
          <cell r="B6989">
            <v>743961</v>
          </cell>
          <cell r="C6989" t="str">
            <v>SAS BOOK OF ETB FROM MESO BASE(WET)</v>
          </cell>
          <cell r="D6989" t="str">
            <v>L0030151                       EnggStore</v>
          </cell>
          <cell r="E6989" t="str">
            <v>E01 E01</v>
          </cell>
          <cell r="F6989" t="str">
            <v>VB Manual reorder point planning</v>
          </cell>
          <cell r="G6989" t="str">
            <v>HIBE Operating supplies</v>
          </cell>
          <cell r="H6989" t="str">
            <v>EN040     Prinitng &amp;Stationery</v>
          </cell>
          <cell r="I6989" t="str">
            <v>L003 Ankleshwar</v>
          </cell>
          <cell r="J6989" t="str">
            <v>99 Input/Byprodt/Scrap</v>
          </cell>
          <cell r="K6989" t="str">
            <v>10.2012</v>
          </cell>
          <cell r="L6989">
            <v>10</v>
          </cell>
          <cell r="M6989" t="str">
            <v>EA</v>
          </cell>
          <cell r="N6989">
            <v>997.5</v>
          </cell>
          <cell r="O6989" t="str">
            <v>INR</v>
          </cell>
        </row>
        <row r="6990">
          <cell r="A6990" t="str">
            <v>L003 Ankleshwar</v>
          </cell>
          <cell r="B6990">
            <v>743997</v>
          </cell>
          <cell r="C6990" t="str">
            <v>SAS BOOK OF HMDS+TOLUENE FOR 7APDCA</v>
          </cell>
          <cell r="D6990" t="str">
            <v>L0030201                       Cons StoreKP</v>
          </cell>
          <cell r="E6990" t="str">
            <v>E01 E01</v>
          </cell>
          <cell r="F6990" t="str">
            <v>VB Manual reorder point planning</v>
          </cell>
          <cell r="G6990" t="str">
            <v>HIBE Operating supplies</v>
          </cell>
          <cell r="H6990" t="str">
            <v>EN040     Prinitng &amp;Stationery</v>
          </cell>
          <cell r="I6990" t="str">
            <v>L003 Ankleshwar</v>
          </cell>
          <cell r="J6990" t="str">
            <v>99 Input/Byprodt/Scrap</v>
          </cell>
          <cell r="K6990" t="str">
            <v>10.2012</v>
          </cell>
          <cell r="L6990">
            <v>5</v>
          </cell>
          <cell r="M6990" t="str">
            <v>EA</v>
          </cell>
          <cell r="N6990">
            <v>577.5</v>
          </cell>
          <cell r="O6990" t="str">
            <v>INR</v>
          </cell>
        </row>
        <row r="6991">
          <cell r="A6991" t="str">
            <v>L003 Ankleshwar</v>
          </cell>
          <cell r="B6991">
            <v>743998</v>
          </cell>
          <cell r="C6991" t="str">
            <v>SAS BOOK OF HMDO+TOLUENE FOR 7APDCA</v>
          </cell>
          <cell r="D6991" t="str">
            <v>L0030201                       Cons StoreKP</v>
          </cell>
          <cell r="E6991" t="str">
            <v>E01 E01</v>
          </cell>
          <cell r="F6991" t="str">
            <v>VB Manual reorder point planning</v>
          </cell>
          <cell r="G6991" t="str">
            <v>HIBE Operating supplies</v>
          </cell>
          <cell r="H6991" t="str">
            <v>EN040     Prinitng &amp;Stationery</v>
          </cell>
          <cell r="I6991" t="str">
            <v>L003 Ankleshwar</v>
          </cell>
          <cell r="J6991" t="str">
            <v>99 Input/Byprodt/Scrap</v>
          </cell>
          <cell r="K6991" t="str">
            <v>10.2012</v>
          </cell>
          <cell r="L6991">
            <v>5</v>
          </cell>
          <cell r="M6991" t="str">
            <v>EA</v>
          </cell>
          <cell r="N6991">
            <v>577.5</v>
          </cell>
          <cell r="O6991" t="str">
            <v>INR</v>
          </cell>
        </row>
        <row r="6992">
          <cell r="A6992" t="str">
            <v>L003 Ankleshwar</v>
          </cell>
          <cell r="B6992">
            <v>743999</v>
          </cell>
          <cell r="C6992" t="str">
            <v>CARBONLOTIDENTIFICATION LABEL5"X3"7APDCA</v>
          </cell>
          <cell r="D6992" t="str">
            <v>L0030201                       Cons StoreKP</v>
          </cell>
          <cell r="E6992" t="str">
            <v>E01 E01</v>
          </cell>
          <cell r="F6992" t="str">
            <v>VB Manual reorder point planning</v>
          </cell>
          <cell r="G6992" t="str">
            <v>HIBE Operating supplies</v>
          </cell>
          <cell r="H6992" t="str">
            <v>EN040     Prinitng &amp;Stationery</v>
          </cell>
          <cell r="I6992" t="str">
            <v>L003 Ankleshwar</v>
          </cell>
          <cell r="J6992" t="str">
            <v>99 Input/Byprodt/Scrap</v>
          </cell>
          <cell r="K6992" t="str">
            <v>10.2012</v>
          </cell>
          <cell r="L6992">
            <v>8000</v>
          </cell>
          <cell r="M6992" t="str">
            <v>EA</v>
          </cell>
          <cell r="N6992">
            <v>8000</v>
          </cell>
          <cell r="O6992" t="str">
            <v>INR</v>
          </cell>
        </row>
        <row r="6993">
          <cell r="A6993" t="str">
            <v>L003 Ankleshwar</v>
          </cell>
          <cell r="B6993">
            <v>744000</v>
          </cell>
          <cell r="C6993" t="str">
            <v>CELITELOTIDENTIFICATION LABEL5"X3"7APDCA</v>
          </cell>
          <cell r="D6993" t="str">
            <v>L0030201                       Cons StoreKP</v>
          </cell>
          <cell r="E6993" t="str">
            <v>E01 E01</v>
          </cell>
          <cell r="F6993" t="str">
            <v>VB Manual reorder point planning</v>
          </cell>
          <cell r="G6993" t="str">
            <v>HIBE Operating supplies</v>
          </cell>
          <cell r="H6993" t="str">
            <v>EN040     Prinitng &amp;Stationery</v>
          </cell>
          <cell r="I6993" t="str">
            <v>L003 Ankleshwar</v>
          </cell>
          <cell r="J6993" t="str">
            <v>99 Input/Byprodt/Scrap</v>
          </cell>
          <cell r="K6993" t="str">
            <v>10.2012</v>
          </cell>
          <cell r="L6993">
            <v>1000</v>
          </cell>
          <cell r="M6993" t="str">
            <v>EA</v>
          </cell>
          <cell r="N6993">
            <v>1000</v>
          </cell>
          <cell r="O6993" t="str">
            <v>INR</v>
          </cell>
        </row>
        <row r="6994">
          <cell r="A6994" t="str">
            <v>L003 Ankleshwar</v>
          </cell>
          <cell r="B6994">
            <v>744001</v>
          </cell>
          <cell r="C6994" t="str">
            <v>ADS-1 LOTIDENTIFICATION LABEL5"X3"7APDCA</v>
          </cell>
          <cell r="D6994" t="str">
            <v>L0030201                       Cons StoreKP</v>
          </cell>
          <cell r="E6994" t="str">
            <v>E01 E01</v>
          </cell>
          <cell r="F6994" t="str">
            <v>VB Manual reorder point planning</v>
          </cell>
          <cell r="G6994" t="str">
            <v>HIBE Operating supplies</v>
          </cell>
          <cell r="H6994" t="str">
            <v>EN040     Prinitng &amp;Stationery</v>
          </cell>
          <cell r="I6994" t="str">
            <v>L003 Ankleshwar</v>
          </cell>
          <cell r="J6994" t="str">
            <v>99 Input/Byprodt/Scrap</v>
          </cell>
          <cell r="K6994" t="str">
            <v>10.2012</v>
          </cell>
          <cell r="L6994">
            <v>1000</v>
          </cell>
          <cell r="M6994" t="str">
            <v>EA</v>
          </cell>
          <cell r="N6994">
            <v>1150</v>
          </cell>
          <cell r="O6994" t="str">
            <v>INR</v>
          </cell>
        </row>
        <row r="6995">
          <cell r="A6995" t="str">
            <v>L003 Ankleshwar</v>
          </cell>
          <cell r="B6995">
            <v>744002</v>
          </cell>
          <cell r="C6995" t="str">
            <v>7APDCALOTIDENTIFICATION LABEL5"X3"7APDCA</v>
          </cell>
          <cell r="D6995" t="str">
            <v>L0030201                       Cons StoreKP</v>
          </cell>
          <cell r="E6995" t="str">
            <v>E01 E01</v>
          </cell>
          <cell r="F6995" t="str">
            <v>VB Manual reorder point planning</v>
          </cell>
          <cell r="G6995" t="str">
            <v>HIBE Operating supplies</v>
          </cell>
          <cell r="H6995" t="str">
            <v>EN040     Prinitng &amp;Stationery</v>
          </cell>
          <cell r="I6995" t="str">
            <v>L003 Ankleshwar</v>
          </cell>
          <cell r="J6995" t="str">
            <v>99 Input/Byprodt/Scrap</v>
          </cell>
          <cell r="K6995" t="str">
            <v>10.2012</v>
          </cell>
          <cell r="L6995">
            <v>2000</v>
          </cell>
          <cell r="M6995" t="str">
            <v>EA</v>
          </cell>
          <cell r="N6995">
            <v>2000</v>
          </cell>
          <cell r="O6995" t="str">
            <v>INR</v>
          </cell>
        </row>
        <row r="6996">
          <cell r="A6996" t="str">
            <v>L003 Ankleshwar</v>
          </cell>
          <cell r="B6996">
            <v>744003</v>
          </cell>
          <cell r="C6996" t="str">
            <v>ADS-3 LOTIDENTIFICATION LABEL5"X3"7APDCA</v>
          </cell>
          <cell r="D6996" t="str">
            <v>L0030201                       Cons StoreKP</v>
          </cell>
          <cell r="E6996" t="str">
            <v>E01 E01</v>
          </cell>
          <cell r="F6996" t="str">
            <v>VB Manual reorder point planning</v>
          </cell>
          <cell r="G6996" t="str">
            <v>HIBE Operating supplies</v>
          </cell>
          <cell r="H6996" t="str">
            <v>EN040     Prinitng &amp;Stationery</v>
          </cell>
          <cell r="I6996" t="str">
            <v>L003 Ankleshwar</v>
          </cell>
          <cell r="J6996" t="str">
            <v>99 Input/Byprodt/Scrap</v>
          </cell>
          <cell r="K6996" t="str">
            <v>10.2012</v>
          </cell>
          <cell r="L6996">
            <v>3000</v>
          </cell>
          <cell r="M6996" t="str">
            <v>EA</v>
          </cell>
          <cell r="N6996">
            <v>3000</v>
          </cell>
          <cell r="O6996" t="str">
            <v>INR</v>
          </cell>
        </row>
        <row r="6997">
          <cell r="A6997" t="str">
            <v>L003 Ankleshwar</v>
          </cell>
          <cell r="B6997">
            <v>744004</v>
          </cell>
          <cell r="C6997" t="str">
            <v>7ADCAMATERIAL IDENTIFICATION LABEL:5"X3"</v>
          </cell>
          <cell r="D6997" t="str">
            <v>L0030201                       Cons StoreKP</v>
          </cell>
          <cell r="E6997" t="str">
            <v>E01 E01</v>
          </cell>
          <cell r="F6997" t="str">
            <v>VB Manual reorder point planning</v>
          </cell>
          <cell r="G6997" t="str">
            <v>HIBE Operating supplies</v>
          </cell>
          <cell r="H6997" t="str">
            <v>EN040     Prinitng &amp;Stationery</v>
          </cell>
          <cell r="I6997" t="str">
            <v>L003 Ankleshwar</v>
          </cell>
          <cell r="J6997" t="str">
            <v>99 Input/Byprodt/Scrap</v>
          </cell>
          <cell r="K6997" t="str">
            <v>10.2012</v>
          </cell>
          <cell r="L6997">
            <v>2000</v>
          </cell>
          <cell r="M6997" t="str">
            <v>EA</v>
          </cell>
          <cell r="N6997">
            <v>2000</v>
          </cell>
          <cell r="O6997" t="str">
            <v>INR</v>
          </cell>
        </row>
        <row r="6998">
          <cell r="A6998" t="str">
            <v>L003 Ankleshwar</v>
          </cell>
          <cell r="B6998">
            <v>744344</v>
          </cell>
          <cell r="C6998" t="str">
            <v>STICKER OF BALANCE CELITE OF 7ADCA</v>
          </cell>
          <cell r="D6998" t="str">
            <v>L0030201                       Cons StoreKP</v>
          </cell>
          <cell r="E6998">
            <v>0</v>
          </cell>
          <cell r="F6998" t="str">
            <v>ND No planning</v>
          </cell>
          <cell r="G6998" t="str">
            <v>HIBE Operating supplies</v>
          </cell>
          <cell r="H6998" t="str">
            <v>EN040     Prinitng &amp;Stationery</v>
          </cell>
          <cell r="I6998" t="str">
            <v>L003 Ankleshwar</v>
          </cell>
          <cell r="J6998" t="str">
            <v>99 Input/Byprodt/Scrap</v>
          </cell>
          <cell r="K6998" t="str">
            <v>10.2012</v>
          </cell>
          <cell r="L6998">
            <v>500</v>
          </cell>
          <cell r="M6998" t="str">
            <v>EA</v>
          </cell>
          <cell r="N6998">
            <v>500</v>
          </cell>
          <cell r="O6998" t="str">
            <v>INR</v>
          </cell>
        </row>
        <row r="6999">
          <cell r="A6999" t="str">
            <v>L003 Ankleshwar</v>
          </cell>
          <cell r="B6999">
            <v>744345</v>
          </cell>
          <cell r="C6999" t="str">
            <v>STICKER OF BALANCE ADS-3 OF 7ADCA</v>
          </cell>
          <cell r="D6999" t="str">
            <v>L0030201                       Cons StoreKP</v>
          </cell>
          <cell r="E6999">
            <v>0</v>
          </cell>
          <cell r="F6999" t="str">
            <v>ND No planning</v>
          </cell>
          <cell r="G6999" t="str">
            <v>HIBE Operating supplies</v>
          </cell>
          <cell r="H6999" t="str">
            <v>EN040     Prinitng &amp;Stationery</v>
          </cell>
          <cell r="I6999" t="str">
            <v>L003 Ankleshwar</v>
          </cell>
          <cell r="J6999" t="str">
            <v>99 Input/Byprodt/Scrap</v>
          </cell>
          <cell r="K6999" t="str">
            <v>10.2012</v>
          </cell>
          <cell r="L6999">
            <v>500</v>
          </cell>
          <cell r="M6999" t="str">
            <v>EA</v>
          </cell>
          <cell r="N6999">
            <v>500</v>
          </cell>
          <cell r="O6999" t="str">
            <v>INR</v>
          </cell>
        </row>
        <row r="7000">
          <cell r="A7000" t="str">
            <v>L003 Ankleshwar</v>
          </cell>
          <cell r="B7000">
            <v>744346</v>
          </cell>
          <cell r="C7000" t="str">
            <v>STICKER OF 7ADCA TAIL MATERIAL</v>
          </cell>
          <cell r="D7000" t="str">
            <v>L0030201                       Cons StoreKP</v>
          </cell>
          <cell r="E7000">
            <v>0</v>
          </cell>
          <cell r="F7000" t="str">
            <v>ND No planning</v>
          </cell>
          <cell r="G7000" t="str">
            <v>HIBE Operating supplies</v>
          </cell>
          <cell r="H7000" t="str">
            <v>EN040     Prinitng &amp;Stationery</v>
          </cell>
          <cell r="I7000" t="str">
            <v>L003 Ankleshwar</v>
          </cell>
          <cell r="J7000" t="str">
            <v>99 Input/Byprodt/Scrap</v>
          </cell>
          <cell r="K7000" t="str">
            <v>10.2012</v>
          </cell>
          <cell r="L7000">
            <v>2000</v>
          </cell>
          <cell r="M7000" t="str">
            <v>EA</v>
          </cell>
          <cell r="N7000">
            <v>2000</v>
          </cell>
          <cell r="O7000" t="str">
            <v>INR</v>
          </cell>
        </row>
        <row r="7001">
          <cell r="A7001" t="str">
            <v>L003 Ankleshwar</v>
          </cell>
          <cell r="B7001">
            <v>744347</v>
          </cell>
          <cell r="C7001" t="str">
            <v>STICKER OF BALANCE CARBON OF 7ADCA</v>
          </cell>
          <cell r="D7001" t="str">
            <v>L0030201                       Cons StoreKP</v>
          </cell>
          <cell r="E7001">
            <v>0</v>
          </cell>
          <cell r="F7001" t="str">
            <v>ND No planning</v>
          </cell>
          <cell r="G7001" t="str">
            <v>HIBE Operating supplies</v>
          </cell>
          <cell r="H7001" t="str">
            <v>EN040     Prinitng &amp;Stationery</v>
          </cell>
          <cell r="I7001" t="str">
            <v>L003 Ankleshwar</v>
          </cell>
          <cell r="J7001" t="str">
            <v>99 Input/Byprodt/Scrap</v>
          </cell>
          <cell r="K7001" t="str">
            <v>10.2012</v>
          </cell>
          <cell r="L7001">
            <v>500</v>
          </cell>
          <cell r="M7001" t="str">
            <v>EA</v>
          </cell>
          <cell r="N7001">
            <v>500</v>
          </cell>
          <cell r="O7001" t="str">
            <v>INR</v>
          </cell>
        </row>
        <row r="7002">
          <cell r="A7002" t="str">
            <v>L003 Ankleshwar</v>
          </cell>
          <cell r="B7002">
            <v>744348</v>
          </cell>
          <cell r="C7002" t="str">
            <v>STICKER OF BALANCE ADS-1 OF 7ADCA</v>
          </cell>
          <cell r="D7002" t="str">
            <v>L0030201                       Cons StoreKP</v>
          </cell>
          <cell r="E7002">
            <v>0</v>
          </cell>
          <cell r="F7002" t="str">
            <v>ND No planning</v>
          </cell>
          <cell r="G7002" t="str">
            <v>HIBE Operating supplies</v>
          </cell>
          <cell r="H7002" t="str">
            <v>EN040     Prinitng &amp;Stationery</v>
          </cell>
          <cell r="I7002" t="str">
            <v>L003 Ankleshwar</v>
          </cell>
          <cell r="J7002" t="str">
            <v>99 Input/Byprodt/Scrap</v>
          </cell>
          <cell r="K7002" t="str">
            <v>10.2012</v>
          </cell>
          <cell r="L7002">
            <v>500</v>
          </cell>
          <cell r="M7002" t="str">
            <v>EA</v>
          </cell>
          <cell r="N7002">
            <v>500</v>
          </cell>
          <cell r="O7002" t="str">
            <v>INR</v>
          </cell>
        </row>
        <row r="7003">
          <cell r="A7003" t="str">
            <v>L003 Ankleshwar</v>
          </cell>
          <cell r="B7003">
            <v>744745</v>
          </cell>
          <cell r="C7003" t="str">
            <v>REACTOR CHARGE BOOK 1X200P</v>
          </cell>
          <cell r="D7003" t="str">
            <v>L0030201                       Cons StoreKP</v>
          </cell>
          <cell r="E7003" t="str">
            <v>E02 E02</v>
          </cell>
          <cell r="F7003" t="str">
            <v>VB Manual reorder point planning</v>
          </cell>
          <cell r="G7003" t="str">
            <v>HIBE Operating supplies</v>
          </cell>
          <cell r="H7003" t="str">
            <v>EN040     Prinitng &amp;Stationery</v>
          </cell>
          <cell r="I7003" t="str">
            <v>L003 Ankleshwar</v>
          </cell>
          <cell r="J7003" t="str">
            <v>99 Input/Byprodt/Scrap</v>
          </cell>
          <cell r="K7003" t="str">
            <v>10.2012</v>
          </cell>
          <cell r="L7003">
            <v>1</v>
          </cell>
          <cell r="M7003" t="str">
            <v>EA</v>
          </cell>
          <cell r="N7003">
            <v>180</v>
          </cell>
          <cell r="O7003" t="str">
            <v>INR</v>
          </cell>
        </row>
        <row r="7004">
          <cell r="A7004" t="str">
            <v>L003 Ankleshwar</v>
          </cell>
          <cell r="B7004">
            <v>744775</v>
          </cell>
          <cell r="C7004" t="str">
            <v>AIR FILTER 24"X24"X2" 20MICRON</v>
          </cell>
          <cell r="D7004" t="str">
            <v>L0030151                       EnggStore</v>
          </cell>
          <cell r="E7004" t="str">
            <v>E01 E01</v>
          </cell>
          <cell r="F7004" t="str">
            <v>VB Manual reorder point planning</v>
          </cell>
          <cell r="G7004" t="str">
            <v>HIBE Operating supplies</v>
          </cell>
          <cell r="H7004" t="str">
            <v>EN027     Prod&amp;OtherConsumable</v>
          </cell>
          <cell r="I7004" t="str">
            <v>L003 Ankleshwar</v>
          </cell>
          <cell r="J7004" t="str">
            <v>99 Input/Byprodt/Scrap</v>
          </cell>
          <cell r="K7004" t="str">
            <v>10.2012</v>
          </cell>
          <cell r="L7004">
            <v>1</v>
          </cell>
          <cell r="M7004" t="str">
            <v>EA</v>
          </cell>
          <cell r="N7004">
            <v>990</v>
          </cell>
          <cell r="O7004" t="str">
            <v>INR</v>
          </cell>
        </row>
        <row r="7005">
          <cell r="A7005" t="str">
            <v>L003 Ankleshwar</v>
          </cell>
          <cell r="B7005">
            <v>744776</v>
          </cell>
          <cell r="C7005" t="str">
            <v>LABEL 7-APDCA</v>
          </cell>
          <cell r="D7005" t="str">
            <v>L0030201                       Cons StoreKP</v>
          </cell>
          <cell r="E7005" t="str">
            <v>E01 E01</v>
          </cell>
          <cell r="F7005" t="str">
            <v>VB Manual reorder point planning</v>
          </cell>
          <cell r="G7005" t="str">
            <v>HIBE Operating supplies</v>
          </cell>
          <cell r="H7005" t="str">
            <v>EN040     Prinitng &amp;Stationery</v>
          </cell>
          <cell r="I7005" t="str">
            <v>L003 Ankleshwar</v>
          </cell>
          <cell r="J7005" t="str">
            <v>99 Input/Byprodt/Scrap</v>
          </cell>
          <cell r="K7005" t="str">
            <v>10.2012</v>
          </cell>
          <cell r="L7005">
            <v>4000</v>
          </cell>
          <cell r="M7005" t="str">
            <v>EA</v>
          </cell>
          <cell r="N7005">
            <v>4000</v>
          </cell>
          <cell r="O7005" t="str">
            <v>INR</v>
          </cell>
        </row>
        <row r="7006">
          <cell r="A7006" t="str">
            <v>L003 Ankleshwar</v>
          </cell>
          <cell r="B7006">
            <v>744777</v>
          </cell>
          <cell r="C7006" t="str">
            <v>LABEL PEN G SULFOXIDE</v>
          </cell>
          <cell r="D7006" t="str">
            <v>L0030201                       Cons StoreKP</v>
          </cell>
          <cell r="E7006" t="str">
            <v>E01 E01</v>
          </cell>
          <cell r="F7006" t="str">
            <v>VB Manual reorder point planning</v>
          </cell>
          <cell r="G7006" t="str">
            <v>HIBE Operating supplies</v>
          </cell>
          <cell r="H7006" t="str">
            <v>EN040     Prinitng &amp;Stationery</v>
          </cell>
          <cell r="I7006" t="str">
            <v>L003 Ankleshwar</v>
          </cell>
          <cell r="J7006" t="str">
            <v>99 Input/Byprodt/Scrap</v>
          </cell>
          <cell r="K7006" t="str">
            <v>10.2012</v>
          </cell>
          <cell r="L7006">
            <v>3600</v>
          </cell>
          <cell r="M7006" t="str">
            <v>EA</v>
          </cell>
          <cell r="N7006">
            <v>3600</v>
          </cell>
          <cell r="O7006" t="str">
            <v>INR</v>
          </cell>
        </row>
        <row r="7007">
          <cell r="A7007" t="str">
            <v>L003 Ankleshwar</v>
          </cell>
          <cell r="B7007">
            <v>744780</v>
          </cell>
          <cell r="C7007" t="str">
            <v>LABEL PEN GK</v>
          </cell>
          <cell r="D7007" t="str">
            <v>L0030201                       Cons StoreKP</v>
          </cell>
          <cell r="E7007" t="str">
            <v>E01 E01</v>
          </cell>
          <cell r="F7007" t="str">
            <v>VB Manual reorder point planning</v>
          </cell>
          <cell r="G7007" t="str">
            <v>HIBE Operating supplies</v>
          </cell>
          <cell r="H7007" t="str">
            <v>EN040     Prinitng &amp;Stationery</v>
          </cell>
          <cell r="I7007" t="str">
            <v>L003 Ankleshwar</v>
          </cell>
          <cell r="J7007" t="str">
            <v>99 Input/Byprodt/Scrap</v>
          </cell>
          <cell r="K7007" t="str">
            <v>10.2012</v>
          </cell>
          <cell r="L7007">
            <v>1000</v>
          </cell>
          <cell r="M7007" t="str">
            <v>EA</v>
          </cell>
          <cell r="N7007">
            <v>1000</v>
          </cell>
          <cell r="O7007" t="str">
            <v>INR</v>
          </cell>
        </row>
        <row r="7008">
          <cell r="A7008" t="str">
            <v>L003 Ankleshwar</v>
          </cell>
          <cell r="B7008">
            <v>744784</v>
          </cell>
          <cell r="C7008" t="str">
            <v>LABEL CEF.ACID CRUDE DRY</v>
          </cell>
          <cell r="D7008" t="str">
            <v>L0030201                       Cons StoreKP</v>
          </cell>
          <cell r="E7008" t="str">
            <v>E01 E01</v>
          </cell>
          <cell r="F7008" t="str">
            <v>VB Manual reorder point planning</v>
          </cell>
          <cell r="G7008" t="str">
            <v>HIBE Operating supplies</v>
          </cell>
          <cell r="H7008" t="str">
            <v>EN040     Prinitng &amp;Stationery</v>
          </cell>
          <cell r="I7008" t="str">
            <v>L003 Ankleshwar</v>
          </cell>
          <cell r="J7008" t="str">
            <v>99 Input/Byprodt/Scrap</v>
          </cell>
          <cell r="K7008" t="str">
            <v>10.2012</v>
          </cell>
          <cell r="L7008">
            <v>1000</v>
          </cell>
          <cell r="M7008" t="str">
            <v>EA</v>
          </cell>
          <cell r="N7008">
            <v>1000</v>
          </cell>
          <cell r="O7008" t="str">
            <v>INR</v>
          </cell>
        </row>
        <row r="7009">
          <cell r="A7009" t="str">
            <v>L003 Ankleshwar</v>
          </cell>
          <cell r="B7009">
            <v>744785</v>
          </cell>
          <cell r="C7009" t="str">
            <v>3-PGCLE SEMI DRY/ MILLED</v>
          </cell>
          <cell r="D7009" t="str">
            <v>L0030201                       Cons StoreKP</v>
          </cell>
          <cell r="E7009" t="str">
            <v>E01 E01</v>
          </cell>
          <cell r="F7009" t="str">
            <v>VB Manual reorder point planning</v>
          </cell>
          <cell r="G7009" t="str">
            <v>HIBE Operating supplies</v>
          </cell>
          <cell r="H7009" t="str">
            <v>EN040     Prinitng &amp;Stationery</v>
          </cell>
          <cell r="I7009" t="str">
            <v>L003 Ankleshwar</v>
          </cell>
          <cell r="J7009" t="str">
            <v>99 Input/Byprodt/Scrap</v>
          </cell>
          <cell r="K7009" t="str">
            <v>10.2012</v>
          </cell>
          <cell r="L7009">
            <v>1000</v>
          </cell>
          <cell r="M7009" t="str">
            <v>EA</v>
          </cell>
          <cell r="N7009">
            <v>1000</v>
          </cell>
          <cell r="O7009" t="str">
            <v>INR</v>
          </cell>
        </row>
        <row r="7010">
          <cell r="A7010" t="str">
            <v>L003 Ankleshwar</v>
          </cell>
          <cell r="B7010">
            <v>744786</v>
          </cell>
          <cell r="C7010" t="str">
            <v>3-VBA SEMI DRY/MILLED</v>
          </cell>
          <cell r="D7010" t="str">
            <v>L0030201                       Cons StoreKP</v>
          </cell>
          <cell r="E7010" t="str">
            <v>E01 E01</v>
          </cell>
          <cell r="F7010" t="str">
            <v>VB Manual reorder point planning</v>
          </cell>
          <cell r="G7010" t="str">
            <v>HIBE Operating supplies</v>
          </cell>
          <cell r="H7010" t="str">
            <v>EN040     Prinitng &amp;Stationery</v>
          </cell>
          <cell r="I7010" t="str">
            <v>L003 Ankleshwar</v>
          </cell>
          <cell r="J7010" t="str">
            <v>99 Input/Byprodt/Scrap</v>
          </cell>
          <cell r="K7010" t="str">
            <v>10.2012</v>
          </cell>
          <cell r="L7010">
            <v>499</v>
          </cell>
          <cell r="M7010" t="str">
            <v>EA</v>
          </cell>
          <cell r="N7010">
            <v>499</v>
          </cell>
          <cell r="O7010" t="str">
            <v>INR</v>
          </cell>
        </row>
        <row r="7011">
          <cell r="A7011" t="str">
            <v>L003 Ankleshwar</v>
          </cell>
          <cell r="B7011">
            <v>744787</v>
          </cell>
          <cell r="C7011" t="str">
            <v>CEF.ACID CRUDE WET CAKE</v>
          </cell>
          <cell r="D7011" t="str">
            <v>L0030201                       Cons StoreKP</v>
          </cell>
          <cell r="E7011" t="str">
            <v>E01 E01</v>
          </cell>
          <cell r="F7011" t="str">
            <v>VB Manual reorder point planning</v>
          </cell>
          <cell r="G7011" t="str">
            <v>HIBE Operating supplies</v>
          </cell>
          <cell r="H7011" t="str">
            <v>EN040     Prinitng &amp;Stationery</v>
          </cell>
          <cell r="I7011" t="str">
            <v>L003 Ankleshwar</v>
          </cell>
          <cell r="J7011" t="str">
            <v>99 Input/Byprodt/Scrap</v>
          </cell>
          <cell r="K7011" t="str">
            <v>10.2012</v>
          </cell>
          <cell r="L7011">
            <v>1000</v>
          </cell>
          <cell r="M7011" t="str">
            <v>EA</v>
          </cell>
          <cell r="N7011">
            <v>1000</v>
          </cell>
          <cell r="O7011" t="str">
            <v>INR</v>
          </cell>
        </row>
        <row r="7012">
          <cell r="A7012" t="str">
            <v>L003 Ankleshwar</v>
          </cell>
          <cell r="B7012">
            <v>744968</v>
          </cell>
          <cell r="C7012" t="str">
            <v>LABEL 7-AE K-12 SALT SEMI DRY/MILLED</v>
          </cell>
          <cell r="D7012" t="str">
            <v>L0030201                       Cons StoreKP</v>
          </cell>
          <cell r="E7012" t="str">
            <v>E01 E01</v>
          </cell>
          <cell r="F7012" t="str">
            <v>VB Manual reorder point planning</v>
          </cell>
          <cell r="G7012" t="str">
            <v>HIBE Operating supplies</v>
          </cell>
          <cell r="H7012" t="str">
            <v>EN040     Prinitng &amp;Stationery</v>
          </cell>
          <cell r="I7012" t="str">
            <v>L003 Ankleshwar</v>
          </cell>
          <cell r="J7012" t="str">
            <v>99 Input/Byprodt/Scrap</v>
          </cell>
          <cell r="K7012" t="str">
            <v>10.2012</v>
          </cell>
          <cell r="L7012">
            <v>500</v>
          </cell>
          <cell r="M7012" t="str">
            <v>EA</v>
          </cell>
          <cell r="N7012">
            <v>500</v>
          </cell>
          <cell r="O7012" t="str">
            <v>INR</v>
          </cell>
        </row>
        <row r="7013">
          <cell r="A7013" t="str">
            <v>L003 Ankleshwar</v>
          </cell>
          <cell r="B7013">
            <v>745044</v>
          </cell>
          <cell r="C7013" t="str">
            <v>CHLORO ML MECL2 RECOVERY 2X50P</v>
          </cell>
          <cell r="D7013" t="str">
            <v>L0030201                       Cons StoreKP</v>
          </cell>
          <cell r="E7013" t="str">
            <v>E01 E01</v>
          </cell>
          <cell r="F7013" t="str">
            <v>VB Manual reorder point planning</v>
          </cell>
          <cell r="G7013" t="str">
            <v>HIBE Operating supplies</v>
          </cell>
          <cell r="H7013" t="str">
            <v>EN040     Prinitng &amp;Stationery</v>
          </cell>
          <cell r="I7013" t="str">
            <v>L003 Ankleshwar</v>
          </cell>
          <cell r="J7013" t="str">
            <v>99 Input/Byprodt/Scrap</v>
          </cell>
          <cell r="K7013" t="str">
            <v>10.2012</v>
          </cell>
          <cell r="L7013">
            <v>4</v>
          </cell>
          <cell r="M7013" t="str">
            <v>EA</v>
          </cell>
          <cell r="N7013">
            <v>600</v>
          </cell>
          <cell r="O7013" t="str">
            <v>INR</v>
          </cell>
        </row>
        <row r="7014">
          <cell r="A7014" t="str">
            <v>L003 Ankleshwar</v>
          </cell>
          <cell r="B7014">
            <v>745150</v>
          </cell>
          <cell r="C7014" t="str">
            <v>LABEL  SODIUM HYDROSULPHITE</v>
          </cell>
          <cell r="D7014" t="str">
            <v>L0030201                       Cons StoreKP</v>
          </cell>
          <cell r="E7014" t="str">
            <v>E01 E01</v>
          </cell>
          <cell r="F7014" t="str">
            <v>VB Manual reorder point planning</v>
          </cell>
          <cell r="G7014" t="str">
            <v>HIBE Operating supplies</v>
          </cell>
          <cell r="H7014" t="str">
            <v>EN040     Prinitng &amp;Stationery</v>
          </cell>
          <cell r="I7014" t="str">
            <v>L003 Ankleshwar</v>
          </cell>
          <cell r="J7014" t="str">
            <v>99 Input/Byprodt/Scrap</v>
          </cell>
          <cell r="K7014" t="str">
            <v>10.2012</v>
          </cell>
          <cell r="L7014">
            <v>1000</v>
          </cell>
          <cell r="M7014" t="str">
            <v>EA</v>
          </cell>
          <cell r="N7014">
            <v>1000</v>
          </cell>
          <cell r="O7014" t="str">
            <v>INR</v>
          </cell>
        </row>
        <row r="7015">
          <cell r="A7015" t="str">
            <v>L003 Ankleshwar</v>
          </cell>
          <cell r="B7015">
            <v>745151</v>
          </cell>
          <cell r="C7015" t="str">
            <v>LABEL CELTOM/CELITE</v>
          </cell>
          <cell r="D7015" t="str">
            <v>L0030201                       Cons StoreKP</v>
          </cell>
          <cell r="E7015" t="str">
            <v>E01 E01</v>
          </cell>
          <cell r="F7015" t="str">
            <v>VB Manual reorder point planning</v>
          </cell>
          <cell r="G7015" t="str">
            <v>HIBE Operating supplies</v>
          </cell>
          <cell r="H7015" t="str">
            <v>EN040     Prinitng &amp;Stationery</v>
          </cell>
          <cell r="I7015" t="str">
            <v>L003 Ankleshwar</v>
          </cell>
          <cell r="J7015" t="str">
            <v>99 Input/Byprodt/Scrap</v>
          </cell>
          <cell r="K7015" t="str">
            <v>10.2012</v>
          </cell>
          <cell r="L7015">
            <v>1000</v>
          </cell>
          <cell r="M7015" t="str">
            <v>EA</v>
          </cell>
          <cell r="N7015">
            <v>1000</v>
          </cell>
          <cell r="O7015" t="str">
            <v>INR</v>
          </cell>
        </row>
        <row r="7016">
          <cell r="A7016" t="str">
            <v>L003 Ankleshwar</v>
          </cell>
          <cell r="B7016">
            <v>745152</v>
          </cell>
          <cell r="C7016" t="str">
            <v>LABEL PCL5</v>
          </cell>
          <cell r="D7016" t="str">
            <v>L0030201                       Cons StoreKP</v>
          </cell>
          <cell r="E7016" t="str">
            <v>E01 E01</v>
          </cell>
          <cell r="F7016" t="str">
            <v>VB Manual reorder point planning</v>
          </cell>
          <cell r="G7016" t="str">
            <v>HIBE Operating supplies</v>
          </cell>
          <cell r="H7016" t="str">
            <v>EN040     Prinitng &amp;Stationery</v>
          </cell>
          <cell r="I7016" t="str">
            <v>L003 Ankleshwar</v>
          </cell>
          <cell r="J7016" t="str">
            <v>99 Input/Byprodt/Scrap</v>
          </cell>
          <cell r="K7016" t="str">
            <v>10.2012</v>
          </cell>
          <cell r="L7016">
            <v>4000</v>
          </cell>
          <cell r="M7016" t="str">
            <v>EA</v>
          </cell>
          <cell r="N7016">
            <v>4000</v>
          </cell>
          <cell r="O7016" t="str">
            <v>INR</v>
          </cell>
        </row>
        <row r="7017">
          <cell r="A7017" t="str">
            <v>L003 Ankleshwar</v>
          </cell>
          <cell r="B7017">
            <v>745153</v>
          </cell>
          <cell r="C7017" t="str">
            <v>LABEL PTSCL FRESH  / RECOVERD</v>
          </cell>
          <cell r="D7017" t="str">
            <v>L0030201                       Cons StoreKP</v>
          </cell>
          <cell r="E7017" t="str">
            <v>E01 E01</v>
          </cell>
          <cell r="F7017" t="str">
            <v>VB Manual reorder point planning</v>
          </cell>
          <cell r="G7017" t="str">
            <v>HIBE Operating supplies</v>
          </cell>
          <cell r="H7017" t="str">
            <v>EN040     Prinitng &amp;Stationery</v>
          </cell>
          <cell r="I7017" t="str">
            <v>L003 Ankleshwar</v>
          </cell>
          <cell r="J7017" t="str">
            <v>99 Input/Byprodt/Scrap</v>
          </cell>
          <cell r="K7017" t="str">
            <v>10.2012</v>
          </cell>
          <cell r="L7017">
            <v>5000</v>
          </cell>
          <cell r="M7017" t="str">
            <v>EA</v>
          </cell>
          <cell r="N7017">
            <v>5000</v>
          </cell>
          <cell r="O7017" t="str">
            <v>INR</v>
          </cell>
        </row>
        <row r="7018">
          <cell r="A7018" t="str">
            <v>L003 Ankleshwar</v>
          </cell>
          <cell r="B7018">
            <v>745154</v>
          </cell>
          <cell r="C7018" t="str">
            <v>LABEL TEBA</v>
          </cell>
          <cell r="D7018" t="str">
            <v>L0030201                       Cons StoreKP</v>
          </cell>
          <cell r="E7018" t="str">
            <v>E01 E01</v>
          </cell>
          <cell r="F7018" t="str">
            <v>VB Manual reorder point planning</v>
          </cell>
          <cell r="G7018" t="str">
            <v>HIBE Operating supplies</v>
          </cell>
          <cell r="H7018" t="str">
            <v>EN040     Prinitng &amp;Stationery</v>
          </cell>
          <cell r="I7018" t="str">
            <v>L003 Ankleshwar</v>
          </cell>
          <cell r="J7018" t="str">
            <v>99 Input/Byprodt/Scrap</v>
          </cell>
          <cell r="K7018" t="str">
            <v>10.2012</v>
          </cell>
          <cell r="L7018">
            <v>1000</v>
          </cell>
          <cell r="M7018" t="str">
            <v>EA</v>
          </cell>
          <cell r="N7018">
            <v>1000</v>
          </cell>
          <cell r="O7018" t="str">
            <v>INR</v>
          </cell>
        </row>
        <row r="7019">
          <cell r="A7019" t="str">
            <v>L003 Ankleshwar</v>
          </cell>
          <cell r="B7019">
            <v>745155</v>
          </cell>
          <cell r="C7019" t="str">
            <v>LABEL MORPHOLINE FRESH / RECOVERD</v>
          </cell>
          <cell r="D7019" t="str">
            <v>L0030201                       Cons StoreKP</v>
          </cell>
          <cell r="E7019" t="str">
            <v>E01 E01</v>
          </cell>
          <cell r="F7019" t="str">
            <v>VB Manual reorder point planning</v>
          </cell>
          <cell r="G7019" t="str">
            <v>HIBE Operating supplies</v>
          </cell>
          <cell r="H7019" t="str">
            <v>EN040     Prinitng &amp;Stationery</v>
          </cell>
          <cell r="I7019" t="str">
            <v>L003 Ankleshwar</v>
          </cell>
          <cell r="J7019" t="str">
            <v>99 Input/Byprodt/Scrap</v>
          </cell>
          <cell r="K7019" t="str">
            <v>10.2012</v>
          </cell>
          <cell r="L7019">
            <v>4000</v>
          </cell>
          <cell r="M7019" t="str">
            <v>EA</v>
          </cell>
          <cell r="N7019">
            <v>4000</v>
          </cell>
          <cell r="O7019" t="str">
            <v>INR</v>
          </cell>
        </row>
        <row r="7020">
          <cell r="A7020" t="str">
            <v>L003 Ankleshwar</v>
          </cell>
          <cell r="B7020">
            <v>745156</v>
          </cell>
          <cell r="C7020" t="str">
            <v>LABEL CARBON</v>
          </cell>
          <cell r="D7020" t="str">
            <v>L0030201                       Cons StoreKP</v>
          </cell>
          <cell r="E7020" t="str">
            <v>E01 E01</v>
          </cell>
          <cell r="F7020" t="str">
            <v>VB Manual reorder point planning</v>
          </cell>
          <cell r="G7020" t="str">
            <v>HIBE Operating supplies</v>
          </cell>
          <cell r="H7020" t="str">
            <v>EN040     Prinitng &amp;Stationery</v>
          </cell>
          <cell r="I7020" t="str">
            <v>L003 Ankleshwar</v>
          </cell>
          <cell r="J7020" t="str">
            <v>99 Input/Byprodt/Scrap</v>
          </cell>
          <cell r="K7020" t="str">
            <v>10.2012</v>
          </cell>
          <cell r="L7020">
            <v>1000</v>
          </cell>
          <cell r="M7020" t="str">
            <v>EA</v>
          </cell>
          <cell r="N7020">
            <v>1000</v>
          </cell>
          <cell r="O7020" t="str">
            <v>INR</v>
          </cell>
        </row>
        <row r="7021">
          <cell r="A7021" t="str">
            <v>L003 Ankleshwar</v>
          </cell>
          <cell r="B7021">
            <v>745157</v>
          </cell>
          <cell r="C7021" t="str">
            <v>LABEL PNBBr</v>
          </cell>
          <cell r="D7021" t="str">
            <v>L0030201                       Cons StoreKP</v>
          </cell>
          <cell r="E7021" t="str">
            <v>E01 E01</v>
          </cell>
          <cell r="F7021" t="str">
            <v>VB Manual reorder point planning</v>
          </cell>
          <cell r="G7021" t="str">
            <v>HIBE Operating supplies</v>
          </cell>
          <cell r="H7021" t="str">
            <v>EN040     Prinitng &amp;Stationery</v>
          </cell>
          <cell r="I7021" t="str">
            <v>L003 Ankleshwar</v>
          </cell>
          <cell r="J7021" t="str">
            <v>99 Input/Byprodt/Scrap</v>
          </cell>
          <cell r="K7021" t="str">
            <v>10.2012</v>
          </cell>
          <cell r="L7021">
            <v>2000</v>
          </cell>
          <cell r="M7021" t="str">
            <v>EA</v>
          </cell>
          <cell r="N7021">
            <v>2000</v>
          </cell>
          <cell r="O7021" t="str">
            <v>INR</v>
          </cell>
        </row>
        <row r="7022">
          <cell r="A7022" t="str">
            <v>L003 Ankleshwar</v>
          </cell>
          <cell r="B7022">
            <v>745158</v>
          </cell>
          <cell r="C7022" t="str">
            <v>LABEL CAT-S</v>
          </cell>
          <cell r="D7022" t="str">
            <v>L0030201                       Cons StoreKP</v>
          </cell>
          <cell r="E7022" t="str">
            <v>E01 E01</v>
          </cell>
          <cell r="F7022" t="str">
            <v>VB Manual reorder point planning</v>
          </cell>
          <cell r="G7022" t="str">
            <v>HIBE Operating supplies</v>
          </cell>
          <cell r="H7022" t="str">
            <v>EN040     Prinitng &amp;Stationery</v>
          </cell>
          <cell r="I7022" t="str">
            <v>L003 Ankleshwar</v>
          </cell>
          <cell r="J7022" t="str">
            <v>99 Input/Byprodt/Scrap</v>
          </cell>
          <cell r="K7022" t="str">
            <v>10.2012</v>
          </cell>
          <cell r="L7022">
            <v>1000</v>
          </cell>
          <cell r="M7022" t="str">
            <v>EA</v>
          </cell>
          <cell r="N7022">
            <v>1000</v>
          </cell>
          <cell r="O7022" t="str">
            <v>INR</v>
          </cell>
        </row>
        <row r="7023">
          <cell r="A7023" t="str">
            <v>L003 Ankleshwar</v>
          </cell>
          <cell r="B7023">
            <v>745159</v>
          </cell>
          <cell r="C7023" t="str">
            <v>LOT ID LABEL  WITHOUT NAME  7ACCA PLANT</v>
          </cell>
          <cell r="D7023" t="str">
            <v>L0030201                       Cons StoreKP</v>
          </cell>
          <cell r="E7023" t="str">
            <v>E01 E01</v>
          </cell>
          <cell r="F7023" t="str">
            <v>VB Manual reorder point planning</v>
          </cell>
          <cell r="G7023" t="str">
            <v>HIBE Operating supplies</v>
          </cell>
          <cell r="H7023" t="str">
            <v>EN040     Prinitng &amp;Stationery</v>
          </cell>
          <cell r="I7023" t="str">
            <v>L003 Ankleshwar</v>
          </cell>
          <cell r="J7023" t="str">
            <v>99 Input/Byprodt/Scrap</v>
          </cell>
          <cell r="K7023" t="str">
            <v>10.2012</v>
          </cell>
          <cell r="L7023">
            <v>4000</v>
          </cell>
          <cell r="M7023" t="str">
            <v>EA</v>
          </cell>
          <cell r="N7023">
            <v>4000</v>
          </cell>
          <cell r="O7023" t="str">
            <v>INR</v>
          </cell>
        </row>
        <row r="7024">
          <cell r="A7024" t="str">
            <v>L003 Ankleshwar</v>
          </cell>
          <cell r="B7024">
            <v>745161</v>
          </cell>
          <cell r="C7024" t="str">
            <v>LABEL CRUDE 7ACCA</v>
          </cell>
          <cell r="D7024" t="str">
            <v>L0030201                       Cons StoreKP</v>
          </cell>
          <cell r="E7024" t="str">
            <v>E01 E01</v>
          </cell>
          <cell r="F7024" t="str">
            <v>VB Manual reorder point planning</v>
          </cell>
          <cell r="G7024" t="str">
            <v>HIBE Operating supplies</v>
          </cell>
          <cell r="H7024" t="str">
            <v>EN040     Prinitng &amp;Stationery</v>
          </cell>
          <cell r="I7024" t="str">
            <v>L003 Ankleshwar</v>
          </cell>
          <cell r="J7024" t="str">
            <v>99 Input/Byprodt/Scrap</v>
          </cell>
          <cell r="K7024" t="str">
            <v>10.2012</v>
          </cell>
          <cell r="L7024">
            <v>1000</v>
          </cell>
          <cell r="M7024" t="str">
            <v>EA</v>
          </cell>
          <cell r="N7024">
            <v>1000</v>
          </cell>
          <cell r="O7024" t="str">
            <v>INR</v>
          </cell>
        </row>
        <row r="7025">
          <cell r="A7025" t="str">
            <v>L003 Ankleshwar</v>
          </cell>
          <cell r="B7025">
            <v>745715</v>
          </cell>
          <cell r="C7025" t="str">
            <v>RING RESONATOR 40MESH 48" MOUNTING RING</v>
          </cell>
          <cell r="D7025" t="str">
            <v>L0030151                       EnggStore</v>
          </cell>
          <cell r="E7025">
            <v>0</v>
          </cell>
          <cell r="F7025" t="str">
            <v>ND No planning</v>
          </cell>
          <cell r="G7025" t="str">
            <v>HIBE Operating supplies</v>
          </cell>
          <cell r="H7025" t="str">
            <v>EN027     Prod&amp;OtherConsumable</v>
          </cell>
          <cell r="I7025" t="str">
            <v>L003 Ankleshwar</v>
          </cell>
          <cell r="J7025" t="str">
            <v>99 Input/Byprodt/Scrap</v>
          </cell>
          <cell r="K7025" t="str">
            <v>10.2012</v>
          </cell>
          <cell r="L7025">
            <v>1</v>
          </cell>
          <cell r="M7025" t="str">
            <v>EA</v>
          </cell>
          <cell r="N7025">
            <v>80000</v>
          </cell>
          <cell r="O7025" t="str">
            <v>INR</v>
          </cell>
        </row>
        <row r="7026">
          <cell r="A7026" t="str">
            <v>L003 Ankleshwar</v>
          </cell>
          <cell r="B7026">
            <v>745809</v>
          </cell>
          <cell r="C7026" t="str">
            <v>PP SPUNCH CANDLE FILTER 20" 10MICRON</v>
          </cell>
          <cell r="D7026" t="str">
            <v>L0030151                       EnggStore</v>
          </cell>
          <cell r="E7026" t="str">
            <v>E01 E01</v>
          </cell>
          <cell r="F7026" t="str">
            <v>VB Manual reorder point planning</v>
          </cell>
          <cell r="G7026" t="str">
            <v>HIBE Operating supplies</v>
          </cell>
          <cell r="H7026" t="str">
            <v>EN027     Prod&amp;OtherConsumable</v>
          </cell>
          <cell r="I7026" t="str">
            <v>L003 Ankleshwar</v>
          </cell>
          <cell r="J7026" t="str">
            <v>99 Input/Byprodt/Scrap</v>
          </cell>
          <cell r="K7026" t="str">
            <v>10.2012</v>
          </cell>
          <cell r="L7026">
            <v>6</v>
          </cell>
          <cell r="M7026" t="str">
            <v>EA</v>
          </cell>
          <cell r="N7026">
            <v>948.6</v>
          </cell>
          <cell r="O7026" t="str">
            <v>INR</v>
          </cell>
        </row>
        <row r="7027">
          <cell r="A7027" t="str">
            <v>L003 Ankleshwar</v>
          </cell>
          <cell r="B7027">
            <v>746017</v>
          </cell>
          <cell r="C7027" t="str">
            <v>SS-316 WIRE BRAIDED HOSE 1"X500MM FEXFE</v>
          </cell>
          <cell r="D7027" t="str">
            <v>L0030201                       Cons StoreKP</v>
          </cell>
          <cell r="E7027">
            <v>0</v>
          </cell>
          <cell r="F7027" t="str">
            <v>ND No planning</v>
          </cell>
          <cell r="G7027" t="str">
            <v>HIBE Operating supplies</v>
          </cell>
          <cell r="H7027" t="str">
            <v>EN027     Prod&amp;OtherConsumable</v>
          </cell>
          <cell r="I7027" t="str">
            <v>L003 Ankleshwar</v>
          </cell>
          <cell r="J7027" t="str">
            <v>99 Input/Byprodt/Scrap</v>
          </cell>
          <cell r="K7027" t="str">
            <v>10.2012</v>
          </cell>
          <cell r="L7027">
            <v>1</v>
          </cell>
          <cell r="M7027" t="str">
            <v>EA</v>
          </cell>
          <cell r="N7027">
            <v>680.55999999999904</v>
          </cell>
          <cell r="O7027" t="str">
            <v>INR</v>
          </cell>
        </row>
        <row r="7028">
          <cell r="A7028" t="str">
            <v>L003 Ankleshwar</v>
          </cell>
          <cell r="B7028">
            <v>746443</v>
          </cell>
          <cell r="C7028" t="str">
            <v>SS SIFTER SIEVE 30" 200 MESH</v>
          </cell>
          <cell r="D7028" t="str">
            <v>L0030151                       EnggStore</v>
          </cell>
          <cell r="E7028" t="str">
            <v>E01 E01</v>
          </cell>
          <cell r="F7028" t="str">
            <v>VB Manual reorder point planning</v>
          </cell>
          <cell r="G7028" t="str">
            <v>HIBE Operating supplies</v>
          </cell>
          <cell r="H7028" t="str">
            <v>EN027     Prod&amp;OtherConsumable</v>
          </cell>
          <cell r="I7028" t="str">
            <v>L003 Ankleshwar</v>
          </cell>
          <cell r="J7028" t="str">
            <v>99 Input/Byprodt/Scrap</v>
          </cell>
          <cell r="K7028" t="str">
            <v>10.2012</v>
          </cell>
          <cell r="L7028">
            <v>1</v>
          </cell>
          <cell r="M7028" t="str">
            <v>EA</v>
          </cell>
          <cell r="N7028">
            <v>4698.4799999999896</v>
          </cell>
          <cell r="O7028" t="str">
            <v>INR</v>
          </cell>
        </row>
        <row r="7029">
          <cell r="A7029" t="str">
            <v>L003 Ankleshwar</v>
          </cell>
          <cell r="B7029">
            <v>746493</v>
          </cell>
          <cell r="C7029" t="str">
            <v>SAS BOOK OF DILUTE ACETIC ACID</v>
          </cell>
          <cell r="D7029" t="str">
            <v>L0030201                       Cons StoreKP</v>
          </cell>
          <cell r="E7029">
            <v>0</v>
          </cell>
          <cell r="F7029" t="str">
            <v>ND No planning</v>
          </cell>
          <cell r="G7029" t="str">
            <v>HIBE Operating supplies</v>
          </cell>
          <cell r="H7029" t="str">
            <v>EN040     Prinitng &amp;Stationery</v>
          </cell>
          <cell r="I7029" t="str">
            <v>L003 Ankleshwar</v>
          </cell>
          <cell r="J7029" t="str">
            <v>99 Input/Byprodt/Scrap</v>
          </cell>
          <cell r="K7029" t="str">
            <v>10.2012</v>
          </cell>
          <cell r="L7029">
            <v>5</v>
          </cell>
          <cell r="M7029" t="str">
            <v>EA</v>
          </cell>
          <cell r="N7029">
            <v>577.5</v>
          </cell>
          <cell r="O7029" t="str">
            <v>INR</v>
          </cell>
        </row>
        <row r="7030">
          <cell r="A7030" t="str">
            <v>L003 Ankleshwar</v>
          </cell>
          <cell r="B7030">
            <v>746495</v>
          </cell>
          <cell r="C7030" t="str">
            <v>SAS BOOK OF AMMONIUM CHLORIDE SOLUTION</v>
          </cell>
          <cell r="D7030" t="str">
            <v>L0030201                       Cons StoreKP</v>
          </cell>
          <cell r="E7030">
            <v>0</v>
          </cell>
          <cell r="F7030" t="str">
            <v>ND No planning</v>
          </cell>
          <cell r="G7030" t="str">
            <v>HIBE Operating supplies</v>
          </cell>
          <cell r="H7030" t="str">
            <v>EN040     Prinitng &amp;Stationery</v>
          </cell>
          <cell r="I7030" t="str">
            <v>L003 Ankleshwar</v>
          </cell>
          <cell r="J7030" t="str">
            <v>99 Input/Byprodt/Scrap</v>
          </cell>
          <cell r="K7030" t="str">
            <v>10.2012</v>
          </cell>
          <cell r="L7030">
            <v>5</v>
          </cell>
          <cell r="M7030" t="str">
            <v>EA</v>
          </cell>
          <cell r="N7030">
            <v>577.5</v>
          </cell>
          <cell r="O7030" t="str">
            <v>INR</v>
          </cell>
        </row>
        <row r="7031">
          <cell r="A7031" t="str">
            <v>L003 Ankleshwar</v>
          </cell>
          <cell r="B7031">
            <v>746496</v>
          </cell>
          <cell r="C7031" t="str">
            <v>SAS BOOK OF RECOVERED AMMONIA  SOLUTION</v>
          </cell>
          <cell r="D7031" t="str">
            <v>L0030201                       Cons StoreKP</v>
          </cell>
          <cell r="E7031">
            <v>0</v>
          </cell>
          <cell r="F7031" t="str">
            <v>ND No planning</v>
          </cell>
          <cell r="G7031" t="str">
            <v>HIBE Operating supplies</v>
          </cell>
          <cell r="H7031" t="str">
            <v>EN040     Prinitng &amp;Stationery</v>
          </cell>
          <cell r="I7031" t="str">
            <v>L003 Ankleshwar</v>
          </cell>
          <cell r="J7031" t="str">
            <v>99 Input/Byprodt/Scrap</v>
          </cell>
          <cell r="K7031" t="str">
            <v>10.2012</v>
          </cell>
          <cell r="L7031">
            <v>5</v>
          </cell>
          <cell r="M7031" t="str">
            <v>EA</v>
          </cell>
          <cell r="N7031">
            <v>577.5</v>
          </cell>
          <cell r="O7031" t="str">
            <v>INR</v>
          </cell>
        </row>
        <row r="7032">
          <cell r="A7032" t="str">
            <v>L003 Ankleshwar</v>
          </cell>
          <cell r="B7032">
            <v>746499</v>
          </cell>
          <cell r="C7032" t="str">
            <v>CHEM HOSE 1"X1.6M W/T TRI CLOVER CLAMP</v>
          </cell>
          <cell r="D7032" t="str">
            <v>L0030201                       Cons StoreKP</v>
          </cell>
          <cell r="E7032" t="str">
            <v>E06 E06</v>
          </cell>
          <cell r="F7032" t="str">
            <v>VB Manual reorder point planning</v>
          </cell>
          <cell r="G7032" t="str">
            <v>HIBE Operating supplies</v>
          </cell>
          <cell r="H7032" t="str">
            <v>EN027     Prod&amp;OtherConsumable</v>
          </cell>
          <cell r="I7032" t="str">
            <v>L003 Ankleshwar</v>
          </cell>
          <cell r="J7032" t="str">
            <v>99 Input/Byprodt/Scrap</v>
          </cell>
          <cell r="K7032" t="str">
            <v>10.2012</v>
          </cell>
          <cell r="L7032">
            <v>2</v>
          </cell>
          <cell r="M7032" t="str">
            <v>EA</v>
          </cell>
          <cell r="N7032">
            <v>5160</v>
          </cell>
          <cell r="O7032" t="str">
            <v>INR</v>
          </cell>
        </row>
        <row r="7033">
          <cell r="A7033" t="str">
            <v>L003 Ankleshwar</v>
          </cell>
          <cell r="B7033">
            <v>746500</v>
          </cell>
          <cell r="C7033" t="str">
            <v>CHEM HOSE 2"X1.5M W/T TRI CLOVER CLAMP</v>
          </cell>
          <cell r="D7033" t="str">
            <v>L0030201                       Cons StoreKP</v>
          </cell>
          <cell r="E7033" t="str">
            <v>E06 E06</v>
          </cell>
          <cell r="F7033" t="str">
            <v>VB Manual reorder point planning</v>
          </cell>
          <cell r="G7033" t="str">
            <v>HIBE Operating supplies</v>
          </cell>
          <cell r="H7033" t="str">
            <v>EN027     Prod&amp;OtherConsumable</v>
          </cell>
          <cell r="I7033" t="str">
            <v>L003 Ankleshwar</v>
          </cell>
          <cell r="J7033" t="str">
            <v>99 Input/Byprodt/Scrap</v>
          </cell>
          <cell r="K7033" t="str">
            <v>10.2012</v>
          </cell>
          <cell r="L7033">
            <v>2</v>
          </cell>
          <cell r="M7033" t="str">
            <v>EA</v>
          </cell>
          <cell r="N7033">
            <v>6540</v>
          </cell>
          <cell r="O7033" t="str">
            <v>INR</v>
          </cell>
        </row>
        <row r="7034">
          <cell r="A7034" t="str">
            <v>L003 Ankleshwar</v>
          </cell>
          <cell r="B7034">
            <v>746551</v>
          </cell>
          <cell r="C7034" t="str">
            <v>CHEM HOSE 1.5"X1.5M W/T TRI CLOVER CLAMP</v>
          </cell>
          <cell r="D7034" t="str">
            <v>L0030201                       Cons StoreKP</v>
          </cell>
          <cell r="E7034" t="str">
            <v>E06 E06</v>
          </cell>
          <cell r="F7034" t="str">
            <v>VB Manual reorder point planning</v>
          </cell>
          <cell r="G7034" t="str">
            <v>HIBE Operating supplies</v>
          </cell>
          <cell r="H7034" t="str">
            <v>EN027     Prod&amp;OtherConsumable</v>
          </cell>
          <cell r="I7034" t="str">
            <v>L003 Ankleshwar</v>
          </cell>
          <cell r="J7034" t="str">
            <v>99 Input/Byprodt/Scrap</v>
          </cell>
          <cell r="K7034" t="str">
            <v>10.2012</v>
          </cell>
          <cell r="L7034">
            <v>2</v>
          </cell>
          <cell r="M7034" t="str">
            <v>EA</v>
          </cell>
          <cell r="N7034">
            <v>6540</v>
          </cell>
          <cell r="O7034" t="str">
            <v>INR</v>
          </cell>
        </row>
        <row r="7035">
          <cell r="A7035" t="str">
            <v>L003 Ankleshwar</v>
          </cell>
          <cell r="B7035">
            <v>746553</v>
          </cell>
          <cell r="C7035" t="str">
            <v>SS316 TRI CLOVER CLAMP 1.5"</v>
          </cell>
          <cell r="D7035" t="str">
            <v>L0030201                       Cons StoreKP</v>
          </cell>
          <cell r="E7035" t="str">
            <v>E06 E06</v>
          </cell>
          <cell r="F7035" t="str">
            <v>VB Manual reorder point planning</v>
          </cell>
          <cell r="G7035" t="str">
            <v>HIBE Operating supplies</v>
          </cell>
          <cell r="H7035" t="str">
            <v>EN027     Prod&amp;OtherConsumable</v>
          </cell>
          <cell r="I7035" t="str">
            <v>L003 Ankleshwar</v>
          </cell>
          <cell r="J7035" t="str">
            <v>99 Input/Byprodt/Scrap</v>
          </cell>
          <cell r="K7035" t="str">
            <v>10.2012</v>
          </cell>
          <cell r="L7035">
            <v>6</v>
          </cell>
          <cell r="M7035" t="str">
            <v>EA</v>
          </cell>
          <cell r="N7035">
            <v>3060</v>
          </cell>
          <cell r="O7035" t="str">
            <v>INR</v>
          </cell>
        </row>
        <row r="7036">
          <cell r="A7036" t="str">
            <v>L003 Ankleshwar</v>
          </cell>
          <cell r="B7036">
            <v>746726</v>
          </cell>
          <cell r="C7036" t="str">
            <v>SS316 WIRE BRAIDED HOSE FExFE 4"x700MM</v>
          </cell>
          <cell r="D7036" t="str">
            <v>L0030201                       Cons StoreKP</v>
          </cell>
          <cell r="E7036" t="str">
            <v>E06 E06</v>
          </cell>
          <cell r="F7036" t="str">
            <v>VB Manual reorder point planning</v>
          </cell>
          <cell r="G7036" t="str">
            <v>HIBE Operating supplies</v>
          </cell>
          <cell r="H7036" t="str">
            <v>EN027     Prod&amp;OtherConsumable</v>
          </cell>
          <cell r="I7036" t="str">
            <v>L003 Ankleshwar</v>
          </cell>
          <cell r="J7036" t="str">
            <v>99 Input/Byprodt/Scrap</v>
          </cell>
          <cell r="K7036" t="str">
            <v>10.2012</v>
          </cell>
          <cell r="L7036">
            <v>1</v>
          </cell>
          <cell r="M7036" t="str">
            <v>EA</v>
          </cell>
          <cell r="N7036">
            <v>3767.4699999999898</v>
          </cell>
          <cell r="O7036" t="str">
            <v>INR</v>
          </cell>
        </row>
        <row r="7037">
          <cell r="A7037" t="str">
            <v>L003 Ankleshwar</v>
          </cell>
          <cell r="B7037">
            <v>747214</v>
          </cell>
          <cell r="C7037" t="str">
            <v>D2AB REGISTER 1X200 PAGE</v>
          </cell>
          <cell r="D7037" t="str">
            <v>L0030151                       EnggStore</v>
          </cell>
          <cell r="E7037" t="str">
            <v>E06 E06</v>
          </cell>
          <cell r="F7037" t="str">
            <v>VB Manual reorder point planning</v>
          </cell>
          <cell r="G7037" t="str">
            <v>HIBE Operating supplies</v>
          </cell>
          <cell r="H7037" t="str">
            <v>EN040     Prinitng &amp;Stationery</v>
          </cell>
          <cell r="I7037" t="str">
            <v>L003 Ankleshwar</v>
          </cell>
          <cell r="J7037" t="str">
            <v>99 Input/Byprodt/Scrap</v>
          </cell>
          <cell r="K7037" t="str">
            <v>10.2012</v>
          </cell>
          <cell r="L7037">
            <v>3</v>
          </cell>
          <cell r="M7037" t="str">
            <v>EA</v>
          </cell>
          <cell r="N7037">
            <v>750</v>
          </cell>
          <cell r="O7037" t="str">
            <v>INR</v>
          </cell>
        </row>
        <row r="7038">
          <cell r="A7038" t="str">
            <v>L003 Ankleshwar</v>
          </cell>
          <cell r="B7038">
            <v>747391</v>
          </cell>
          <cell r="C7038" t="str">
            <v>CYLINDER REGULATOR SS 316</v>
          </cell>
          <cell r="D7038" t="str">
            <v>L0030151                       EnggStore</v>
          </cell>
          <cell r="E7038">
            <v>0</v>
          </cell>
          <cell r="F7038" t="str">
            <v>ND No planning</v>
          </cell>
          <cell r="G7038" t="str">
            <v>HIBE Operating supplies</v>
          </cell>
          <cell r="H7038" t="str">
            <v>EN002     QA.Equip&amp;items</v>
          </cell>
          <cell r="I7038" t="str">
            <v>L003 Ankleshwar</v>
          </cell>
          <cell r="J7038" t="str">
            <v>99 Input/Byprodt/Scrap</v>
          </cell>
          <cell r="K7038" t="str">
            <v>10.2012</v>
          </cell>
          <cell r="L7038">
            <v>1</v>
          </cell>
          <cell r="M7038" t="str">
            <v>EA</v>
          </cell>
          <cell r="N7038">
            <v>10760</v>
          </cell>
          <cell r="O7038" t="str">
            <v>INR</v>
          </cell>
        </row>
        <row r="7039">
          <cell r="A7039" t="str">
            <v>L003 Ankleshwar</v>
          </cell>
          <cell r="B7039">
            <v>747392</v>
          </cell>
          <cell r="C7039" t="str">
            <v>PVC BRAIDED HOGH PRESSURE PIGTAIL</v>
          </cell>
          <cell r="D7039" t="str">
            <v>L0030151                       EnggStore</v>
          </cell>
          <cell r="E7039">
            <v>0</v>
          </cell>
          <cell r="F7039" t="str">
            <v>ND No planning</v>
          </cell>
          <cell r="G7039" t="str">
            <v>HIBE Operating supplies</v>
          </cell>
          <cell r="H7039" t="str">
            <v>EN002     QA.Equip&amp;items</v>
          </cell>
          <cell r="I7039" t="str">
            <v>L003 Ankleshwar</v>
          </cell>
          <cell r="J7039" t="str">
            <v>99 Input/Byprodt/Scrap</v>
          </cell>
          <cell r="K7039" t="str">
            <v>10.2012</v>
          </cell>
          <cell r="L7039">
            <v>1</v>
          </cell>
          <cell r="M7039" t="str">
            <v>EA</v>
          </cell>
          <cell r="N7039">
            <v>2498</v>
          </cell>
          <cell r="O7039" t="str">
            <v>INR</v>
          </cell>
        </row>
        <row r="7040">
          <cell r="A7040" t="str">
            <v>L003 Ankleshwar</v>
          </cell>
          <cell r="B7040">
            <v>747393</v>
          </cell>
          <cell r="C7040" t="str">
            <v>SINGLE STAGE CYLINDER MANIFOLD SS 316</v>
          </cell>
          <cell r="D7040" t="str">
            <v>L0030151                       EnggStore</v>
          </cell>
          <cell r="E7040">
            <v>0</v>
          </cell>
          <cell r="F7040" t="str">
            <v>ND No planning</v>
          </cell>
          <cell r="G7040" t="str">
            <v>HIBE Operating supplies</v>
          </cell>
          <cell r="H7040" t="str">
            <v>EN002     QA.Equip&amp;items</v>
          </cell>
          <cell r="I7040" t="str">
            <v>L003 Ankleshwar</v>
          </cell>
          <cell r="J7040" t="str">
            <v>99 Input/Byprodt/Scrap</v>
          </cell>
          <cell r="K7040" t="str">
            <v>10.2012</v>
          </cell>
          <cell r="L7040">
            <v>1</v>
          </cell>
          <cell r="M7040" t="str">
            <v>EA</v>
          </cell>
          <cell r="N7040">
            <v>10327.5</v>
          </cell>
          <cell r="O7040" t="str">
            <v>INR</v>
          </cell>
        </row>
        <row r="7041">
          <cell r="A7041" t="str">
            <v>L003 Ankleshwar</v>
          </cell>
          <cell r="B7041">
            <v>747394</v>
          </cell>
          <cell r="C7041" t="str">
            <v>LINE REGULATOR WITH NEEDLE VALVE AND PG</v>
          </cell>
          <cell r="D7041" t="str">
            <v>L0030151                       EnggStore</v>
          </cell>
          <cell r="E7041">
            <v>0</v>
          </cell>
          <cell r="F7041" t="str">
            <v>ND No planning</v>
          </cell>
          <cell r="G7041" t="str">
            <v>HIBE Operating supplies</v>
          </cell>
          <cell r="H7041" t="str">
            <v>EN002     QA.Equip&amp;items</v>
          </cell>
          <cell r="I7041" t="str">
            <v>L003 Ankleshwar</v>
          </cell>
          <cell r="J7041" t="str">
            <v>99 Input/Byprodt/Scrap</v>
          </cell>
          <cell r="K7041" t="str">
            <v>10.2012</v>
          </cell>
          <cell r="L7041">
            <v>1</v>
          </cell>
          <cell r="M7041" t="str">
            <v>EA</v>
          </cell>
          <cell r="N7041">
            <v>7508.75</v>
          </cell>
          <cell r="O7041" t="str">
            <v>INR</v>
          </cell>
        </row>
        <row r="7042">
          <cell r="A7042" t="str">
            <v>L003 Ankleshwar</v>
          </cell>
          <cell r="B7042">
            <v>747464</v>
          </cell>
          <cell r="C7042" t="str">
            <v>D2AB CHARGING REGISTER</v>
          </cell>
          <cell r="D7042" t="str">
            <v>L0030151                       EnggStore</v>
          </cell>
          <cell r="E7042" t="str">
            <v>E06 E06</v>
          </cell>
          <cell r="F7042" t="str">
            <v>VB Manual reorder point planning</v>
          </cell>
          <cell r="G7042" t="str">
            <v>HIBE Operating supplies</v>
          </cell>
          <cell r="H7042" t="str">
            <v>EN027     Prod&amp;OtherConsumable</v>
          </cell>
          <cell r="I7042" t="str">
            <v>L003 Ankleshwar</v>
          </cell>
          <cell r="J7042" t="str">
            <v>99 Input/Byprodt/Scrap</v>
          </cell>
          <cell r="K7042" t="str">
            <v>10.2012</v>
          </cell>
          <cell r="L7042">
            <v>4</v>
          </cell>
          <cell r="M7042" t="str">
            <v>EA</v>
          </cell>
          <cell r="N7042">
            <v>588</v>
          </cell>
          <cell r="O7042" t="str">
            <v>INR</v>
          </cell>
        </row>
        <row r="7043">
          <cell r="A7043" t="str">
            <v>L003 Ankleshwar</v>
          </cell>
          <cell r="B7043">
            <v>747510</v>
          </cell>
          <cell r="C7043" t="str">
            <v>IR COMP.PARAMETER LOG (SCREW TY.890CFM)</v>
          </cell>
          <cell r="D7043" t="str">
            <v>L0030201                       Cons StoreKP</v>
          </cell>
          <cell r="E7043" t="str">
            <v>E06 E06</v>
          </cell>
          <cell r="F7043" t="str">
            <v>VB Manual reorder point planning</v>
          </cell>
          <cell r="G7043" t="str">
            <v>HIBE Operating supplies</v>
          </cell>
          <cell r="H7043" t="str">
            <v>EN040     Prinitng &amp;Stationery</v>
          </cell>
          <cell r="I7043" t="str">
            <v>L003 Ankleshwar</v>
          </cell>
          <cell r="J7043" t="str">
            <v>99 Input/Byprodt/Scrap</v>
          </cell>
          <cell r="K7043" t="str">
            <v>10.2012</v>
          </cell>
          <cell r="L7043">
            <v>3</v>
          </cell>
          <cell r="M7043" t="str">
            <v>EA</v>
          </cell>
          <cell r="N7043">
            <v>750</v>
          </cell>
          <cell r="O7043" t="str">
            <v>INR</v>
          </cell>
        </row>
        <row r="7044">
          <cell r="A7044" t="str">
            <v>L003 Ankleshwar</v>
          </cell>
          <cell r="B7044">
            <v>747783</v>
          </cell>
          <cell r="C7044" t="str">
            <v>SAS OF LIQUID PHENYL ACETIC ACID 3X100P</v>
          </cell>
          <cell r="D7044" t="str">
            <v>L0030201                       Cons StoreKP</v>
          </cell>
          <cell r="E7044" t="str">
            <v>E06 E06</v>
          </cell>
          <cell r="F7044" t="str">
            <v>VB Manual reorder point planning</v>
          </cell>
          <cell r="G7044" t="str">
            <v>HIBE Operating supplies</v>
          </cell>
          <cell r="H7044" t="str">
            <v>EN040     Prinitng &amp;Stationery</v>
          </cell>
          <cell r="I7044" t="str">
            <v>L003 Ankleshwar</v>
          </cell>
          <cell r="J7044" t="str">
            <v>99 Input/Byprodt/Scrap</v>
          </cell>
          <cell r="K7044" t="str">
            <v>10.2012</v>
          </cell>
          <cell r="L7044">
            <v>5</v>
          </cell>
          <cell r="M7044" t="str">
            <v>EA</v>
          </cell>
          <cell r="N7044">
            <v>498.75</v>
          </cell>
          <cell r="O7044" t="str">
            <v>INR</v>
          </cell>
        </row>
        <row r="7045">
          <cell r="A7045" t="str">
            <v>L003 Ankleshwar</v>
          </cell>
          <cell r="B7045">
            <v>747937</v>
          </cell>
          <cell r="C7045" t="str">
            <v>SS316 WIRE BRAID HOSE 1"X2M FExNE</v>
          </cell>
          <cell r="D7045" t="str">
            <v>L0030201                       Cons StoreKP</v>
          </cell>
          <cell r="E7045" t="str">
            <v>E06 E06</v>
          </cell>
          <cell r="F7045" t="str">
            <v>VB Manual reorder point planning</v>
          </cell>
          <cell r="G7045" t="str">
            <v>HIBE Operating supplies</v>
          </cell>
          <cell r="H7045" t="str">
            <v>EN027     Prod&amp;OtherConsumable</v>
          </cell>
          <cell r="I7045" t="str">
            <v>L003 Ankleshwar</v>
          </cell>
          <cell r="J7045" t="str">
            <v>99 Input/Byprodt/Scrap</v>
          </cell>
          <cell r="K7045" t="str">
            <v>10.2012</v>
          </cell>
          <cell r="L7045">
            <v>1</v>
          </cell>
          <cell r="M7045" t="str">
            <v>EA</v>
          </cell>
          <cell r="N7045">
            <v>913.59</v>
          </cell>
          <cell r="O7045" t="str">
            <v>INR</v>
          </cell>
        </row>
        <row r="7046">
          <cell r="A7046" t="str">
            <v>L003 Ankleshwar</v>
          </cell>
          <cell r="B7046">
            <v>747938</v>
          </cell>
          <cell r="C7046" t="str">
            <v>SS316 WIRE BRAID HOSE 1"X3M FExNE</v>
          </cell>
          <cell r="D7046" t="str">
            <v>L0030201                       Cons StoreKP</v>
          </cell>
          <cell r="E7046" t="str">
            <v>E06 E06</v>
          </cell>
          <cell r="F7046" t="str">
            <v>VB Manual reorder point planning</v>
          </cell>
          <cell r="G7046" t="str">
            <v>HIBE Operating supplies</v>
          </cell>
          <cell r="H7046" t="str">
            <v>EN027     Prod&amp;OtherConsumable</v>
          </cell>
          <cell r="I7046" t="str">
            <v>L003 Ankleshwar</v>
          </cell>
          <cell r="J7046" t="str">
            <v>99 Input/Byprodt/Scrap</v>
          </cell>
          <cell r="K7046" t="str">
            <v>10.2012</v>
          </cell>
          <cell r="L7046">
            <v>1</v>
          </cell>
          <cell r="M7046" t="str">
            <v>EA</v>
          </cell>
          <cell r="N7046">
            <v>1164.55</v>
          </cell>
          <cell r="O7046" t="str">
            <v>INR</v>
          </cell>
        </row>
        <row r="7047">
          <cell r="A7047" t="str">
            <v>L003 Ankleshwar</v>
          </cell>
          <cell r="B7047">
            <v>747939</v>
          </cell>
          <cell r="C7047" t="str">
            <v>SS316 WIRE BRAID HOSE 1/2"X2M FExNE</v>
          </cell>
          <cell r="D7047" t="str">
            <v>L0030201                       Cons StoreKP</v>
          </cell>
          <cell r="E7047" t="str">
            <v>E06 E06</v>
          </cell>
          <cell r="F7047" t="str">
            <v>VB Manual reorder point planning</v>
          </cell>
          <cell r="G7047" t="str">
            <v>HIBE Operating supplies</v>
          </cell>
          <cell r="H7047" t="str">
            <v>EN027     Prod&amp;OtherConsumable</v>
          </cell>
          <cell r="I7047" t="str">
            <v>L003 Ankleshwar</v>
          </cell>
          <cell r="J7047" t="str">
            <v>99 Input/Byprodt/Scrap</v>
          </cell>
          <cell r="K7047" t="str">
            <v>10.2012</v>
          </cell>
          <cell r="L7047">
            <v>2</v>
          </cell>
          <cell r="M7047" t="str">
            <v>EA</v>
          </cell>
          <cell r="N7047">
            <v>1026.3</v>
          </cell>
          <cell r="O7047" t="str">
            <v>INR</v>
          </cell>
        </row>
        <row r="7048">
          <cell r="A7048" t="str">
            <v>L401 Ankleshwar II</v>
          </cell>
          <cell r="B7048">
            <v>100071</v>
          </cell>
          <cell r="C7048" t="str">
            <v>CALCIUM HYDROXIDE 90%-95%</v>
          </cell>
          <cell r="D7048" t="str">
            <v>L401S001                       RM ST Synchem</v>
          </cell>
          <cell r="E7048" t="str">
            <v>E04 E04</v>
          </cell>
          <cell r="F7048" t="str">
            <v>PD MRP</v>
          </cell>
          <cell r="G7048" t="str">
            <v>ROH  Raw materials</v>
          </cell>
          <cell r="H7048" t="str">
            <v>RM012     ChemicalsSolid</v>
          </cell>
          <cell r="I7048" t="str">
            <v>L003 Ankleshwar</v>
          </cell>
          <cell r="J7048" t="str">
            <v>99 Input/Byprodt/Scrap</v>
          </cell>
          <cell r="K7048" t="str">
            <v>10.2012</v>
          </cell>
          <cell r="L7048">
            <v>13500</v>
          </cell>
          <cell r="M7048" t="str">
            <v>KG</v>
          </cell>
          <cell r="N7048">
            <v>81000.02</v>
          </cell>
          <cell r="O7048" t="str">
            <v>INR</v>
          </cell>
        </row>
        <row r="7049">
          <cell r="A7049" t="str">
            <v>L401 Ankleshwar II</v>
          </cell>
          <cell r="B7049">
            <v>100158</v>
          </cell>
          <cell r="C7049" t="str">
            <v>DL2 AMINO BUTANOL.</v>
          </cell>
          <cell r="D7049" t="str">
            <v>L401S001                       RM ST Synchem</v>
          </cell>
          <cell r="E7049" t="str">
            <v>R01 R01</v>
          </cell>
          <cell r="F7049" t="str">
            <v>PD MRP</v>
          </cell>
          <cell r="G7049" t="str">
            <v>ROH  Raw materials</v>
          </cell>
          <cell r="H7049" t="str">
            <v>RM011     ChemicalsLiquid</v>
          </cell>
          <cell r="I7049" t="str">
            <v>L003 Ankleshwar</v>
          </cell>
          <cell r="J7049" t="str">
            <v>99 Input/Byprodt/Scrap</v>
          </cell>
          <cell r="K7049" t="str">
            <v>10.2012</v>
          </cell>
          <cell r="L7049">
            <v>3900.1999999999898</v>
          </cell>
          <cell r="M7049" t="str">
            <v>KG</v>
          </cell>
          <cell r="N7049">
            <v>2731612.3999999901</v>
          </cell>
          <cell r="O7049" t="str">
            <v>INR</v>
          </cell>
        </row>
        <row r="7050">
          <cell r="A7050" t="str">
            <v>L401 Ankleshwar II</v>
          </cell>
          <cell r="B7050">
            <v>100369</v>
          </cell>
          <cell r="C7050" t="str">
            <v>METHANOL NDP</v>
          </cell>
          <cell r="D7050" t="str">
            <v>L401802                        RML2AB</v>
          </cell>
          <cell r="E7050" t="str">
            <v>R01 R01</v>
          </cell>
          <cell r="F7050" t="str">
            <v>PD MRP</v>
          </cell>
          <cell r="G7050" t="str">
            <v>ROH  Raw materials</v>
          </cell>
          <cell r="H7050" t="str">
            <v>RM013     Solvents</v>
          </cell>
          <cell r="I7050" t="str">
            <v>L003 Ankleshwar</v>
          </cell>
          <cell r="J7050" t="str">
            <v>99 Input/Byprodt/Scrap</v>
          </cell>
          <cell r="K7050" t="str">
            <v>10.2012</v>
          </cell>
          <cell r="L7050">
            <v>9237.0959999999905</v>
          </cell>
          <cell r="M7050" t="str">
            <v>KG</v>
          </cell>
          <cell r="N7050">
            <v>208070.03</v>
          </cell>
          <cell r="O7050" t="str">
            <v>INR</v>
          </cell>
        </row>
        <row r="7051">
          <cell r="A7051" t="str">
            <v>L401 Ankleshwar II</v>
          </cell>
          <cell r="B7051">
            <v>100599</v>
          </cell>
          <cell r="C7051" t="str">
            <v>TARTARIC ACID FRESH</v>
          </cell>
          <cell r="D7051" t="str">
            <v>L401S001                       RM ST Synchem</v>
          </cell>
          <cell r="E7051" t="str">
            <v>R01 R01</v>
          </cell>
          <cell r="F7051" t="str">
            <v>PD MRP</v>
          </cell>
          <cell r="G7051" t="str">
            <v>ROH  Raw materials</v>
          </cell>
          <cell r="H7051" t="str">
            <v>RM012     ChemicalsSolid</v>
          </cell>
          <cell r="I7051" t="str">
            <v>L003 Ankleshwar</v>
          </cell>
          <cell r="J7051" t="str">
            <v>99 Input/Byprodt/Scrap</v>
          </cell>
          <cell r="K7051" t="str">
            <v>10.2012</v>
          </cell>
          <cell r="L7051">
            <v>650</v>
          </cell>
          <cell r="M7051" t="str">
            <v>KG</v>
          </cell>
          <cell r="N7051">
            <v>129262.96</v>
          </cell>
          <cell r="O7051" t="str">
            <v>INR</v>
          </cell>
        </row>
        <row r="7052">
          <cell r="A7052" t="str">
            <v>L401 Ankleshwar II</v>
          </cell>
          <cell r="B7052">
            <v>300770</v>
          </cell>
          <cell r="C7052" t="str">
            <v>D2ABT Residue from R1 Cycle</v>
          </cell>
          <cell r="D7052" t="str">
            <v>L401801                        RMD2AB</v>
          </cell>
          <cell r="E7052" t="str">
            <v>M01 M01</v>
          </cell>
          <cell r="F7052" t="str">
            <v>ND No planning</v>
          </cell>
          <cell r="G7052" t="str">
            <v>HALB Semifinished products</v>
          </cell>
          <cell r="H7052" t="str">
            <v>BS137     Solvents ETB</v>
          </cell>
          <cell r="I7052" t="str">
            <v>L003 Ankleshwar</v>
          </cell>
          <cell r="J7052" t="str">
            <v>08 Intermediates</v>
          </cell>
          <cell r="K7052" t="str">
            <v>10.2012</v>
          </cell>
          <cell r="L7052">
            <v>2227</v>
          </cell>
          <cell r="M7052" t="str">
            <v>KG</v>
          </cell>
          <cell r="N7052">
            <v>124043.899999999</v>
          </cell>
          <cell r="O7052" t="str">
            <v>INR</v>
          </cell>
        </row>
        <row r="7053">
          <cell r="A7053" t="str">
            <v>L401 Ankleshwar II</v>
          </cell>
          <cell r="B7053">
            <v>300801</v>
          </cell>
          <cell r="C7053" t="str">
            <v>Methanol Recovered - ETB</v>
          </cell>
          <cell r="D7053" t="str">
            <v>L401S002                       Intermediate Syn</v>
          </cell>
          <cell r="E7053" t="str">
            <v>M01 M01</v>
          </cell>
          <cell r="F7053" t="str">
            <v>ND No planning</v>
          </cell>
          <cell r="G7053" t="str">
            <v>HALB Semifinished products</v>
          </cell>
          <cell r="H7053" t="str">
            <v>BS137     Solvents ETB</v>
          </cell>
          <cell r="I7053" t="str">
            <v>L003 Ankleshwar</v>
          </cell>
          <cell r="J7053" t="str">
            <v>99 Input/Byprodt/Scrap</v>
          </cell>
          <cell r="K7053" t="str">
            <v>10.2012</v>
          </cell>
          <cell r="L7053">
            <v>2602</v>
          </cell>
          <cell r="M7053" t="str">
            <v>L</v>
          </cell>
          <cell r="N7053">
            <v>47434.459999999897</v>
          </cell>
          <cell r="O7053" t="str">
            <v>INR</v>
          </cell>
        </row>
        <row r="7054">
          <cell r="A7054" t="str">
            <v>L401 Ankleshwar II</v>
          </cell>
          <cell r="B7054">
            <v>300802</v>
          </cell>
          <cell r="C7054" t="str">
            <v>Methanol Distilled - ETB</v>
          </cell>
          <cell r="D7054" t="str">
            <v>L401S002                       Intermediate Syn</v>
          </cell>
          <cell r="E7054" t="str">
            <v>M01 M01</v>
          </cell>
          <cell r="F7054" t="str">
            <v>PD MRP</v>
          </cell>
          <cell r="G7054" t="str">
            <v>HALB Semifinished products</v>
          </cell>
          <cell r="H7054" t="str">
            <v>BS137     Solvents ETB</v>
          </cell>
          <cell r="I7054" t="str">
            <v>L003 Ankleshwar</v>
          </cell>
          <cell r="J7054" t="str">
            <v>08 Intermediates</v>
          </cell>
          <cell r="K7054" t="str">
            <v>10.2012</v>
          </cell>
          <cell r="L7054">
            <v>2393</v>
          </cell>
          <cell r="M7054" t="str">
            <v>L</v>
          </cell>
          <cell r="N7054">
            <v>73776.19</v>
          </cell>
          <cell r="O7054" t="str">
            <v>INR</v>
          </cell>
        </row>
        <row r="7055">
          <cell r="A7055" t="str">
            <v>L401 Ankleshwar II</v>
          </cell>
          <cell r="B7055">
            <v>300803</v>
          </cell>
          <cell r="C7055" t="str">
            <v>Tartaric Acid Recovered</v>
          </cell>
          <cell r="D7055" t="str">
            <v>L401S002                       Intermediate Syn</v>
          </cell>
          <cell r="E7055" t="str">
            <v>M01 M01</v>
          </cell>
          <cell r="F7055" t="str">
            <v>PD MRP</v>
          </cell>
          <cell r="G7055" t="str">
            <v>HALB Semifinished products</v>
          </cell>
          <cell r="H7055" t="str">
            <v>BS142     Crystalization</v>
          </cell>
          <cell r="I7055" t="str">
            <v>L003 Ankleshwar</v>
          </cell>
          <cell r="J7055" t="str">
            <v>99 Input/Byprodt/Scrap</v>
          </cell>
          <cell r="K7055" t="str">
            <v>10.2012</v>
          </cell>
          <cell r="L7055">
            <v>1470</v>
          </cell>
          <cell r="M7055" t="str">
            <v>KG</v>
          </cell>
          <cell r="N7055">
            <v>281666.7</v>
          </cell>
          <cell r="O7055" t="str">
            <v>INR</v>
          </cell>
        </row>
        <row r="7056">
          <cell r="A7056" t="str">
            <v>L401 Ankleshwar II</v>
          </cell>
          <cell r="B7056">
            <v>300804</v>
          </cell>
          <cell r="C7056" t="str">
            <v>D2ABT ML+WML</v>
          </cell>
          <cell r="D7056" t="str">
            <v>L401S002                       Intermediate Syn</v>
          </cell>
          <cell r="E7056" t="str">
            <v>M01 M01</v>
          </cell>
          <cell r="F7056" t="str">
            <v>ND No planning</v>
          </cell>
          <cell r="G7056" t="str">
            <v>HALB Semifinished products</v>
          </cell>
          <cell r="H7056" t="str">
            <v>BS137     Solvents ETB</v>
          </cell>
          <cell r="I7056" t="str">
            <v>L003 Ankleshwar</v>
          </cell>
          <cell r="J7056" t="str">
            <v>08 Intermediates</v>
          </cell>
          <cell r="K7056" t="str">
            <v>10.2012</v>
          </cell>
          <cell r="L7056">
            <v>2947</v>
          </cell>
          <cell r="M7056" t="str">
            <v>L</v>
          </cell>
          <cell r="N7056">
            <v>122153.149999999</v>
          </cell>
          <cell r="O7056" t="str">
            <v>INR</v>
          </cell>
        </row>
        <row r="7057">
          <cell r="A7057" t="str">
            <v>L401 Ankleshwar II</v>
          </cell>
          <cell r="B7057">
            <v>300805</v>
          </cell>
          <cell r="C7057" t="str">
            <v>D2AB WML</v>
          </cell>
          <cell r="D7057" t="str">
            <v>L401S002                       Intermediate Syn</v>
          </cell>
          <cell r="E7057" t="str">
            <v>M01 M01</v>
          </cell>
          <cell r="F7057" t="str">
            <v>ND No planning</v>
          </cell>
          <cell r="G7057" t="str">
            <v>HALB Semifinished products</v>
          </cell>
          <cell r="H7057" t="str">
            <v>BS137     Solvents ETB</v>
          </cell>
          <cell r="I7057" t="str">
            <v>L003 Ankleshwar</v>
          </cell>
          <cell r="J7057" t="str">
            <v>08 Intermediates</v>
          </cell>
          <cell r="K7057" t="str">
            <v>10.2012</v>
          </cell>
          <cell r="L7057">
            <v>950</v>
          </cell>
          <cell r="M7057" t="str">
            <v>L</v>
          </cell>
          <cell r="N7057">
            <v>90269</v>
          </cell>
          <cell r="O7057" t="str">
            <v>INR</v>
          </cell>
        </row>
        <row r="7058">
          <cell r="A7058" t="str">
            <v>L401 Ankleshwar II</v>
          </cell>
          <cell r="B7058">
            <v>300812</v>
          </cell>
          <cell r="C7058" t="str">
            <v>D Cat cake</v>
          </cell>
          <cell r="D7058" t="str">
            <v>L401803                        FGJW</v>
          </cell>
          <cell r="E7058" t="str">
            <v>M01 M01</v>
          </cell>
          <cell r="F7058" t="str">
            <v>ND No planning</v>
          </cell>
          <cell r="G7058" t="str">
            <v>HALB Semifinished products</v>
          </cell>
          <cell r="H7058" t="str">
            <v>BS137     Solvents ETB</v>
          </cell>
          <cell r="I7058" t="str">
            <v>L003 Ankleshwar</v>
          </cell>
          <cell r="J7058" t="str">
            <v>08 Intermediates</v>
          </cell>
          <cell r="K7058" t="str">
            <v>10.2012</v>
          </cell>
          <cell r="L7058">
            <v>2118</v>
          </cell>
          <cell r="M7058" t="str">
            <v>KG</v>
          </cell>
          <cell r="N7058">
            <v>111067.92</v>
          </cell>
          <cell r="O7058" t="str">
            <v>INR</v>
          </cell>
        </row>
        <row r="7059">
          <cell r="A7059" t="str">
            <v>L401 Ankleshwar II</v>
          </cell>
          <cell r="B7059">
            <v>300813</v>
          </cell>
          <cell r="C7059" t="str">
            <v>D2AB 1st Fraction(From R-308)</v>
          </cell>
          <cell r="D7059" t="str">
            <v>L401S002                       Intermediate Syn</v>
          </cell>
          <cell r="E7059" t="str">
            <v>M01 M01</v>
          </cell>
          <cell r="F7059" t="str">
            <v>ND No planning</v>
          </cell>
          <cell r="G7059" t="str">
            <v>HALB Semifinished products</v>
          </cell>
          <cell r="H7059" t="str">
            <v>BS137     Solvents ETB</v>
          </cell>
          <cell r="I7059" t="str">
            <v>L003 Ankleshwar</v>
          </cell>
          <cell r="J7059" t="str">
            <v>08 Intermediates</v>
          </cell>
          <cell r="K7059" t="str">
            <v>10.2012</v>
          </cell>
          <cell r="L7059">
            <v>295</v>
          </cell>
          <cell r="M7059" t="str">
            <v>KG</v>
          </cell>
          <cell r="N7059">
            <v>64569.599999999897</v>
          </cell>
          <cell r="O7059" t="str">
            <v>INR</v>
          </cell>
        </row>
        <row r="7060">
          <cell r="A7060" t="str">
            <v>L401 Ankleshwar II</v>
          </cell>
          <cell r="B7060">
            <v>300824</v>
          </cell>
          <cell r="C7060" t="str">
            <v>D2AB 2nd Fraction</v>
          </cell>
          <cell r="D7060" t="str">
            <v>L401S002                       Intermediate Syn</v>
          </cell>
          <cell r="E7060" t="str">
            <v>M01 M01</v>
          </cell>
          <cell r="F7060" t="str">
            <v>ND No planning</v>
          </cell>
          <cell r="G7060" t="str">
            <v>HALB Semifinished products</v>
          </cell>
          <cell r="H7060" t="str">
            <v>BS129     2nd fraction of D2AB</v>
          </cell>
          <cell r="I7060" t="str">
            <v>L003 Ankleshwar</v>
          </cell>
          <cell r="J7060" t="str">
            <v>08 Intermediates</v>
          </cell>
          <cell r="K7060" t="str">
            <v>10.2012</v>
          </cell>
          <cell r="L7060">
            <v>1404</v>
          </cell>
          <cell r="M7060" t="str">
            <v>KG</v>
          </cell>
          <cell r="N7060">
            <v>1430437.32</v>
          </cell>
          <cell r="O7060" t="str">
            <v>INR</v>
          </cell>
        </row>
        <row r="7061">
          <cell r="A7061" t="str">
            <v>L401 Ankleshwar II</v>
          </cell>
          <cell r="B7061">
            <v>300830</v>
          </cell>
          <cell r="C7061" t="str">
            <v>L2ABT CAKE</v>
          </cell>
          <cell r="D7061" t="str">
            <v>L401803                        FGJW</v>
          </cell>
          <cell r="E7061" t="str">
            <v>M01 M01</v>
          </cell>
          <cell r="F7061" t="str">
            <v>PD MRP</v>
          </cell>
          <cell r="G7061" t="str">
            <v>HALB Semifinished products</v>
          </cell>
          <cell r="H7061" t="str">
            <v>BS134     L2ABT precipitation</v>
          </cell>
          <cell r="I7061" t="str">
            <v>L003 Ankleshwar</v>
          </cell>
          <cell r="J7061" t="str">
            <v>08 Intermediates</v>
          </cell>
          <cell r="K7061" t="str">
            <v>10.2012</v>
          </cell>
          <cell r="L7061">
            <v>6999</v>
          </cell>
          <cell r="M7061" t="str">
            <v>KG</v>
          </cell>
          <cell r="N7061">
            <v>388584.47999999899</v>
          </cell>
          <cell r="O7061" t="str">
            <v>INR</v>
          </cell>
        </row>
        <row r="7062">
          <cell r="A7062" t="str">
            <v>L401 Ankleshwar II</v>
          </cell>
          <cell r="B7062">
            <v>300831</v>
          </cell>
          <cell r="C7062" t="str">
            <v>L2ABT ML</v>
          </cell>
          <cell r="D7062" t="str">
            <v>L401S002                       Intermediate Syn</v>
          </cell>
          <cell r="E7062" t="str">
            <v>M01 M01</v>
          </cell>
          <cell r="F7062" t="str">
            <v>ND No planning</v>
          </cell>
          <cell r="G7062" t="str">
            <v>HALB Semifinished products</v>
          </cell>
          <cell r="H7062" t="str">
            <v>BS137     Solvents ETB</v>
          </cell>
          <cell r="I7062" t="str">
            <v>L003 Ankleshwar</v>
          </cell>
          <cell r="J7062" t="str">
            <v>08 Intermediates</v>
          </cell>
          <cell r="K7062" t="str">
            <v>10.2012</v>
          </cell>
          <cell r="L7062">
            <v>1350</v>
          </cell>
          <cell r="M7062" t="str">
            <v>L</v>
          </cell>
          <cell r="N7062">
            <v>93501</v>
          </cell>
          <cell r="O7062" t="str">
            <v>INR</v>
          </cell>
        </row>
        <row r="7063">
          <cell r="A7063" t="str">
            <v>L401 Ankleshwar II</v>
          </cell>
          <cell r="B7063">
            <v>300832</v>
          </cell>
          <cell r="C7063" t="str">
            <v>MeOH + WATER - ETB</v>
          </cell>
          <cell r="D7063" t="str">
            <v>L401S002                       Intermediate Syn</v>
          </cell>
          <cell r="E7063" t="str">
            <v>M01 M01</v>
          </cell>
          <cell r="F7063" t="str">
            <v>ND No planning</v>
          </cell>
          <cell r="G7063" t="str">
            <v>HALB Semifinished products</v>
          </cell>
          <cell r="H7063" t="str">
            <v>BS137     Solvents ETB</v>
          </cell>
          <cell r="I7063" t="str">
            <v>L003 Ankleshwar</v>
          </cell>
          <cell r="J7063" t="str">
            <v>08 Intermediates</v>
          </cell>
          <cell r="K7063" t="str">
            <v>10.2012</v>
          </cell>
          <cell r="L7063">
            <v>1428</v>
          </cell>
          <cell r="M7063" t="str">
            <v>L</v>
          </cell>
          <cell r="N7063">
            <v>6925.8</v>
          </cell>
          <cell r="O7063" t="str">
            <v>INR</v>
          </cell>
        </row>
        <row r="7064">
          <cell r="A7064" t="str">
            <v>L401 Ankleshwar II</v>
          </cell>
          <cell r="B7064">
            <v>300833</v>
          </cell>
          <cell r="C7064" t="str">
            <v>L2ABT Residue</v>
          </cell>
          <cell r="D7064" t="str">
            <v>L401S002                       Intermediate Syn</v>
          </cell>
          <cell r="E7064" t="str">
            <v>M01 M01</v>
          </cell>
          <cell r="F7064" t="str">
            <v>ND No planning</v>
          </cell>
          <cell r="G7064" t="str">
            <v>HALB Semifinished products</v>
          </cell>
          <cell r="H7064" t="str">
            <v>BS137     Solvents ETB</v>
          </cell>
          <cell r="I7064" t="str">
            <v>L003 Ankleshwar</v>
          </cell>
          <cell r="J7064" t="str">
            <v>08 Intermediates</v>
          </cell>
          <cell r="K7064" t="str">
            <v>10.2012</v>
          </cell>
          <cell r="L7064">
            <v>17353</v>
          </cell>
          <cell r="M7064" t="str">
            <v>KG</v>
          </cell>
          <cell r="N7064">
            <v>3425655.73</v>
          </cell>
          <cell r="O7064" t="str">
            <v>INR</v>
          </cell>
        </row>
        <row r="7065">
          <cell r="A7065" t="str">
            <v>L401 Ankleshwar II</v>
          </cell>
          <cell r="B7065">
            <v>300833</v>
          </cell>
          <cell r="C7065" t="str">
            <v>L2ABT Residue</v>
          </cell>
          <cell r="D7065" t="str">
            <v>L401S003                       Solvent Synchem</v>
          </cell>
          <cell r="E7065" t="str">
            <v>M01 M01</v>
          </cell>
          <cell r="F7065" t="str">
            <v>ND No planning</v>
          </cell>
          <cell r="G7065" t="str">
            <v>HALB Semifinished products</v>
          </cell>
          <cell r="H7065" t="str">
            <v>BS137     Solvents ETB</v>
          </cell>
          <cell r="I7065" t="str">
            <v>L003 Ankleshwar</v>
          </cell>
          <cell r="J7065" t="str">
            <v>08 Intermediates</v>
          </cell>
          <cell r="K7065" t="str">
            <v>10.2012</v>
          </cell>
          <cell r="L7065">
            <v>3246</v>
          </cell>
          <cell r="M7065" t="str">
            <v>KG</v>
          </cell>
          <cell r="N7065">
            <v>640792.85999999905</v>
          </cell>
          <cell r="O7065" t="str">
            <v>INR</v>
          </cell>
        </row>
        <row r="7066">
          <cell r="A7066" t="str">
            <v>L401 Ankleshwar II</v>
          </cell>
          <cell r="B7066">
            <v>300835</v>
          </cell>
          <cell r="C7066" t="str">
            <v>Racemic WML</v>
          </cell>
          <cell r="D7066" t="str">
            <v>L401S002                       Intermediate Syn</v>
          </cell>
          <cell r="E7066" t="str">
            <v>M01 M01</v>
          </cell>
          <cell r="F7066" t="str">
            <v>ND No planning</v>
          </cell>
          <cell r="G7066" t="str">
            <v>HALB Semifinished products</v>
          </cell>
          <cell r="H7066" t="str">
            <v>BS137     Solvents ETB</v>
          </cell>
          <cell r="I7066" t="str">
            <v>L003 Ankleshwar</v>
          </cell>
          <cell r="J7066" t="str">
            <v>08 Intermediates</v>
          </cell>
          <cell r="K7066" t="str">
            <v>10.2012</v>
          </cell>
          <cell r="L7066">
            <v>1200</v>
          </cell>
          <cell r="M7066" t="str">
            <v>L</v>
          </cell>
          <cell r="N7066">
            <v>10800</v>
          </cell>
          <cell r="O7066" t="str">
            <v>INR</v>
          </cell>
        </row>
        <row r="7067">
          <cell r="A7067" t="str">
            <v>L401 Ankleshwar II</v>
          </cell>
          <cell r="B7067">
            <v>300836</v>
          </cell>
          <cell r="C7067" t="str">
            <v>R. Cat Cake</v>
          </cell>
          <cell r="D7067" t="str">
            <v>L401803                        FGJW</v>
          </cell>
          <cell r="E7067" t="str">
            <v>M01 M01</v>
          </cell>
          <cell r="F7067" t="str">
            <v>ND No planning</v>
          </cell>
          <cell r="G7067" t="str">
            <v>HALB Semifinished products</v>
          </cell>
          <cell r="H7067" t="str">
            <v>BS137     Solvents ETB</v>
          </cell>
          <cell r="I7067" t="str">
            <v>L003 Ankleshwar</v>
          </cell>
          <cell r="J7067" t="str">
            <v>08 Intermediates</v>
          </cell>
          <cell r="K7067" t="str">
            <v>10.2012</v>
          </cell>
          <cell r="L7067">
            <v>7050</v>
          </cell>
          <cell r="M7067" t="str">
            <v>KG</v>
          </cell>
          <cell r="N7067">
            <v>268041</v>
          </cell>
          <cell r="O7067" t="str">
            <v>INR</v>
          </cell>
        </row>
        <row r="7068">
          <cell r="A7068" t="str">
            <v>L401 Ankleshwar II</v>
          </cell>
          <cell r="B7068">
            <v>300837</v>
          </cell>
          <cell r="C7068" t="str">
            <v>Racemic ML</v>
          </cell>
          <cell r="D7068" t="str">
            <v>L401S002                       Intermediate Syn</v>
          </cell>
          <cell r="E7068" t="str">
            <v>M01 M01</v>
          </cell>
          <cell r="F7068" t="str">
            <v>PD MRP</v>
          </cell>
          <cell r="G7068" t="str">
            <v>HALB Semifinished products</v>
          </cell>
          <cell r="H7068" t="str">
            <v>BS135     L2ABT cracking</v>
          </cell>
          <cell r="I7068" t="str">
            <v>L003 Ankleshwar</v>
          </cell>
          <cell r="J7068" t="str">
            <v>08 Intermediates</v>
          </cell>
          <cell r="K7068" t="str">
            <v>10.2012</v>
          </cell>
          <cell r="L7068">
            <v>41478</v>
          </cell>
          <cell r="M7068" t="str">
            <v>L</v>
          </cell>
          <cell r="N7068">
            <v>3409906.3799999901</v>
          </cell>
          <cell r="O7068" t="str">
            <v>INR</v>
          </cell>
        </row>
        <row r="7069">
          <cell r="A7069" t="str">
            <v>L401 Ankleshwar II</v>
          </cell>
          <cell r="B7069">
            <v>300838</v>
          </cell>
          <cell r="C7069" t="str">
            <v>RACEMIC crude receiver</v>
          </cell>
          <cell r="D7069" t="str">
            <v>L401S002                       Intermediate Syn</v>
          </cell>
          <cell r="E7069" t="str">
            <v>M01 M01</v>
          </cell>
          <cell r="F7069" t="str">
            <v>PD MRP</v>
          </cell>
          <cell r="G7069" t="str">
            <v>HALB Semifinished products</v>
          </cell>
          <cell r="H7069" t="str">
            <v>BS130     3rd fraction D2AB R</v>
          </cell>
          <cell r="I7069" t="str">
            <v>L003 Ankleshwar</v>
          </cell>
          <cell r="J7069" t="str">
            <v>08 Intermediates</v>
          </cell>
          <cell r="K7069" t="str">
            <v>10.2012</v>
          </cell>
          <cell r="L7069">
            <v>697</v>
          </cell>
          <cell r="M7069" t="str">
            <v>KG</v>
          </cell>
          <cell r="N7069">
            <v>406657.679999999</v>
          </cell>
          <cell r="O7069" t="str">
            <v>INR</v>
          </cell>
        </row>
        <row r="7070">
          <cell r="A7070" t="str">
            <v>L401 Ankleshwar II</v>
          </cell>
          <cell r="B7070">
            <v>300839</v>
          </cell>
          <cell r="C7070" t="str">
            <v>DL2AB 1ST Fraction</v>
          </cell>
          <cell r="D7070" t="str">
            <v>L401S002                       Intermediate Syn</v>
          </cell>
          <cell r="E7070" t="str">
            <v>M01 M01</v>
          </cell>
          <cell r="F7070" t="str">
            <v>ND No planning</v>
          </cell>
          <cell r="G7070" t="str">
            <v>HALB Semifinished products</v>
          </cell>
          <cell r="H7070" t="str">
            <v>BS137     Solvents ETB</v>
          </cell>
          <cell r="I7070" t="str">
            <v>L003 Ankleshwar</v>
          </cell>
          <cell r="J7070" t="str">
            <v>08 Intermediates</v>
          </cell>
          <cell r="K7070" t="str">
            <v>10.2012</v>
          </cell>
          <cell r="L7070">
            <v>328</v>
          </cell>
          <cell r="M7070" t="str">
            <v>KG</v>
          </cell>
          <cell r="N7070">
            <v>26246.560000000001</v>
          </cell>
          <cell r="O7070" t="str">
            <v>INR</v>
          </cell>
        </row>
        <row r="7071">
          <cell r="A7071" t="str">
            <v>L401 Ankleshwar II</v>
          </cell>
          <cell r="B7071">
            <v>300840</v>
          </cell>
          <cell r="C7071" t="str">
            <v>DL2AB 2ND Fraction</v>
          </cell>
          <cell r="D7071" t="str">
            <v>L401S002                       Intermediate Syn</v>
          </cell>
          <cell r="E7071" t="str">
            <v>M01 M01</v>
          </cell>
          <cell r="F7071" t="str">
            <v>ND No planning</v>
          </cell>
          <cell r="G7071" t="str">
            <v>HALB Semifinished products</v>
          </cell>
          <cell r="H7071" t="str">
            <v>BS137     Solvents ETB</v>
          </cell>
          <cell r="I7071" t="str">
            <v>L003 Ankleshwar</v>
          </cell>
          <cell r="J7071" t="str">
            <v>08 Intermediates</v>
          </cell>
          <cell r="K7071" t="str">
            <v>10.2012</v>
          </cell>
          <cell r="L7071">
            <v>663</v>
          </cell>
          <cell r="M7071" t="str">
            <v>KG</v>
          </cell>
          <cell r="N7071">
            <v>215534.67</v>
          </cell>
          <cell r="O7071" t="str">
            <v>INR</v>
          </cell>
        </row>
        <row r="7072">
          <cell r="A7072" t="str">
            <v>L401 Ankleshwar II</v>
          </cell>
          <cell r="B7072">
            <v>300841</v>
          </cell>
          <cell r="C7072" t="str">
            <v>DL2AB Main Fraction R1</v>
          </cell>
          <cell r="D7072" t="str">
            <v>L401S002                       Intermediate Syn</v>
          </cell>
          <cell r="E7072" t="str">
            <v>M01 M01</v>
          </cell>
          <cell r="F7072" t="str">
            <v>PD MRP</v>
          </cell>
          <cell r="G7072" t="str">
            <v>HALB Semifinished products</v>
          </cell>
          <cell r="H7072" t="str">
            <v>BS136     Low/HighVacDistCrDL</v>
          </cell>
          <cell r="I7072" t="str">
            <v>L003 Ankleshwar</v>
          </cell>
          <cell r="J7072" t="str">
            <v>08 Intermediates</v>
          </cell>
          <cell r="K7072" t="str">
            <v>10.2012</v>
          </cell>
          <cell r="L7072">
            <v>10818</v>
          </cell>
          <cell r="M7072" t="str">
            <v>KG</v>
          </cell>
          <cell r="N7072">
            <v>10418166.720000001</v>
          </cell>
          <cell r="O7072" t="str">
            <v>INR</v>
          </cell>
        </row>
        <row r="7073">
          <cell r="A7073" t="str">
            <v>L401 Ankleshwar II</v>
          </cell>
          <cell r="B7073">
            <v>300929</v>
          </cell>
          <cell r="C7073" t="str">
            <v>L2AB ML</v>
          </cell>
          <cell r="D7073" t="str">
            <v>L401</v>
          </cell>
          <cell r="E7073" t="str">
            <v>M01 M01</v>
          </cell>
          <cell r="F7073" t="str">
            <v>PD MRP</v>
          </cell>
          <cell r="G7073" t="str">
            <v>HALB Semifinished products</v>
          </cell>
          <cell r="H7073" t="str">
            <v>BS144     L2ABSO4 cracking</v>
          </cell>
          <cell r="I7073" t="str">
            <v>L003 Ankleshwar</v>
          </cell>
          <cell r="J7073" t="str">
            <v>08 Intermediates</v>
          </cell>
          <cell r="K7073" t="str">
            <v>10.2012</v>
          </cell>
          <cell r="L7073">
            <v>8692.6830000000009</v>
          </cell>
          <cell r="M7073" t="str">
            <v>L</v>
          </cell>
          <cell r="N7073">
            <v>86.93</v>
          </cell>
          <cell r="O7073" t="str">
            <v>INR</v>
          </cell>
        </row>
        <row r="7074">
          <cell r="A7074" t="str">
            <v>L401 Ankleshwar II</v>
          </cell>
          <cell r="B7074">
            <v>301489</v>
          </cell>
          <cell r="C7074" t="str">
            <v>S(+) 2 Amino Butyric Acid Hydrochloride</v>
          </cell>
          <cell r="D7074" t="str">
            <v>L401S002                       Intermediate Syn</v>
          </cell>
          <cell r="E7074" t="str">
            <v>M01 M01</v>
          </cell>
          <cell r="F7074" t="str">
            <v>PD MRP</v>
          </cell>
          <cell r="G7074" t="str">
            <v>HALB Semifinished products</v>
          </cell>
          <cell r="H7074" t="str">
            <v>BS313     Solvents ETB  II</v>
          </cell>
          <cell r="I7074" t="str">
            <v>L003 Ankleshwar</v>
          </cell>
          <cell r="J7074" t="str">
            <v>08 Intermediates</v>
          </cell>
          <cell r="K7074" t="str">
            <v>10.2012</v>
          </cell>
          <cell r="L7074">
            <v>0.17999999999999899</v>
          </cell>
          <cell r="M7074" t="str">
            <v>KG</v>
          </cell>
          <cell r="N7074">
            <v>718.59</v>
          </cell>
          <cell r="O7074" t="str">
            <v>INR</v>
          </cell>
        </row>
        <row r="7075">
          <cell r="A7075" t="str">
            <v>L401 Ankleshwar II</v>
          </cell>
          <cell r="B7075">
            <v>303432</v>
          </cell>
          <cell r="C7075" t="str">
            <v>AMMONIUM TRATRATE</v>
          </cell>
          <cell r="D7075" t="str">
            <v>L401S002                       Intermediate Syn</v>
          </cell>
          <cell r="E7075" t="str">
            <v>M01 M01</v>
          </cell>
          <cell r="F7075" t="str">
            <v>ND No planning</v>
          </cell>
          <cell r="G7075" t="str">
            <v>HALB Semifinished products</v>
          </cell>
          <cell r="H7075" t="str">
            <v>BS145     MPP PLANT ANK</v>
          </cell>
          <cell r="I7075" t="str">
            <v>L003 Ankleshwar</v>
          </cell>
          <cell r="J7075" t="str">
            <v>08 Intermediates</v>
          </cell>
          <cell r="K7075" t="str">
            <v>10.2012</v>
          </cell>
          <cell r="L7075">
            <v>5607</v>
          </cell>
          <cell r="M7075" t="str">
            <v>KG</v>
          </cell>
          <cell r="N7075">
            <v>56.07</v>
          </cell>
          <cell r="O7075" t="str">
            <v>INR</v>
          </cell>
        </row>
        <row r="7076">
          <cell r="A7076" t="str">
            <v>L401 Ankleshwar II</v>
          </cell>
          <cell r="B7076">
            <v>303885</v>
          </cell>
          <cell r="C7076" t="str">
            <v>S(+) 2 AMINO BUTYRIC ACID HYDROCHLORIDE</v>
          </cell>
          <cell r="D7076" t="str">
            <v>L401803                        FGJW</v>
          </cell>
          <cell r="E7076" t="str">
            <v>M01 M01</v>
          </cell>
          <cell r="F7076" t="str">
            <v>PD MRP</v>
          </cell>
          <cell r="G7076" t="str">
            <v>HALB Semifinished products</v>
          </cell>
          <cell r="H7076" t="str">
            <v>BS275     SABA HCL (INDV.)</v>
          </cell>
          <cell r="I7076" t="str">
            <v>L003 Ankleshwar</v>
          </cell>
          <cell r="J7076" t="str">
            <v>08 Intermediates</v>
          </cell>
          <cell r="K7076" t="str">
            <v>10.2012</v>
          </cell>
          <cell r="L7076">
            <v>40</v>
          </cell>
          <cell r="M7076" t="str">
            <v>KG</v>
          </cell>
          <cell r="N7076">
            <v>134688.399999999</v>
          </cell>
          <cell r="O7076" t="str">
            <v>INR</v>
          </cell>
        </row>
        <row r="7077">
          <cell r="A7077" t="str">
            <v>L401 Ankleshwar II</v>
          </cell>
          <cell r="B7077">
            <v>303885</v>
          </cell>
          <cell r="C7077" t="str">
            <v>S(+) 2 AMINO BUTYRIC ACID HYDROCHLORIDE</v>
          </cell>
          <cell r="D7077" t="str">
            <v>L401S002                       Intermediate Syn</v>
          </cell>
          <cell r="E7077" t="str">
            <v>M01 M01</v>
          </cell>
          <cell r="F7077" t="str">
            <v>PD MRP</v>
          </cell>
          <cell r="G7077" t="str">
            <v>HALB Semifinished products</v>
          </cell>
          <cell r="H7077" t="str">
            <v>BS275     SABA HCL (INDV.)</v>
          </cell>
          <cell r="I7077" t="str">
            <v>L003 Ankleshwar</v>
          </cell>
          <cell r="J7077" t="str">
            <v>08 Intermediates</v>
          </cell>
          <cell r="K7077" t="str">
            <v>10.2012</v>
          </cell>
          <cell r="L7077">
            <v>0.1</v>
          </cell>
          <cell r="M7077" t="str">
            <v>KG</v>
          </cell>
          <cell r="N7077">
            <v>336.72</v>
          </cell>
          <cell r="O7077" t="str">
            <v>INR</v>
          </cell>
        </row>
        <row r="7078">
          <cell r="A7078" t="str">
            <v>L401 Ankleshwar II</v>
          </cell>
          <cell r="B7078">
            <v>303886</v>
          </cell>
          <cell r="C7078" t="str">
            <v>S-(+)-2 AMINO BUTYRIC ACID HYDROCHLORIDE</v>
          </cell>
          <cell r="D7078" t="str">
            <v>L401802                        RML2AB</v>
          </cell>
          <cell r="E7078" t="str">
            <v>M01 M01</v>
          </cell>
          <cell r="F7078" t="str">
            <v>PD MRP</v>
          </cell>
          <cell r="G7078" t="str">
            <v>HALB Semifinished products</v>
          </cell>
          <cell r="H7078" t="str">
            <v>BF054     SABA HCL (MIX)</v>
          </cell>
          <cell r="I7078" t="str">
            <v>L003 Ankleshwar</v>
          </cell>
          <cell r="J7078" t="str">
            <v>08 Intermediates</v>
          </cell>
          <cell r="K7078" t="str">
            <v>10.2012</v>
          </cell>
          <cell r="L7078">
            <v>17.5</v>
          </cell>
          <cell r="M7078" t="str">
            <v>KG</v>
          </cell>
          <cell r="N7078">
            <v>60408.08</v>
          </cell>
          <cell r="O7078" t="str">
            <v>INR</v>
          </cell>
        </row>
        <row r="7079">
          <cell r="A7079" t="str">
            <v>L401 Ankleshwar II</v>
          </cell>
          <cell r="B7079">
            <v>305002</v>
          </cell>
          <cell r="C7079" t="str">
            <v>S-(+)-2 AMINO BUTYRIC ACID HYDROCHLORIDE</v>
          </cell>
          <cell r="D7079" t="str">
            <v>L401802                        RML2AB</v>
          </cell>
          <cell r="E7079" t="str">
            <v>M01 M01</v>
          </cell>
          <cell r="F7079" t="str">
            <v>PD MRP</v>
          </cell>
          <cell r="G7079" t="str">
            <v>HALB Semifinished products</v>
          </cell>
          <cell r="H7079" t="str">
            <v>BS311     SABA HCL (OLD ROUTE)</v>
          </cell>
          <cell r="I7079" t="str">
            <v>L003 Ankleshwar</v>
          </cell>
          <cell r="J7079" t="str">
            <v>08 Intermediates</v>
          </cell>
          <cell r="K7079" t="str">
            <v>10.2012</v>
          </cell>
          <cell r="L7079">
            <v>209</v>
          </cell>
          <cell r="M7079" t="str">
            <v>KG</v>
          </cell>
          <cell r="N7079">
            <v>947054.23999999894</v>
          </cell>
          <cell r="O7079" t="str">
            <v>INR</v>
          </cell>
        </row>
        <row r="7080">
          <cell r="A7080" t="str">
            <v>L401 Ankleshwar II</v>
          </cell>
          <cell r="B7080">
            <v>305275</v>
          </cell>
          <cell r="C7080" t="str">
            <v>RECOVERED TARTARIC ACID (NH4TA)</v>
          </cell>
          <cell r="D7080" t="str">
            <v>L401802                        RML2AB</v>
          </cell>
          <cell r="E7080" t="str">
            <v>099 099</v>
          </cell>
          <cell r="F7080" t="str">
            <v>PD MRP</v>
          </cell>
          <cell r="G7080" t="str">
            <v>HALB Semifinished products</v>
          </cell>
          <cell r="H7080" t="str">
            <v>BS142     Crystalization</v>
          </cell>
          <cell r="I7080" t="str">
            <v>L003 Ankleshwar</v>
          </cell>
          <cell r="J7080" t="str">
            <v>08 Intermediates</v>
          </cell>
          <cell r="K7080" t="str">
            <v>10.2012</v>
          </cell>
          <cell r="L7080">
            <v>3470</v>
          </cell>
          <cell r="M7080" t="str">
            <v>KG</v>
          </cell>
          <cell r="N7080">
            <v>211114.799999999</v>
          </cell>
          <cell r="O7080" t="str">
            <v>INR</v>
          </cell>
        </row>
        <row r="7081">
          <cell r="A7081" t="str">
            <v>L401 Ankleshwar II</v>
          </cell>
          <cell r="B7081">
            <v>309782</v>
          </cell>
          <cell r="C7081" t="str">
            <v>D2ABT Cake (Resolution)</v>
          </cell>
          <cell r="D7081" t="str">
            <v>L401S002                       Intermediate Syn</v>
          </cell>
          <cell r="E7081" t="str">
            <v>M01 M01</v>
          </cell>
          <cell r="F7081" t="str">
            <v>PD MRP</v>
          </cell>
          <cell r="G7081" t="str">
            <v>HALB Semifinished products</v>
          </cell>
          <cell r="H7081" t="str">
            <v>BS125     DL resolution</v>
          </cell>
          <cell r="I7081" t="str">
            <v>L003 Ankleshwar</v>
          </cell>
          <cell r="J7081" t="str">
            <v>08 Intermediates</v>
          </cell>
          <cell r="K7081" t="str">
            <v>10.2012</v>
          </cell>
          <cell r="L7081">
            <v>875</v>
          </cell>
          <cell r="M7081" t="str">
            <v>KG</v>
          </cell>
          <cell r="N7081">
            <v>606935</v>
          </cell>
          <cell r="O7081" t="str">
            <v>INR</v>
          </cell>
        </row>
        <row r="7082">
          <cell r="A7082" t="str">
            <v>L401 Ankleshwar II</v>
          </cell>
          <cell r="B7082">
            <v>309783</v>
          </cell>
          <cell r="C7082" t="str">
            <v>D2AB ML</v>
          </cell>
          <cell r="D7082" t="str">
            <v>L401S002                       Intermediate Syn</v>
          </cell>
          <cell r="E7082" t="str">
            <v>M01 M01</v>
          </cell>
          <cell r="F7082" t="str">
            <v>PD MRP</v>
          </cell>
          <cell r="G7082" t="str">
            <v>HALB Semifinished products</v>
          </cell>
          <cell r="H7082" t="str">
            <v>BS126     D2ABT cracking</v>
          </cell>
          <cell r="I7082" t="str">
            <v>L003 Ankleshwar</v>
          </cell>
          <cell r="J7082" t="str">
            <v>08 Intermediates</v>
          </cell>
          <cell r="K7082" t="str">
            <v>10.2012</v>
          </cell>
          <cell r="L7082">
            <v>3350</v>
          </cell>
          <cell r="M7082" t="str">
            <v>L</v>
          </cell>
          <cell r="N7082">
            <v>889894</v>
          </cell>
          <cell r="O7082" t="str">
            <v>INR</v>
          </cell>
        </row>
        <row r="7083">
          <cell r="A7083" t="str">
            <v>L401 Ankleshwar II</v>
          </cell>
          <cell r="B7083">
            <v>309784</v>
          </cell>
          <cell r="C7083" t="str">
            <v>D2AB Crude</v>
          </cell>
          <cell r="D7083" t="str">
            <v>L401S002                       Intermediate Syn</v>
          </cell>
          <cell r="E7083" t="str">
            <v>M01 M01</v>
          </cell>
          <cell r="F7083" t="str">
            <v>PD MRP</v>
          </cell>
          <cell r="G7083" t="str">
            <v>HALB Semifinished products</v>
          </cell>
          <cell r="H7083" t="str">
            <v>BS127     Crude D2AB</v>
          </cell>
          <cell r="I7083" t="str">
            <v>L003 Ankleshwar</v>
          </cell>
          <cell r="J7083" t="str">
            <v>08 Intermediates</v>
          </cell>
          <cell r="K7083" t="str">
            <v>10.2012</v>
          </cell>
          <cell r="L7083">
            <v>886</v>
          </cell>
          <cell r="M7083" t="str">
            <v>KG</v>
          </cell>
          <cell r="N7083">
            <v>1220199.2</v>
          </cell>
          <cell r="O7083" t="str">
            <v>INR</v>
          </cell>
        </row>
      </sheetData>
      <sheetData sheetId="2">
        <row r="6">
          <cell r="C6">
            <v>2272.5763107999965</v>
          </cell>
        </row>
      </sheetData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T notes_Temp"/>
      <sheetName val="QA_Index"/>
      <sheetName val="Version&amp;Issue_Log"/>
      <sheetName val="Update_Checklist"/>
      <sheetName val="DataSources"/>
      <sheetName val="QC_Checklist"/>
      <sheetName val="RAW1_NAEI GHG"/>
      <sheetName val="RAW2_DUKES Table 5.6"/>
      <sheetName val="RAW3_DUKES Table 5.1.2"/>
      <sheetName val="RAW4_DUKES Table 5A"/>
      <sheetName val="RAW5_GWP Factors"/>
      <sheetName val="RAW6_Benchmark Data"/>
      <sheetName val="RAW7_DUKES Autogen"/>
      <sheetName val="OtherAssumptions"/>
      <sheetName val="Calc1_UK_Elec"/>
      <sheetName val="Calc1a_OtherT_EF"/>
      <sheetName val="Calc2_UK_WTT_Elec"/>
      <sheetName val="MethodPaper"/>
      <sheetName val="LinkedInOutput"/>
      <sheetName val="Benchmark"/>
      <sheetName val="UK electricity"/>
      <sheetName val="Transmission and distribution"/>
      <sheetName val="WTT- UK &amp; overseas elec"/>
      <sheetName val="Conversions"/>
      <sheetName val="Verification-Validation"/>
      <sheetName val="Lookups"/>
      <sheetName val="GHG CF_UK Electricity_2018_MA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2E1B0A1-AB35-4270-B7BD-9B4654FE4C74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335DD-F9CF-4D46-96A7-27D1C1D8B7CA}">
  <dimension ref="A1:G17"/>
  <sheetViews>
    <sheetView workbookViewId="0"/>
  </sheetViews>
  <sheetFormatPr defaultRowHeight="15" x14ac:dyDescent="0.25"/>
  <cols>
    <col min="1" max="1" width="53.28515625" customWidth="1"/>
    <col min="2" max="2" width="8.85546875" bestFit="1" customWidth="1"/>
    <col min="3" max="7" width="10.28515625" bestFit="1" customWidth="1"/>
  </cols>
  <sheetData>
    <row r="1" spans="1:7" ht="18.75" x14ac:dyDescent="0.3">
      <c r="A1" s="115" t="s">
        <v>90</v>
      </c>
      <c r="B1" s="101"/>
      <c r="C1" s="101"/>
      <c r="D1" s="101"/>
      <c r="E1" s="101"/>
      <c r="F1" s="101"/>
      <c r="G1" s="101"/>
    </row>
    <row r="2" spans="1:7" ht="15.75" thickBot="1" x14ac:dyDescent="0.3"/>
    <row r="3" spans="1:7" x14ac:dyDescent="0.25">
      <c r="A3" s="138" t="s">
        <v>91</v>
      </c>
      <c r="B3" s="139" t="s">
        <v>92</v>
      </c>
      <c r="C3" s="140" t="s">
        <v>93</v>
      </c>
      <c r="D3" s="140" t="s">
        <v>94</v>
      </c>
      <c r="E3" s="140" t="s">
        <v>95</v>
      </c>
      <c r="F3" s="140" t="s">
        <v>96</v>
      </c>
      <c r="G3" s="141" t="s">
        <v>97</v>
      </c>
    </row>
    <row r="4" spans="1:7" ht="15.75" thickBot="1" x14ac:dyDescent="0.3">
      <c r="A4" s="147"/>
      <c r="B4" s="148"/>
      <c r="C4" s="149" t="s">
        <v>98</v>
      </c>
      <c r="D4" s="149" t="s">
        <v>98</v>
      </c>
      <c r="E4" s="149" t="s">
        <v>98</v>
      </c>
      <c r="F4" s="149" t="s">
        <v>98</v>
      </c>
      <c r="G4" s="150" t="s">
        <v>98</v>
      </c>
    </row>
    <row r="5" spans="1:7" x14ac:dyDescent="0.25">
      <c r="A5" s="142" t="s">
        <v>99</v>
      </c>
      <c r="B5" s="143" t="s">
        <v>100</v>
      </c>
      <c r="C5" s="144" t="e">
        <f>'Scope 1 Stationary Combustion'!#REF!</f>
        <v>#REF!</v>
      </c>
      <c r="D5" s="144" t="e">
        <f>'Scope 1 Stationary Combustion'!#REF!</f>
        <v>#REF!</v>
      </c>
      <c r="E5" s="145" t="s">
        <v>101</v>
      </c>
      <c r="F5" s="145" t="s">
        <v>101</v>
      </c>
      <c r="G5" s="146" t="s">
        <v>101</v>
      </c>
    </row>
    <row r="6" spans="1:7" x14ac:dyDescent="0.25">
      <c r="A6" s="122" t="s">
        <v>102</v>
      </c>
      <c r="B6" s="61" t="s">
        <v>100</v>
      </c>
      <c r="C6" s="116" t="e">
        <f>'Scope 1 Mobile Combustion'!#REF!</f>
        <v>#REF!</v>
      </c>
      <c r="D6" s="116" t="e">
        <f>'Scope 1 Mobile Combustion'!#REF!</f>
        <v>#REF!</v>
      </c>
      <c r="E6" s="116" t="e">
        <f>'Scope 1 Mobile Combustion'!#REF!</f>
        <v>#REF!</v>
      </c>
      <c r="F6" s="116" t="e">
        <f>'Scope 1 Mobile Combustion'!#REF!</f>
        <v>#REF!</v>
      </c>
      <c r="G6" s="125" t="e">
        <f>'Scope 1 Mobile Combustion'!#REF!</f>
        <v>#REF!</v>
      </c>
    </row>
    <row r="7" spans="1:7" x14ac:dyDescent="0.25">
      <c r="A7" s="122" t="s">
        <v>103</v>
      </c>
      <c r="B7" s="61" t="s">
        <v>100</v>
      </c>
      <c r="C7" s="116" t="e">
        <f>'Scope 1 Mobile Combustion'!#REF!</f>
        <v>#REF!</v>
      </c>
      <c r="D7" s="116" t="e">
        <f>'Scope 1 Mobile Combustion'!#REF!</f>
        <v>#REF!</v>
      </c>
      <c r="E7" s="116" t="e">
        <f>'Scope 1 Mobile Combustion'!#REF!</f>
        <v>#REF!</v>
      </c>
      <c r="F7" s="116" t="e">
        <f>'Scope 1 Mobile Combustion'!#REF!</f>
        <v>#REF!</v>
      </c>
      <c r="G7" s="125" t="e">
        <f>'Scope 1 Mobile Combustion'!#REF!</f>
        <v>#REF!</v>
      </c>
    </row>
    <row r="8" spans="1:7" x14ac:dyDescent="0.25">
      <c r="A8" s="123" t="s">
        <v>104</v>
      </c>
      <c r="B8" s="117" t="s">
        <v>100</v>
      </c>
      <c r="C8" s="118" t="e">
        <f>C6+C7</f>
        <v>#REF!</v>
      </c>
      <c r="D8" s="118" t="e">
        <f>D6+D7</f>
        <v>#REF!</v>
      </c>
      <c r="E8" s="118" t="e">
        <f>E6+E7</f>
        <v>#REF!</v>
      </c>
      <c r="F8" s="118" t="e">
        <f>F6+F7</f>
        <v>#REF!</v>
      </c>
      <c r="G8" s="126" t="e">
        <f>G6+G7</f>
        <v>#REF!</v>
      </c>
    </row>
    <row r="9" spans="1:7" x14ac:dyDescent="0.25">
      <c r="A9" s="122" t="s">
        <v>105</v>
      </c>
      <c r="B9" s="61" t="s">
        <v>100</v>
      </c>
      <c r="C9" s="116" t="e">
        <f>'Scope 1 Fugitive Emissions'!#REF!</f>
        <v>#REF!</v>
      </c>
      <c r="D9" s="116" t="e">
        <f>'Scope 1 Fugitive Emissions'!#REF!</f>
        <v>#REF!</v>
      </c>
      <c r="E9" s="116">
        <f>'Scope 1 Fugitive Emissions'!K56</f>
        <v>2471.931</v>
      </c>
      <c r="F9" s="116">
        <f>'Scope 1 Fugitive Emissions'!K18</f>
        <v>2741.7780000000002</v>
      </c>
      <c r="G9" s="125">
        <f>'Scope 1 Fugitive Emissions'!K37</f>
        <v>2923.3286399999997</v>
      </c>
    </row>
    <row r="10" spans="1:7" x14ac:dyDescent="0.25">
      <c r="A10" s="122" t="s">
        <v>106</v>
      </c>
      <c r="B10" s="61" t="s">
        <v>100</v>
      </c>
      <c r="C10" s="116" t="e">
        <f>'Scope 1 Fugitive Emissions'!#REF!-'Scope 1 Fugitive Emissions'!#REF!</f>
        <v>#REF!</v>
      </c>
      <c r="D10" s="116" t="e">
        <f>'Scope 1 Fugitive Emissions'!#REF!-'Scope 1 Fugitive Emissions'!#REF!</f>
        <v>#REF!</v>
      </c>
      <c r="E10" s="116">
        <f>('Scope 1 Fugitive Emissions'!M56*2+'Scope 1 Fugitive Emissions'!N56*4.5+'Scope 1 Fugitive Emissions'!O56*9+'Scope 1 Fugitive Emissions'!P56*22.5+'Scope 1 Fugitive Emissions'!Q56*6+'Scope 1 Fugitive Emissions'!R56*3+'Scope 1 Fugitive Emissions'!S56*1+'Scope 1 Fugitive Emissions'!T56*2.5)/1000</f>
        <v>1.51</v>
      </c>
      <c r="F10" s="116">
        <f>SUM('Scope 1 Fugitive Emissions'!M19:T19)</f>
        <v>0.36300000000000004</v>
      </c>
      <c r="G10" s="127" t="s">
        <v>101</v>
      </c>
    </row>
    <row r="11" spans="1:7" x14ac:dyDescent="0.25">
      <c r="A11" s="123" t="s">
        <v>107</v>
      </c>
      <c r="B11" s="117" t="s">
        <v>100</v>
      </c>
      <c r="C11" s="118" t="e">
        <f>C9+C10</f>
        <v>#REF!</v>
      </c>
      <c r="D11" s="118" t="e">
        <f>D9+D10</f>
        <v>#REF!</v>
      </c>
      <c r="E11" s="118">
        <f>E9+E10</f>
        <v>2473.4410000000003</v>
      </c>
      <c r="F11" s="118">
        <f>F9+F10</f>
        <v>2742.1410000000001</v>
      </c>
      <c r="G11" s="128">
        <f>G9</f>
        <v>2923.3286399999997</v>
      </c>
    </row>
    <row r="12" spans="1:7" ht="15.75" thickBot="1" x14ac:dyDescent="0.3">
      <c r="A12" s="130"/>
      <c r="B12" s="103"/>
      <c r="C12" s="103"/>
      <c r="D12" s="103"/>
      <c r="E12" s="103"/>
      <c r="F12" s="103"/>
      <c r="G12" s="131"/>
    </row>
    <row r="13" spans="1:7" ht="16.5" thickBot="1" x14ac:dyDescent="0.3">
      <c r="A13" s="134" t="s">
        <v>108</v>
      </c>
      <c r="B13" s="135"/>
      <c r="C13" s="136" t="e">
        <f>C5+C8+C11</f>
        <v>#REF!</v>
      </c>
      <c r="D13" s="136" t="e">
        <f>D5+D8+D11</f>
        <v>#REF!</v>
      </c>
      <c r="E13" s="136" t="e">
        <f>E8+E11</f>
        <v>#REF!</v>
      </c>
      <c r="F13" s="136" t="e">
        <f>F8+F11</f>
        <v>#REF!</v>
      </c>
      <c r="G13" s="137" t="e">
        <f>G8+G11</f>
        <v>#REF!</v>
      </c>
    </row>
    <row r="14" spans="1:7" x14ac:dyDescent="0.25">
      <c r="A14" s="132"/>
      <c r="B14" s="104"/>
      <c r="C14" s="104"/>
      <c r="D14" s="104"/>
      <c r="E14" s="104"/>
      <c r="F14" s="104"/>
      <c r="G14" s="133"/>
    </row>
    <row r="15" spans="1:7" ht="15.75" thickBot="1" x14ac:dyDescent="0.3">
      <c r="A15" s="124" t="s">
        <v>109</v>
      </c>
      <c r="B15" s="119" t="s">
        <v>110</v>
      </c>
      <c r="C15" s="120" t="e">
        <f>'Scope 1 Stationary Combustion'!#REF!</f>
        <v>#REF!</v>
      </c>
      <c r="D15" s="120" t="e">
        <f>'Scope 1 Stationary Combustion'!#REF!</f>
        <v>#REF!</v>
      </c>
      <c r="E15" s="121" t="s">
        <v>101</v>
      </c>
      <c r="F15" s="121" t="s">
        <v>101</v>
      </c>
      <c r="G15" s="129" t="s">
        <v>101</v>
      </c>
    </row>
    <row r="17" spans="1:2" x14ac:dyDescent="0.25">
      <c r="A17" s="151" t="s">
        <v>111</v>
      </c>
      <c r="B17" s="152" t="s">
        <v>112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B9FB7-80E6-439D-80F6-4E9F31A9A736}">
  <sheetPr>
    <tabColor theme="9"/>
  </sheetPr>
  <dimension ref="B2:W18"/>
  <sheetViews>
    <sheetView showGridLines="0" topLeftCell="F1" zoomScale="70" zoomScaleNormal="70" workbookViewId="0">
      <selection activeCell="A20" sqref="A20:XFD45"/>
    </sheetView>
  </sheetViews>
  <sheetFormatPr defaultRowHeight="15" x14ac:dyDescent="0.25"/>
  <cols>
    <col min="2" max="2" width="21.42578125" customWidth="1"/>
    <col min="3" max="3" width="11.7109375" bestFit="1" customWidth="1"/>
    <col min="4" max="4" width="17.7109375" bestFit="1" customWidth="1"/>
    <col min="5" max="5" width="15.42578125" customWidth="1"/>
    <col min="6" max="6" width="19.140625" bestFit="1" customWidth="1"/>
    <col min="7" max="7" width="16.85546875" customWidth="1"/>
    <col min="8" max="8" width="10.7109375" bestFit="1" customWidth="1"/>
    <col min="9" max="9" width="13.140625" customWidth="1"/>
    <col min="10" max="12" width="13" customWidth="1"/>
    <col min="14" max="14" width="40" customWidth="1"/>
    <col min="15" max="15" width="10.7109375" bestFit="1" customWidth="1"/>
    <col min="16" max="16" width="16.140625" bestFit="1" customWidth="1"/>
    <col min="17" max="17" width="10.7109375" bestFit="1" customWidth="1"/>
    <col min="18" max="18" width="17" bestFit="1" customWidth="1"/>
    <col min="19" max="20" width="10.7109375" bestFit="1" customWidth="1"/>
    <col min="21" max="21" width="11.28515625" bestFit="1" customWidth="1"/>
    <col min="22" max="23" width="13.28515625" bestFit="1" customWidth="1"/>
    <col min="24" max="25" width="19" customWidth="1"/>
  </cols>
  <sheetData>
    <row r="2" spans="2:23" x14ac:dyDescent="0.25">
      <c r="B2" s="1" t="s">
        <v>0</v>
      </c>
      <c r="C2" s="10"/>
      <c r="N2" s="105" t="s">
        <v>0</v>
      </c>
      <c r="O2" s="10"/>
      <c r="U2" s="153" t="s">
        <v>1</v>
      </c>
      <c r="V2" s="153"/>
      <c r="W2" s="153"/>
    </row>
    <row r="3" spans="2:23" ht="15.75" x14ac:dyDescent="0.25">
      <c r="B3" s="3"/>
      <c r="C3" s="4" t="s">
        <v>19</v>
      </c>
      <c r="D3" s="4" t="s">
        <v>19</v>
      </c>
      <c r="E3" s="4" t="s">
        <v>19</v>
      </c>
      <c r="F3" s="4" t="s">
        <v>19</v>
      </c>
      <c r="G3" s="4" t="s">
        <v>19</v>
      </c>
      <c r="H3" s="4" t="s">
        <v>19</v>
      </c>
      <c r="I3" s="4" t="s">
        <v>19</v>
      </c>
      <c r="J3" s="4" t="s">
        <v>19</v>
      </c>
      <c r="K3" s="110"/>
      <c r="L3" s="110"/>
      <c r="N3" s="106"/>
      <c r="O3" s="4" t="s">
        <v>2</v>
      </c>
      <c r="P3" s="4" t="s">
        <v>2</v>
      </c>
      <c r="Q3" s="4" t="s">
        <v>2</v>
      </c>
      <c r="R3" s="4" t="s">
        <v>2</v>
      </c>
      <c r="S3" s="4" t="s">
        <v>2</v>
      </c>
      <c r="T3" s="4" t="s">
        <v>2</v>
      </c>
      <c r="U3" s="4" t="s">
        <v>2</v>
      </c>
      <c r="V3" s="4" t="s">
        <v>2</v>
      </c>
      <c r="W3" s="4" t="s">
        <v>2</v>
      </c>
    </row>
    <row r="4" spans="2:23" x14ac:dyDescent="0.25">
      <c r="B4" s="2"/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  <c r="I4" s="5" t="s">
        <v>3</v>
      </c>
      <c r="J4" s="5" t="s">
        <v>4</v>
      </c>
      <c r="K4" s="111"/>
      <c r="L4" s="111"/>
      <c r="N4" s="107"/>
      <c r="O4" s="5" t="s">
        <v>20</v>
      </c>
      <c r="P4" s="5" t="s">
        <v>21</v>
      </c>
      <c r="Q4" s="5" t="s">
        <v>22</v>
      </c>
      <c r="R4" s="5" t="s">
        <v>23</v>
      </c>
      <c r="S4" s="5" t="s">
        <v>24</v>
      </c>
      <c r="T4" s="5" t="s">
        <v>25</v>
      </c>
      <c r="U4" s="5" t="s">
        <v>3</v>
      </c>
      <c r="V4" s="5" t="s">
        <v>4</v>
      </c>
      <c r="W4" s="5" t="s">
        <v>5</v>
      </c>
    </row>
    <row r="5" spans="2:23" x14ac:dyDescent="0.25">
      <c r="B5" s="2"/>
      <c r="C5" s="2"/>
      <c r="D5" s="2"/>
      <c r="E5" s="2"/>
      <c r="F5" s="2"/>
      <c r="G5" s="2"/>
      <c r="H5" s="2"/>
      <c r="I5" s="2"/>
      <c r="J5" s="2"/>
      <c r="K5" s="18"/>
      <c r="L5" s="18"/>
      <c r="N5" s="107"/>
      <c r="O5" s="2"/>
      <c r="P5" s="2"/>
      <c r="Q5" s="2"/>
      <c r="R5" s="11"/>
      <c r="S5" s="11"/>
      <c r="T5" s="2"/>
      <c r="U5" s="11"/>
      <c r="V5" s="11"/>
      <c r="W5" s="2"/>
    </row>
    <row r="6" spans="2:23" x14ac:dyDescent="0.25">
      <c r="B6" s="6" t="s">
        <v>6</v>
      </c>
      <c r="C6" s="9">
        <v>150.35300000000001</v>
      </c>
      <c r="D6" s="9">
        <v>0</v>
      </c>
      <c r="E6" s="9">
        <v>0</v>
      </c>
      <c r="F6" s="12">
        <v>0</v>
      </c>
      <c r="G6" s="12">
        <v>59158</v>
      </c>
      <c r="H6" s="12">
        <v>578.78</v>
      </c>
      <c r="I6" s="12">
        <v>0</v>
      </c>
      <c r="J6" s="12">
        <v>0</v>
      </c>
      <c r="K6" s="112"/>
      <c r="L6" s="112"/>
      <c r="N6" s="108" t="s">
        <v>6</v>
      </c>
      <c r="O6" s="13">
        <v>222.93799999999999</v>
      </c>
      <c r="P6" s="13">
        <v>0</v>
      </c>
      <c r="Q6" s="13">
        <v>0</v>
      </c>
      <c r="R6" s="14">
        <v>0</v>
      </c>
      <c r="S6" s="14">
        <v>16944</v>
      </c>
      <c r="T6" s="7">
        <v>477.43599999999998</v>
      </c>
      <c r="U6" s="14">
        <v>0</v>
      </c>
      <c r="V6" s="14">
        <v>0</v>
      </c>
      <c r="W6" s="7">
        <v>699725</v>
      </c>
    </row>
    <row r="7" spans="2:23" x14ac:dyDescent="0.25">
      <c r="B7" s="8" t="s">
        <v>7</v>
      </c>
      <c r="C7" s="12">
        <v>319.012</v>
      </c>
      <c r="D7" s="9">
        <v>0</v>
      </c>
      <c r="E7" s="9">
        <v>0</v>
      </c>
      <c r="F7" s="12">
        <v>6070.85</v>
      </c>
      <c r="G7" s="12">
        <v>0</v>
      </c>
      <c r="H7" s="12">
        <v>1140.77</v>
      </c>
      <c r="I7" s="12">
        <v>0</v>
      </c>
      <c r="J7" s="12">
        <v>0</v>
      </c>
      <c r="K7" s="112"/>
      <c r="L7" s="112"/>
      <c r="N7" s="109" t="s">
        <v>7</v>
      </c>
      <c r="O7" s="7">
        <v>380.17099999999999</v>
      </c>
      <c r="P7" s="13">
        <v>0</v>
      </c>
      <c r="Q7" s="13">
        <v>0</v>
      </c>
      <c r="R7" s="14">
        <v>1387517.26</v>
      </c>
      <c r="S7" s="14">
        <v>0</v>
      </c>
      <c r="T7" s="7">
        <v>120.45699999999999</v>
      </c>
      <c r="U7" s="14">
        <v>0</v>
      </c>
      <c r="V7" s="14">
        <v>0</v>
      </c>
      <c r="W7" s="7">
        <v>0</v>
      </c>
    </row>
    <row r="8" spans="2:23" x14ac:dyDescent="0.25">
      <c r="B8" s="6" t="s">
        <v>8</v>
      </c>
      <c r="C8" s="9">
        <v>30.707999999999998</v>
      </c>
      <c r="D8" s="9">
        <v>934.00599999999997</v>
      </c>
      <c r="E8" s="9">
        <v>0</v>
      </c>
      <c r="F8" s="12">
        <v>0</v>
      </c>
      <c r="G8" s="12">
        <v>0</v>
      </c>
      <c r="H8" s="12">
        <v>0</v>
      </c>
      <c r="I8" s="12">
        <v>0</v>
      </c>
      <c r="J8" s="12">
        <v>0</v>
      </c>
      <c r="K8" s="112"/>
      <c r="L8" s="112"/>
      <c r="N8" s="108" t="s">
        <v>8</v>
      </c>
      <c r="O8" s="13">
        <v>29.88</v>
      </c>
      <c r="P8" s="13">
        <v>1000.49</v>
      </c>
      <c r="Q8" s="13">
        <v>0</v>
      </c>
      <c r="R8" s="14">
        <v>0</v>
      </c>
      <c r="S8" s="14">
        <v>0</v>
      </c>
      <c r="T8" s="7">
        <v>0</v>
      </c>
      <c r="U8" s="14">
        <v>0</v>
      </c>
      <c r="V8" s="14">
        <v>0</v>
      </c>
      <c r="W8" s="7">
        <v>0</v>
      </c>
    </row>
    <row r="9" spans="2:23" x14ac:dyDescent="0.25">
      <c r="B9" s="6" t="s">
        <v>9</v>
      </c>
      <c r="C9" s="9">
        <v>7.18</v>
      </c>
      <c r="D9" s="9">
        <v>0</v>
      </c>
      <c r="E9" s="12">
        <v>0</v>
      </c>
      <c r="F9" s="12">
        <v>0</v>
      </c>
      <c r="G9" s="12">
        <v>0</v>
      </c>
      <c r="H9" s="12">
        <v>0</v>
      </c>
      <c r="I9" s="12">
        <v>0</v>
      </c>
      <c r="J9" s="12">
        <v>86.757999999999996</v>
      </c>
      <c r="K9" s="112"/>
      <c r="L9" s="112"/>
      <c r="N9" s="108" t="s">
        <v>9</v>
      </c>
      <c r="O9" s="13">
        <v>33.799999999999997</v>
      </c>
      <c r="P9" s="13">
        <v>0</v>
      </c>
      <c r="Q9" s="7">
        <v>0</v>
      </c>
      <c r="R9" s="14">
        <v>0</v>
      </c>
      <c r="S9" s="14">
        <v>0</v>
      </c>
      <c r="T9" s="7">
        <v>0</v>
      </c>
      <c r="U9" s="14">
        <v>0</v>
      </c>
      <c r="V9" s="14">
        <v>99.296000000000006</v>
      </c>
      <c r="W9" s="7">
        <v>0</v>
      </c>
    </row>
    <row r="10" spans="2:23" x14ac:dyDescent="0.25">
      <c r="B10" s="6" t="s">
        <v>10</v>
      </c>
      <c r="C10" s="9">
        <v>23.004999999999999</v>
      </c>
      <c r="D10" s="9">
        <v>0</v>
      </c>
      <c r="E10" s="12">
        <v>0</v>
      </c>
      <c r="F10" s="12">
        <v>0</v>
      </c>
      <c r="G10" s="12">
        <v>57466.228999999999</v>
      </c>
      <c r="H10" s="12">
        <v>0</v>
      </c>
      <c r="I10" s="12">
        <v>0</v>
      </c>
      <c r="J10" s="12">
        <v>0</v>
      </c>
      <c r="K10" s="112"/>
      <c r="L10" s="112"/>
      <c r="N10" s="108" t="s">
        <v>10</v>
      </c>
      <c r="O10" s="13">
        <v>24.553999999999998</v>
      </c>
      <c r="P10" s="13">
        <v>0</v>
      </c>
      <c r="Q10" s="7">
        <v>0</v>
      </c>
      <c r="R10" s="14">
        <v>0</v>
      </c>
      <c r="S10" s="14">
        <v>35138.769999999997</v>
      </c>
      <c r="T10" s="7">
        <v>0</v>
      </c>
      <c r="U10" s="14">
        <v>0</v>
      </c>
      <c r="V10" s="14">
        <v>0</v>
      </c>
      <c r="W10" s="7">
        <v>0</v>
      </c>
    </row>
    <row r="11" spans="2:23" x14ac:dyDescent="0.25">
      <c r="B11" s="6" t="s">
        <v>11</v>
      </c>
      <c r="C11" s="9">
        <v>57.701999999999998</v>
      </c>
      <c r="D11" s="9">
        <v>0</v>
      </c>
      <c r="E11" s="12">
        <v>201.756</v>
      </c>
      <c r="F11" s="12">
        <v>0</v>
      </c>
      <c r="G11" s="12">
        <v>0</v>
      </c>
      <c r="H11" s="12">
        <v>0</v>
      </c>
      <c r="I11" s="12">
        <v>0</v>
      </c>
      <c r="J11" s="12">
        <v>0</v>
      </c>
      <c r="K11" s="112"/>
      <c r="L11" s="112"/>
      <c r="N11" s="108" t="s">
        <v>11</v>
      </c>
      <c r="O11" s="13">
        <v>65.12</v>
      </c>
      <c r="P11" s="13">
        <v>0</v>
      </c>
      <c r="Q11" s="7">
        <v>191.33600000000001</v>
      </c>
      <c r="R11" s="14">
        <v>0</v>
      </c>
      <c r="S11" s="14">
        <v>0</v>
      </c>
      <c r="T11" s="7">
        <v>0</v>
      </c>
      <c r="U11" s="14">
        <v>0</v>
      </c>
      <c r="V11" s="14">
        <v>0</v>
      </c>
      <c r="W11" s="7">
        <v>0</v>
      </c>
    </row>
    <row r="12" spans="2:23" x14ac:dyDescent="0.25">
      <c r="B12" s="6" t="s">
        <v>12</v>
      </c>
      <c r="C12" s="9">
        <v>2.2000000000000002</v>
      </c>
      <c r="D12" s="9">
        <v>0</v>
      </c>
      <c r="E12" s="12">
        <v>0</v>
      </c>
      <c r="F12" s="12"/>
      <c r="G12" s="12"/>
      <c r="H12" s="12"/>
      <c r="I12" s="12"/>
      <c r="J12" s="12"/>
      <c r="K12" s="112"/>
      <c r="L12" s="112"/>
      <c r="N12" s="108" t="s">
        <v>12</v>
      </c>
      <c r="O12" s="13">
        <v>7.9950000000000001</v>
      </c>
      <c r="P12" s="13">
        <v>0</v>
      </c>
      <c r="Q12" s="7">
        <v>0</v>
      </c>
      <c r="R12" s="14">
        <v>0</v>
      </c>
      <c r="S12" s="14">
        <v>0</v>
      </c>
      <c r="T12" s="7">
        <v>0</v>
      </c>
      <c r="U12" s="14">
        <v>0</v>
      </c>
      <c r="V12" s="14">
        <v>0</v>
      </c>
      <c r="W12" s="7">
        <v>0</v>
      </c>
    </row>
    <row r="13" spans="2:23" x14ac:dyDescent="0.25">
      <c r="B13" s="6" t="s">
        <v>13</v>
      </c>
      <c r="C13" s="9">
        <v>27.07</v>
      </c>
      <c r="D13" s="9">
        <v>0</v>
      </c>
      <c r="E13" s="9">
        <v>0</v>
      </c>
      <c r="F13" s="12">
        <v>0</v>
      </c>
      <c r="G13" s="12">
        <v>0</v>
      </c>
      <c r="H13" s="12">
        <v>0</v>
      </c>
      <c r="I13" s="12">
        <v>290.27</v>
      </c>
      <c r="J13" s="12">
        <v>0</v>
      </c>
      <c r="K13" s="112"/>
      <c r="L13" s="112"/>
      <c r="N13" s="108" t="s">
        <v>13</v>
      </c>
      <c r="O13" s="13">
        <v>81.067999999999998</v>
      </c>
      <c r="P13" s="13">
        <v>0</v>
      </c>
      <c r="Q13" s="13">
        <v>0</v>
      </c>
      <c r="R13" s="14">
        <v>0</v>
      </c>
      <c r="S13" s="14">
        <v>0</v>
      </c>
      <c r="T13" s="7">
        <v>0</v>
      </c>
      <c r="U13" s="14">
        <v>587.76</v>
      </c>
      <c r="V13" s="14">
        <v>0</v>
      </c>
      <c r="W13" s="7">
        <v>0</v>
      </c>
    </row>
    <row r="14" spans="2:23" x14ac:dyDescent="0.25">
      <c r="B14" s="6" t="s">
        <v>14</v>
      </c>
      <c r="C14" s="9">
        <v>6.1646200000000002</v>
      </c>
      <c r="D14" s="9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12"/>
      <c r="L14" s="112"/>
      <c r="N14" s="108" t="s">
        <v>14</v>
      </c>
      <c r="O14" s="13">
        <v>3.3028</v>
      </c>
      <c r="P14" s="13">
        <v>0</v>
      </c>
      <c r="Q14" s="7">
        <v>0</v>
      </c>
      <c r="R14" s="14">
        <v>0</v>
      </c>
      <c r="S14" s="14">
        <v>0</v>
      </c>
      <c r="T14" s="7">
        <v>0</v>
      </c>
      <c r="U14" s="14">
        <v>0</v>
      </c>
      <c r="V14" s="14">
        <v>0</v>
      </c>
      <c r="W14" s="7">
        <v>0</v>
      </c>
    </row>
    <row r="15" spans="2:23" x14ac:dyDescent="0.25">
      <c r="B15" s="6" t="s">
        <v>15</v>
      </c>
      <c r="C15" s="9">
        <v>3.9039999999999999</v>
      </c>
      <c r="D15" s="9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12"/>
      <c r="L15" s="112"/>
      <c r="N15" s="108" t="s">
        <v>15</v>
      </c>
      <c r="O15" s="13">
        <v>5.1059999999999999</v>
      </c>
      <c r="P15" s="13">
        <v>0</v>
      </c>
      <c r="Q15" s="7">
        <v>0</v>
      </c>
      <c r="R15" s="14">
        <v>0</v>
      </c>
      <c r="S15" s="14">
        <v>0</v>
      </c>
      <c r="T15" s="7">
        <v>0</v>
      </c>
      <c r="U15" s="14">
        <v>0</v>
      </c>
      <c r="V15" s="14">
        <v>0</v>
      </c>
      <c r="W15" s="7">
        <v>0</v>
      </c>
    </row>
    <row r="16" spans="2:23" x14ac:dyDescent="0.25">
      <c r="B16" s="6" t="s">
        <v>16</v>
      </c>
      <c r="C16" s="9">
        <v>30.286999999999999</v>
      </c>
      <c r="D16" s="9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12"/>
      <c r="L16" s="112"/>
      <c r="N16" s="108" t="s">
        <v>16</v>
      </c>
      <c r="O16" s="13">
        <v>19.498999999999999</v>
      </c>
      <c r="P16" s="13">
        <v>0</v>
      </c>
      <c r="Q16" s="7">
        <v>0</v>
      </c>
      <c r="R16" s="14">
        <v>0</v>
      </c>
      <c r="S16" s="14">
        <v>0</v>
      </c>
      <c r="T16" s="7">
        <v>0</v>
      </c>
      <c r="U16" s="14">
        <v>0</v>
      </c>
      <c r="V16" s="14">
        <v>0</v>
      </c>
      <c r="W16" s="7">
        <v>0</v>
      </c>
    </row>
    <row r="17" spans="2:23" x14ac:dyDescent="0.25">
      <c r="B17" s="6" t="s">
        <v>17</v>
      </c>
      <c r="C17" s="9">
        <v>0</v>
      </c>
      <c r="D17" s="15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12"/>
      <c r="L17" s="112"/>
      <c r="N17" s="108" t="s">
        <v>17</v>
      </c>
      <c r="O17" s="13">
        <v>0</v>
      </c>
      <c r="P17" s="16">
        <v>0</v>
      </c>
      <c r="Q17" s="7">
        <v>0</v>
      </c>
      <c r="R17" s="14">
        <v>0</v>
      </c>
      <c r="S17" s="14">
        <v>0</v>
      </c>
      <c r="T17" s="7">
        <v>0</v>
      </c>
      <c r="U17" s="14">
        <v>0</v>
      </c>
      <c r="V17" s="14">
        <v>0</v>
      </c>
      <c r="W17" s="7">
        <v>0</v>
      </c>
    </row>
    <row r="18" spans="2:23" x14ac:dyDescent="0.25">
      <c r="B18" s="6" t="s">
        <v>18</v>
      </c>
      <c r="C18" s="9">
        <f>SUM(C6:C17)</f>
        <v>657.58562000000018</v>
      </c>
      <c r="D18" s="9">
        <f t="shared" ref="D18:J18" si="0">SUM(D6:D17)</f>
        <v>934.00599999999997</v>
      </c>
      <c r="E18" s="9">
        <f t="shared" si="0"/>
        <v>201.756</v>
      </c>
      <c r="F18" s="9">
        <f t="shared" si="0"/>
        <v>6070.85</v>
      </c>
      <c r="G18" s="9">
        <f t="shared" si="0"/>
        <v>116624.22899999999</v>
      </c>
      <c r="H18" s="9">
        <f t="shared" si="0"/>
        <v>1719.55</v>
      </c>
      <c r="I18" s="9">
        <f t="shared" si="0"/>
        <v>290.27</v>
      </c>
      <c r="J18" s="9">
        <f t="shared" si="0"/>
        <v>86.757999999999996</v>
      </c>
      <c r="K18" s="113"/>
      <c r="L18" s="113"/>
      <c r="N18" s="108" t="s">
        <v>18</v>
      </c>
      <c r="O18" s="9">
        <f>SUM(O6:O17)</f>
        <v>873.43379999999991</v>
      </c>
      <c r="P18" s="9">
        <f t="shared" ref="P18:W18" si="1">SUM(P6:P17)</f>
        <v>1000.49</v>
      </c>
      <c r="Q18" s="9">
        <f t="shared" si="1"/>
        <v>191.33600000000001</v>
      </c>
      <c r="R18" s="17">
        <f t="shared" si="1"/>
        <v>1387517.26</v>
      </c>
      <c r="S18" s="17">
        <f t="shared" si="1"/>
        <v>52082.77</v>
      </c>
      <c r="T18" s="9">
        <f t="shared" si="1"/>
        <v>597.89300000000003</v>
      </c>
      <c r="U18" s="17">
        <f t="shared" si="1"/>
        <v>587.76</v>
      </c>
      <c r="V18" s="17">
        <f t="shared" si="1"/>
        <v>99.296000000000006</v>
      </c>
      <c r="W18" s="9">
        <f t="shared" si="1"/>
        <v>699725</v>
      </c>
    </row>
  </sheetData>
  <mergeCells count="1">
    <mergeCell ref="U2:W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6C17-47A2-412A-8125-BC0D30BE5CAB}">
  <sheetPr>
    <tabColor rgb="FF92D050"/>
  </sheetPr>
  <dimension ref="A1:AI21"/>
  <sheetViews>
    <sheetView topLeftCell="L1" zoomScale="70" zoomScaleNormal="70" workbookViewId="0">
      <selection activeCell="N1" sqref="N1:P1048576"/>
    </sheetView>
  </sheetViews>
  <sheetFormatPr defaultRowHeight="15" x14ac:dyDescent="0.25"/>
  <cols>
    <col min="1" max="1" width="11" bestFit="1" customWidth="1"/>
    <col min="2" max="2" width="20" bestFit="1" customWidth="1"/>
    <col min="3" max="8" width="20" customWidth="1"/>
    <col min="9" max="10" width="12.85546875" customWidth="1"/>
    <col min="14" max="14" width="17.140625" bestFit="1" customWidth="1"/>
    <col min="16" max="16" width="101.42578125" bestFit="1" customWidth="1"/>
    <col min="17" max="17" width="9" bestFit="1" customWidth="1"/>
    <col min="18" max="18" width="11.140625" bestFit="1" customWidth="1"/>
    <col min="19" max="19" width="10.85546875" bestFit="1" customWidth="1"/>
    <col min="21" max="21" width="101.42578125" bestFit="1" customWidth="1"/>
    <col min="22" max="22" width="9.7109375" bestFit="1" customWidth="1"/>
    <col min="23" max="23" width="10.85546875" bestFit="1" customWidth="1"/>
    <col min="24" max="24" width="11.140625" bestFit="1" customWidth="1"/>
    <col min="26" max="26" width="100.5703125" bestFit="1" customWidth="1"/>
    <col min="27" max="27" width="9.7109375" bestFit="1" customWidth="1"/>
    <col min="28" max="28" width="10.140625" bestFit="1" customWidth="1"/>
    <col min="29" max="29" width="11.42578125" bestFit="1" customWidth="1"/>
    <col min="31" max="31" width="100.5703125" bestFit="1" customWidth="1"/>
    <col min="33" max="33" width="10.5703125" bestFit="1" customWidth="1"/>
    <col min="34" max="34" width="10.85546875" bestFit="1" customWidth="1"/>
  </cols>
  <sheetData>
    <row r="1" spans="1:35" ht="15.75" thickBot="1" x14ac:dyDescent="0.3">
      <c r="B1" s="10" t="s">
        <v>26</v>
      </c>
      <c r="C1" s="10"/>
      <c r="D1" s="10"/>
      <c r="E1" s="10"/>
      <c r="F1" s="10"/>
      <c r="G1" s="10"/>
      <c r="H1" s="10"/>
    </row>
    <row r="2" spans="1:35" ht="16.5" thickBot="1" x14ac:dyDescent="0.3">
      <c r="B2" s="20"/>
      <c r="C2" s="154" t="s">
        <v>27</v>
      </c>
      <c r="D2" s="155"/>
      <c r="E2" s="154" t="s">
        <v>28</v>
      </c>
      <c r="F2" s="155"/>
      <c r="G2" s="154" t="s">
        <v>29</v>
      </c>
      <c r="H2" s="155"/>
      <c r="I2" s="154" t="s">
        <v>30</v>
      </c>
      <c r="J2" s="155"/>
      <c r="K2" s="156" t="s">
        <v>31</v>
      </c>
      <c r="L2" s="157"/>
    </row>
    <row r="3" spans="1:35" x14ac:dyDescent="0.25">
      <c r="B3" s="21"/>
      <c r="C3" s="22" t="s">
        <v>20</v>
      </c>
      <c r="D3" s="22" t="s">
        <v>32</v>
      </c>
      <c r="E3" s="22" t="s">
        <v>20</v>
      </c>
      <c r="F3" s="22" t="s">
        <v>32</v>
      </c>
      <c r="G3" s="22" t="s">
        <v>20</v>
      </c>
      <c r="H3" s="22" t="s">
        <v>32</v>
      </c>
      <c r="I3" s="22" t="s">
        <v>20</v>
      </c>
      <c r="J3" s="22" t="s">
        <v>32</v>
      </c>
      <c r="K3" s="23" t="s">
        <v>20</v>
      </c>
      <c r="L3" s="23" t="s">
        <v>32</v>
      </c>
    </row>
    <row r="4" spans="1:35" x14ac:dyDescent="0.25">
      <c r="B4" s="21"/>
      <c r="C4" s="21"/>
      <c r="D4" s="21"/>
      <c r="E4" s="21"/>
      <c r="F4" s="21"/>
      <c r="G4" s="21" t="s">
        <v>33</v>
      </c>
      <c r="H4" s="21" t="s">
        <v>33</v>
      </c>
      <c r="I4" s="21" t="s">
        <v>33</v>
      </c>
      <c r="J4" s="21" t="s">
        <v>33</v>
      </c>
      <c r="K4" s="24" t="s">
        <v>33</v>
      </c>
      <c r="L4" s="24" t="s">
        <v>33</v>
      </c>
    </row>
    <row r="5" spans="1:35" x14ac:dyDescent="0.25">
      <c r="A5" t="s">
        <v>34</v>
      </c>
      <c r="B5" s="25" t="s">
        <v>6</v>
      </c>
      <c r="C5" s="25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6">
        <v>0</v>
      </c>
      <c r="J5" s="26">
        <v>0</v>
      </c>
      <c r="K5" s="27"/>
      <c r="L5" s="27"/>
    </row>
    <row r="6" spans="1:35" x14ac:dyDescent="0.25">
      <c r="A6" t="s">
        <v>34</v>
      </c>
      <c r="B6" s="28" t="s">
        <v>7</v>
      </c>
      <c r="C6" s="28">
        <v>0.94799999999999995</v>
      </c>
      <c r="D6" s="28">
        <v>0.10650999999999999</v>
      </c>
      <c r="E6" s="28">
        <v>0.80676000000000003</v>
      </c>
      <c r="F6" s="28">
        <v>6.1559999999999997E-2</v>
      </c>
      <c r="G6" s="28">
        <v>1.1579999999999999</v>
      </c>
      <c r="H6" s="28">
        <v>0.11799999999999999</v>
      </c>
      <c r="I6" s="26">
        <v>0.442</v>
      </c>
      <c r="J6" s="26">
        <v>0.27500000000000002</v>
      </c>
      <c r="K6" s="27">
        <v>0.19</v>
      </c>
      <c r="L6" s="27">
        <v>0.25600000000000001</v>
      </c>
    </row>
    <row r="7" spans="1:35" x14ac:dyDescent="0.25">
      <c r="A7" t="s">
        <v>34</v>
      </c>
      <c r="B7" s="25" t="s">
        <v>8</v>
      </c>
      <c r="C7" s="25">
        <v>0</v>
      </c>
      <c r="D7" s="25">
        <v>0</v>
      </c>
      <c r="E7" s="25">
        <v>0</v>
      </c>
      <c r="F7" s="25">
        <v>0</v>
      </c>
      <c r="G7" s="25">
        <v>0</v>
      </c>
      <c r="H7" s="25">
        <v>0</v>
      </c>
      <c r="I7" s="26">
        <v>0</v>
      </c>
      <c r="J7" s="26">
        <v>0</v>
      </c>
      <c r="K7" s="27"/>
      <c r="L7" s="27"/>
    </row>
    <row r="8" spans="1:35" x14ac:dyDescent="0.25">
      <c r="A8" t="s">
        <v>34</v>
      </c>
      <c r="B8" s="25" t="s">
        <v>9</v>
      </c>
      <c r="C8" s="25">
        <v>0</v>
      </c>
      <c r="D8" s="25">
        <v>0.29655999999999999</v>
      </c>
      <c r="E8" s="25">
        <v>0</v>
      </c>
      <c r="F8" s="25">
        <v>0.33384999999999998</v>
      </c>
      <c r="G8" s="25">
        <v>0</v>
      </c>
      <c r="H8" s="25">
        <v>0.81852999999999998</v>
      </c>
      <c r="I8" s="26">
        <v>0</v>
      </c>
      <c r="J8" s="26">
        <v>0.26289999999999997</v>
      </c>
      <c r="K8" s="27"/>
      <c r="L8" s="27">
        <v>0.3952</v>
      </c>
    </row>
    <row r="9" spans="1:35" x14ac:dyDescent="0.25">
      <c r="A9" t="s">
        <v>34</v>
      </c>
      <c r="B9" s="25" t="s">
        <v>10</v>
      </c>
      <c r="C9" s="25">
        <v>0</v>
      </c>
      <c r="D9" s="25">
        <v>4.4999999999999998E-2</v>
      </c>
      <c r="E9" s="30">
        <v>0</v>
      </c>
      <c r="F9" s="30">
        <v>5.3999999999999999E-2</v>
      </c>
      <c r="G9" s="30"/>
      <c r="H9" s="30">
        <v>3.9E-2</v>
      </c>
      <c r="I9" s="26">
        <v>0</v>
      </c>
      <c r="J9" s="26">
        <v>4.2200000000000001E-2</v>
      </c>
      <c r="K9" s="27"/>
      <c r="L9" s="27">
        <v>6.2200000000000005E-2</v>
      </c>
    </row>
    <row r="10" spans="1:35" x14ac:dyDescent="0.25">
      <c r="A10" t="s">
        <v>34</v>
      </c>
      <c r="B10" s="25" t="s">
        <v>11</v>
      </c>
      <c r="C10" s="25">
        <v>0</v>
      </c>
      <c r="D10" s="25">
        <v>9.647E-2</v>
      </c>
      <c r="E10" s="25">
        <v>0</v>
      </c>
      <c r="F10" s="25">
        <v>0.09</v>
      </c>
      <c r="G10" s="25"/>
      <c r="H10" s="25">
        <v>0.11699</v>
      </c>
      <c r="I10" s="26">
        <v>0</v>
      </c>
      <c r="J10" s="26">
        <v>0.33901999999999999</v>
      </c>
      <c r="K10" s="27"/>
      <c r="L10" s="27">
        <v>0.81200000000000006</v>
      </c>
    </row>
    <row r="11" spans="1:35" x14ac:dyDescent="0.25">
      <c r="B11" s="25"/>
      <c r="C11" s="25"/>
      <c r="D11" s="25"/>
      <c r="E11" s="25"/>
      <c r="F11" s="25"/>
      <c r="G11" s="25"/>
      <c r="H11" s="25"/>
      <c r="I11" s="26"/>
      <c r="J11" s="26"/>
      <c r="K11" s="27"/>
      <c r="L11" s="27"/>
    </row>
    <row r="12" spans="1:35" x14ac:dyDescent="0.25">
      <c r="A12" t="s">
        <v>34</v>
      </c>
      <c r="B12" s="25" t="s">
        <v>13</v>
      </c>
      <c r="C12" s="25">
        <v>2.1920000000000002</v>
      </c>
      <c r="D12" s="25">
        <v>0</v>
      </c>
      <c r="E12" s="25">
        <v>1.919</v>
      </c>
      <c r="F12" s="25">
        <v>0</v>
      </c>
      <c r="G12" s="25">
        <v>1.4202980000000001</v>
      </c>
      <c r="H12" s="25">
        <v>0</v>
      </c>
      <c r="I12" s="26">
        <v>1.5002200000000001</v>
      </c>
      <c r="J12" s="26">
        <v>0</v>
      </c>
      <c r="K12" s="27">
        <v>1.6738</v>
      </c>
      <c r="L12" s="27"/>
    </row>
    <row r="13" spans="1:35" x14ac:dyDescent="0.25">
      <c r="B13" s="25" t="s">
        <v>12</v>
      </c>
      <c r="C13" s="25">
        <v>0</v>
      </c>
      <c r="D13" s="25">
        <v>0</v>
      </c>
      <c r="E13" s="25">
        <v>0</v>
      </c>
      <c r="F13" s="25">
        <v>0</v>
      </c>
      <c r="G13" s="25"/>
      <c r="H13" s="25"/>
      <c r="I13" s="29"/>
      <c r="J13" s="29"/>
      <c r="K13" s="31"/>
      <c r="L13" s="31"/>
      <c r="AI13" s="102"/>
    </row>
    <row r="14" spans="1:35" x14ac:dyDescent="0.25">
      <c r="B14" s="25"/>
      <c r="C14" s="25"/>
      <c r="D14" s="25"/>
      <c r="E14" s="25"/>
      <c r="F14" s="25"/>
      <c r="G14" s="25"/>
      <c r="H14" s="25"/>
      <c r="I14" s="26"/>
      <c r="J14" s="26"/>
      <c r="K14" s="27"/>
      <c r="L14" s="27"/>
    </row>
    <row r="15" spans="1:35" x14ac:dyDescent="0.25">
      <c r="B15" s="25"/>
      <c r="C15" s="25"/>
      <c r="D15" s="25"/>
      <c r="E15" s="25"/>
      <c r="F15" s="25"/>
      <c r="G15" s="25"/>
      <c r="H15" s="25"/>
      <c r="I15" s="26"/>
      <c r="J15" s="26"/>
      <c r="K15" s="27"/>
      <c r="L15" s="27"/>
    </row>
    <row r="16" spans="1:35" x14ac:dyDescent="0.25">
      <c r="A16" t="s">
        <v>35</v>
      </c>
      <c r="B16" s="25" t="s">
        <v>14</v>
      </c>
      <c r="C16" s="25">
        <v>0</v>
      </c>
      <c r="D16" s="25">
        <v>0.95799999999999996</v>
      </c>
      <c r="E16" s="25">
        <v>0</v>
      </c>
      <c r="F16" s="25">
        <v>1.1970000000000001</v>
      </c>
      <c r="G16" s="25">
        <v>0</v>
      </c>
      <c r="H16" s="25">
        <v>1.3273999999999999</v>
      </c>
      <c r="I16" s="26">
        <v>0</v>
      </c>
      <c r="J16" s="26">
        <v>2.6629999999999998</v>
      </c>
      <c r="K16" s="27"/>
      <c r="L16" s="27">
        <v>2.879</v>
      </c>
    </row>
    <row r="17" spans="1:12" x14ac:dyDescent="0.25">
      <c r="A17" t="s">
        <v>35</v>
      </c>
      <c r="B17" s="25" t="s">
        <v>15</v>
      </c>
      <c r="C17" s="25"/>
      <c r="D17" s="25">
        <v>1.159</v>
      </c>
      <c r="E17" s="25">
        <v>0</v>
      </c>
      <c r="F17" s="25">
        <v>0.92800000000000005</v>
      </c>
      <c r="G17" s="25">
        <v>0</v>
      </c>
      <c r="H17" s="25">
        <v>1.1830000000000001</v>
      </c>
      <c r="I17" s="26">
        <v>0</v>
      </c>
      <c r="J17" s="26">
        <v>0.96635000000000004</v>
      </c>
      <c r="K17" s="27"/>
      <c r="L17" s="27">
        <v>0.67</v>
      </c>
    </row>
    <row r="18" spans="1:12" x14ac:dyDescent="0.25">
      <c r="A18" t="s">
        <v>35</v>
      </c>
      <c r="B18" s="25" t="s">
        <v>16</v>
      </c>
      <c r="C18" s="25">
        <v>0</v>
      </c>
      <c r="D18" s="25">
        <v>2.5820799999999999</v>
      </c>
      <c r="E18" s="25">
        <v>0</v>
      </c>
      <c r="F18" s="25">
        <v>4.6088899999999997</v>
      </c>
      <c r="G18" s="25">
        <v>0</v>
      </c>
      <c r="H18" s="25">
        <v>4.1906400000000001</v>
      </c>
      <c r="I18" s="26">
        <v>0</v>
      </c>
      <c r="J18" s="26">
        <v>4.9589999999999996</v>
      </c>
      <c r="K18" s="27"/>
      <c r="L18" s="27">
        <v>5.9470000000000001</v>
      </c>
    </row>
    <row r="19" spans="1:12" x14ac:dyDescent="0.25">
      <c r="A19" t="s">
        <v>35</v>
      </c>
      <c r="B19" s="25" t="s">
        <v>17</v>
      </c>
      <c r="C19" s="25">
        <v>0</v>
      </c>
      <c r="D19" s="25">
        <v>0</v>
      </c>
      <c r="E19" s="25">
        <v>0</v>
      </c>
      <c r="F19" s="25">
        <v>0</v>
      </c>
      <c r="G19" s="25"/>
      <c r="H19" s="25"/>
      <c r="I19" s="32">
        <v>0</v>
      </c>
      <c r="J19" s="32">
        <v>2.7210000000000001</v>
      </c>
      <c r="K19" s="33"/>
      <c r="L19" s="33">
        <v>5.0309999999999997</v>
      </c>
    </row>
    <row r="20" spans="1:12" x14ac:dyDescent="0.25">
      <c r="B20" s="25" t="s">
        <v>36</v>
      </c>
      <c r="C20" s="25">
        <v>0</v>
      </c>
      <c r="D20" s="25">
        <v>5.3129999999999997</v>
      </c>
      <c r="E20" s="25">
        <v>0</v>
      </c>
      <c r="F20" s="25">
        <v>5.3129999999999997</v>
      </c>
      <c r="G20" s="25">
        <v>0</v>
      </c>
      <c r="H20" s="25">
        <v>0</v>
      </c>
      <c r="I20" s="32">
        <v>0</v>
      </c>
      <c r="J20" s="32">
        <v>9.6820000000000004</v>
      </c>
      <c r="K20" s="33"/>
      <c r="L20" s="33">
        <v>13.707000000000001</v>
      </c>
    </row>
    <row r="21" spans="1:12" x14ac:dyDescent="0.25">
      <c r="B21" s="25" t="s">
        <v>18</v>
      </c>
      <c r="C21" s="34">
        <f t="shared" ref="C21:L21" si="0">SUM(C5:C20)</f>
        <v>3.14</v>
      </c>
      <c r="D21" s="34">
        <f t="shared" si="0"/>
        <v>10.556619999999999</v>
      </c>
      <c r="E21" s="25">
        <f t="shared" si="0"/>
        <v>2.7257600000000002</v>
      </c>
      <c r="F21" s="25">
        <f t="shared" si="0"/>
        <v>12.5863</v>
      </c>
      <c r="G21" s="25">
        <f t="shared" si="0"/>
        <v>2.5782980000000002</v>
      </c>
      <c r="H21" s="25">
        <f t="shared" si="0"/>
        <v>7.7935600000000003</v>
      </c>
      <c r="I21" s="21">
        <f t="shared" si="0"/>
        <v>1.9422200000000001</v>
      </c>
      <c r="J21" s="21">
        <f t="shared" si="0"/>
        <v>21.91047</v>
      </c>
      <c r="K21" s="24">
        <f t="shared" si="0"/>
        <v>1.8637999999999999</v>
      </c>
      <c r="L21" s="24">
        <f t="shared" si="0"/>
        <v>29.759399999999999</v>
      </c>
    </row>
  </sheetData>
  <mergeCells count="5">
    <mergeCell ref="C2:D2"/>
    <mergeCell ref="E2:F2"/>
    <mergeCell ref="G2:H2"/>
    <mergeCell ref="I2:J2"/>
    <mergeCell ref="K2:L2"/>
  </mergeCells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F5EE1-200B-4475-8A1F-87198518703E}">
  <sheetPr>
    <tabColor theme="9"/>
  </sheetPr>
  <dimension ref="A1:W89"/>
  <sheetViews>
    <sheetView zoomScale="72" zoomScaleNormal="90" workbookViewId="0">
      <selection activeCell="E97" sqref="E97"/>
    </sheetView>
  </sheetViews>
  <sheetFormatPr defaultRowHeight="15" x14ac:dyDescent="0.25"/>
  <cols>
    <col min="1" max="1" width="22.5703125" customWidth="1"/>
    <col min="2" max="2" width="14.42578125" bestFit="1" customWidth="1"/>
    <col min="3" max="3" width="17.28515625" bestFit="1" customWidth="1"/>
    <col min="4" max="4" width="19.85546875" bestFit="1" customWidth="1"/>
    <col min="5" max="7" width="17.28515625" bestFit="1" customWidth="1"/>
    <col min="8" max="8" width="16.5703125" bestFit="1" customWidth="1"/>
    <col min="9" max="9" width="14.42578125" bestFit="1" customWidth="1"/>
    <col min="10" max="10" width="19.7109375" bestFit="1" customWidth="1"/>
    <col min="11" max="11" width="9.140625" bestFit="1" customWidth="1"/>
    <col min="12" max="12" width="36.42578125" bestFit="1" customWidth="1"/>
    <col min="13" max="13" width="9.28515625" bestFit="1" customWidth="1"/>
    <col min="14" max="14" width="12.5703125" customWidth="1"/>
    <col min="18" max="18" width="10.28515625" customWidth="1"/>
    <col min="19" max="19" width="11.140625" customWidth="1"/>
    <col min="20" max="21" width="14.85546875" customWidth="1"/>
    <col min="23" max="23" width="13.42578125" customWidth="1"/>
  </cols>
  <sheetData>
    <row r="1" spans="1:23" x14ac:dyDescent="0.25">
      <c r="A1" s="10" t="s">
        <v>37</v>
      </c>
    </row>
    <row r="2" spans="1:23" hidden="1" x14ac:dyDescent="0.25">
      <c r="A2" s="10" t="s">
        <v>38</v>
      </c>
      <c r="L2" s="35" t="s">
        <v>39</v>
      </c>
    </row>
    <row r="3" spans="1:23" ht="15.75" hidden="1" thickBot="1" x14ac:dyDescent="0.3">
      <c r="A3" s="36" t="s">
        <v>40</v>
      </c>
      <c r="B3" s="37" t="s">
        <v>41</v>
      </c>
      <c r="C3" s="37" t="s">
        <v>42</v>
      </c>
      <c r="D3" s="37" t="s">
        <v>43</v>
      </c>
      <c r="E3" s="37" t="s">
        <v>44</v>
      </c>
      <c r="F3" s="37" t="s">
        <v>45</v>
      </c>
      <c r="G3" s="37" t="s">
        <v>46</v>
      </c>
      <c r="H3" s="37" t="s">
        <v>47</v>
      </c>
      <c r="I3" s="38" t="s">
        <v>48</v>
      </c>
      <c r="L3" s="39" t="s">
        <v>40</v>
      </c>
      <c r="M3" s="39" t="s">
        <v>49</v>
      </c>
      <c r="N3" s="39" t="s">
        <v>50</v>
      </c>
      <c r="O3" s="39" t="s">
        <v>51</v>
      </c>
      <c r="P3" s="39" t="s">
        <v>52</v>
      </c>
      <c r="Q3" s="39" t="s">
        <v>53</v>
      </c>
      <c r="R3" s="39" t="s">
        <v>54</v>
      </c>
      <c r="S3" s="39" t="s">
        <v>55</v>
      </c>
      <c r="T3" s="39" t="s">
        <v>56</v>
      </c>
      <c r="U3" s="40"/>
      <c r="W3" s="41" t="s">
        <v>18</v>
      </c>
    </row>
    <row r="4" spans="1:23" hidden="1" x14ac:dyDescent="0.25">
      <c r="A4" s="42" t="s">
        <v>9</v>
      </c>
      <c r="B4" s="43">
        <v>393</v>
      </c>
      <c r="C4" s="43">
        <v>0</v>
      </c>
      <c r="D4" s="43">
        <v>0</v>
      </c>
      <c r="E4" s="43">
        <v>0</v>
      </c>
      <c r="F4" s="43">
        <v>0</v>
      </c>
      <c r="G4" s="43">
        <v>0</v>
      </c>
      <c r="H4" s="43">
        <v>0</v>
      </c>
      <c r="I4" s="44">
        <v>0</v>
      </c>
      <c r="L4" s="11" t="s">
        <v>9</v>
      </c>
      <c r="M4" s="2">
        <v>0</v>
      </c>
      <c r="N4" s="2">
        <v>19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18"/>
      <c r="W4">
        <f>SUM(M4:T4)/1000</f>
        <v>1.9E-2</v>
      </c>
    </row>
    <row r="5" spans="1:23" hidden="1" x14ac:dyDescent="0.25">
      <c r="A5" s="45" t="s">
        <v>10</v>
      </c>
      <c r="B5" s="2">
        <v>15</v>
      </c>
      <c r="C5" s="2">
        <v>81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46">
        <v>0</v>
      </c>
      <c r="L5" s="11" t="s">
        <v>10</v>
      </c>
      <c r="M5" s="2">
        <v>0</v>
      </c>
      <c r="N5" s="2">
        <v>23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18"/>
      <c r="W5">
        <f t="shared" ref="W5:W17" si="0">SUM(M5:T5)/1000</f>
        <v>2.3E-2</v>
      </c>
    </row>
    <row r="6" spans="1:23" hidden="1" x14ac:dyDescent="0.25">
      <c r="A6" s="45" t="s">
        <v>6</v>
      </c>
      <c r="B6" s="2">
        <v>0</v>
      </c>
      <c r="C6" s="2">
        <v>150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46">
        <v>0</v>
      </c>
      <c r="L6" s="11" t="s">
        <v>6</v>
      </c>
      <c r="M6" s="2">
        <v>0</v>
      </c>
      <c r="N6" s="2">
        <v>102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18"/>
      <c r="W6">
        <f t="shared" si="0"/>
        <v>0.10199999999999999</v>
      </c>
    </row>
    <row r="7" spans="1:23" hidden="1" x14ac:dyDescent="0.25">
      <c r="A7" s="45" t="s">
        <v>11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46">
        <v>0</v>
      </c>
      <c r="L7" s="11" t="s">
        <v>11</v>
      </c>
      <c r="M7" s="2">
        <v>0</v>
      </c>
      <c r="N7" s="2">
        <v>3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18"/>
      <c r="W7">
        <f t="shared" si="0"/>
        <v>3.0000000000000001E-3</v>
      </c>
    </row>
    <row r="8" spans="1:23" hidden="1" x14ac:dyDescent="0.25">
      <c r="A8" s="45" t="s">
        <v>7</v>
      </c>
      <c r="B8" s="2">
        <v>48</v>
      </c>
      <c r="C8" s="2">
        <f>144+20</f>
        <v>164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46">
        <v>0</v>
      </c>
      <c r="L8" s="11" t="s">
        <v>7</v>
      </c>
      <c r="M8" s="2">
        <v>6</v>
      </c>
      <c r="N8" s="2">
        <v>94</v>
      </c>
      <c r="O8" s="2">
        <v>0</v>
      </c>
      <c r="P8" s="2">
        <v>0</v>
      </c>
      <c r="Q8" s="2">
        <v>0</v>
      </c>
      <c r="R8" s="2">
        <v>0</v>
      </c>
      <c r="S8" s="2">
        <v>1</v>
      </c>
      <c r="T8" s="2">
        <v>0</v>
      </c>
      <c r="U8" s="18"/>
      <c r="W8">
        <f t="shared" si="0"/>
        <v>0.10100000000000001</v>
      </c>
    </row>
    <row r="9" spans="1:23" hidden="1" x14ac:dyDescent="0.25">
      <c r="A9" s="45" t="s">
        <v>8</v>
      </c>
      <c r="B9" s="2">
        <v>76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46">
        <v>0</v>
      </c>
      <c r="L9" s="11" t="s">
        <v>8</v>
      </c>
      <c r="M9" s="2">
        <v>0</v>
      </c>
      <c r="N9" s="2">
        <v>27</v>
      </c>
      <c r="O9" s="2">
        <v>0</v>
      </c>
      <c r="P9" s="2">
        <v>0</v>
      </c>
      <c r="Q9" s="2">
        <v>0</v>
      </c>
      <c r="R9" s="2">
        <v>8</v>
      </c>
      <c r="S9" s="2">
        <v>0</v>
      </c>
      <c r="T9" s="2">
        <v>0</v>
      </c>
      <c r="U9" s="18"/>
      <c r="W9">
        <f t="shared" si="0"/>
        <v>3.5000000000000003E-2</v>
      </c>
    </row>
    <row r="10" spans="1:23" hidden="1" x14ac:dyDescent="0.25">
      <c r="A10" s="45" t="s">
        <v>13</v>
      </c>
      <c r="B10" s="2">
        <v>14</v>
      </c>
      <c r="C10" s="2">
        <v>0</v>
      </c>
      <c r="D10" s="2">
        <v>0</v>
      </c>
      <c r="E10" s="2">
        <v>0</v>
      </c>
      <c r="F10" s="2">
        <v>20</v>
      </c>
      <c r="G10" s="2">
        <v>0</v>
      </c>
      <c r="H10" s="2">
        <v>0</v>
      </c>
      <c r="I10" s="46">
        <v>0</v>
      </c>
      <c r="L10" s="11" t="s">
        <v>13</v>
      </c>
      <c r="M10" s="2">
        <v>5</v>
      </c>
      <c r="N10" s="2">
        <v>5</v>
      </c>
      <c r="O10" s="2">
        <v>12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18"/>
      <c r="W10">
        <f t="shared" si="0"/>
        <v>2.1999999999999999E-2</v>
      </c>
    </row>
    <row r="11" spans="1:23" hidden="1" x14ac:dyDescent="0.25">
      <c r="A11" s="45"/>
      <c r="B11" s="2"/>
      <c r="C11" s="2"/>
      <c r="D11" s="2"/>
      <c r="E11" s="2"/>
      <c r="F11" s="2"/>
      <c r="G11" s="2"/>
      <c r="H11" s="2"/>
      <c r="I11" s="46"/>
      <c r="L11" s="11"/>
      <c r="M11" s="2"/>
      <c r="N11" s="2"/>
      <c r="O11" s="2"/>
      <c r="P11" s="2"/>
      <c r="Q11" s="2"/>
      <c r="R11" s="2"/>
      <c r="S11" s="2"/>
      <c r="T11" s="2"/>
      <c r="U11" s="18"/>
    </row>
    <row r="12" spans="1:23" hidden="1" x14ac:dyDescent="0.25">
      <c r="A12" s="45"/>
      <c r="B12" s="2"/>
      <c r="C12" s="2"/>
      <c r="D12" s="2"/>
      <c r="E12" s="2"/>
      <c r="F12" s="2"/>
      <c r="G12" s="2"/>
      <c r="H12" s="2"/>
      <c r="I12" s="46"/>
      <c r="L12" s="11"/>
      <c r="M12" s="2"/>
      <c r="N12" s="2"/>
      <c r="O12" s="2"/>
      <c r="P12" s="2"/>
      <c r="Q12" s="2"/>
      <c r="R12" s="2"/>
      <c r="S12" s="2"/>
      <c r="T12" s="2"/>
      <c r="U12" s="18"/>
      <c r="W12">
        <f t="shared" si="0"/>
        <v>0</v>
      </c>
    </row>
    <row r="13" spans="1:23" hidden="1" x14ac:dyDescent="0.25">
      <c r="A13" s="45"/>
      <c r="B13" s="2"/>
      <c r="C13" s="2"/>
      <c r="D13" s="2"/>
      <c r="E13" s="2"/>
      <c r="F13" s="2"/>
      <c r="G13" s="2"/>
      <c r="H13" s="2"/>
      <c r="I13" s="46"/>
      <c r="L13" s="11"/>
      <c r="M13" s="2"/>
      <c r="N13" s="2"/>
      <c r="O13" s="2"/>
      <c r="P13" s="2"/>
      <c r="Q13" s="2"/>
      <c r="R13" s="2"/>
      <c r="S13" s="2"/>
      <c r="T13" s="2"/>
      <c r="U13" s="18"/>
      <c r="W13">
        <f t="shared" si="0"/>
        <v>0</v>
      </c>
    </row>
    <row r="14" spans="1:23" hidden="1" x14ac:dyDescent="0.25">
      <c r="A14" s="45"/>
      <c r="B14" s="2"/>
      <c r="C14" s="2"/>
      <c r="D14" s="2"/>
      <c r="E14" s="2"/>
      <c r="F14" s="2"/>
      <c r="G14" s="2"/>
      <c r="H14" s="2"/>
      <c r="I14" s="46"/>
      <c r="L14" s="11"/>
      <c r="M14" s="2"/>
      <c r="N14" s="2"/>
      <c r="O14" s="2"/>
      <c r="P14" s="2"/>
      <c r="Q14" s="2"/>
      <c r="R14" s="2"/>
      <c r="S14" s="2"/>
      <c r="T14" s="2"/>
      <c r="U14" s="18"/>
      <c r="W14">
        <f t="shared" si="0"/>
        <v>0</v>
      </c>
    </row>
    <row r="15" spans="1:23" hidden="1" x14ac:dyDescent="0.25">
      <c r="A15" s="45" t="s">
        <v>57</v>
      </c>
      <c r="B15" s="2">
        <v>50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46">
        <v>8</v>
      </c>
      <c r="L15" s="11" t="s">
        <v>58</v>
      </c>
      <c r="M15" s="2">
        <v>2</v>
      </c>
      <c r="N15" s="2">
        <v>4</v>
      </c>
      <c r="O15" s="2">
        <v>0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18"/>
      <c r="W15">
        <f t="shared" si="0"/>
        <v>7.0000000000000001E-3</v>
      </c>
    </row>
    <row r="16" spans="1:23" hidden="1" x14ac:dyDescent="0.25">
      <c r="A16" s="45" t="s">
        <v>15</v>
      </c>
      <c r="B16" s="2">
        <v>0</v>
      </c>
      <c r="C16" s="2">
        <v>600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46">
        <v>0</v>
      </c>
      <c r="L16" s="11" t="s">
        <v>57</v>
      </c>
      <c r="M16" s="2">
        <v>0</v>
      </c>
      <c r="N16" s="2">
        <v>26</v>
      </c>
      <c r="O16" s="2">
        <v>0</v>
      </c>
      <c r="P16" s="2">
        <v>0</v>
      </c>
      <c r="Q16" s="2">
        <v>0</v>
      </c>
      <c r="R16" s="2">
        <v>1</v>
      </c>
      <c r="S16" s="2">
        <v>0</v>
      </c>
      <c r="T16" s="2">
        <v>0</v>
      </c>
      <c r="U16" s="18"/>
      <c r="W16">
        <f t="shared" si="0"/>
        <v>2.7E-2</v>
      </c>
    </row>
    <row r="17" spans="1:23" ht="30" hidden="1" x14ac:dyDescent="0.25">
      <c r="A17" s="47" t="s">
        <v>59</v>
      </c>
      <c r="B17" s="2">
        <v>1960</v>
      </c>
      <c r="C17" s="2">
        <v>1530</v>
      </c>
      <c r="D17" s="2">
        <v>1908</v>
      </c>
      <c r="E17" s="2">
        <v>4728</v>
      </c>
      <c r="F17" s="2">
        <v>2255</v>
      </c>
      <c r="G17" s="2">
        <v>2262</v>
      </c>
      <c r="H17" s="2">
        <v>79</v>
      </c>
      <c r="I17" s="46">
        <v>771</v>
      </c>
      <c r="L17" s="11" t="s">
        <v>15</v>
      </c>
      <c r="M17" s="2">
        <v>1</v>
      </c>
      <c r="N17" s="2">
        <v>22</v>
      </c>
      <c r="O17" s="2">
        <v>0</v>
      </c>
      <c r="P17" s="2">
        <v>0</v>
      </c>
      <c r="Q17" s="2">
        <v>1</v>
      </c>
      <c r="R17" s="2">
        <v>0</v>
      </c>
      <c r="S17" s="2">
        <v>0</v>
      </c>
      <c r="T17" s="2">
        <v>0</v>
      </c>
      <c r="U17" s="18"/>
      <c r="W17">
        <f t="shared" si="0"/>
        <v>2.4E-2</v>
      </c>
    </row>
    <row r="18" spans="1:23" ht="15.75" hidden="1" thickBot="1" x14ac:dyDescent="0.3">
      <c r="A18" s="48" t="s">
        <v>60</v>
      </c>
      <c r="B18" s="49">
        <f>(SUM(B4:B16)*B17/1000)</f>
        <v>1168.1600000000001</v>
      </c>
      <c r="C18" s="49">
        <f>(SUM(C4:C16)*C17/1000)</f>
        <v>1522.35</v>
      </c>
      <c r="D18" s="49">
        <f t="shared" ref="D18:I18" si="1">(SUM(D4:D16)*D17/1000)</f>
        <v>0</v>
      </c>
      <c r="E18" s="49">
        <f t="shared" si="1"/>
        <v>0</v>
      </c>
      <c r="F18" s="49">
        <f t="shared" si="1"/>
        <v>45.1</v>
      </c>
      <c r="G18" s="49">
        <f t="shared" si="1"/>
        <v>0</v>
      </c>
      <c r="H18" s="49">
        <f t="shared" si="1"/>
        <v>0</v>
      </c>
      <c r="I18" s="49">
        <f t="shared" si="1"/>
        <v>6.1680000000000001</v>
      </c>
      <c r="J18" t="s">
        <v>61</v>
      </c>
      <c r="K18" s="50">
        <f>SUM(B18:I18)</f>
        <v>2741.7780000000002</v>
      </c>
      <c r="L18" s="11" t="s">
        <v>18</v>
      </c>
      <c r="M18" s="2">
        <f>SUM(M4:M17)</f>
        <v>14</v>
      </c>
      <c r="N18" s="2">
        <f t="shared" ref="N18:T18" si="2">SUM(N4:N17)</f>
        <v>325</v>
      </c>
      <c r="O18" s="2">
        <f t="shared" si="2"/>
        <v>12</v>
      </c>
      <c r="P18" s="2">
        <f t="shared" si="2"/>
        <v>0</v>
      </c>
      <c r="Q18" s="2">
        <f t="shared" si="2"/>
        <v>1</v>
      </c>
      <c r="R18" s="2">
        <f t="shared" si="2"/>
        <v>10</v>
      </c>
      <c r="S18" s="2">
        <f t="shared" si="2"/>
        <v>1</v>
      </c>
      <c r="T18" s="2">
        <f t="shared" si="2"/>
        <v>0</v>
      </c>
      <c r="U18" s="18"/>
    </row>
    <row r="19" spans="1:23" hidden="1" x14ac:dyDescent="0.25">
      <c r="L19" s="11" t="s">
        <v>60</v>
      </c>
      <c r="M19" s="2">
        <f>M18/1000</f>
        <v>1.4E-2</v>
      </c>
      <c r="N19" s="2">
        <f t="shared" ref="N19:T19" si="3">N18/1000</f>
        <v>0.32500000000000001</v>
      </c>
      <c r="O19" s="2">
        <f t="shared" si="3"/>
        <v>1.2E-2</v>
      </c>
      <c r="P19" s="2">
        <f t="shared" si="3"/>
        <v>0</v>
      </c>
      <c r="Q19" s="2">
        <f t="shared" si="3"/>
        <v>1E-3</v>
      </c>
      <c r="R19" s="2">
        <f t="shared" si="3"/>
        <v>0.01</v>
      </c>
      <c r="S19" s="2">
        <f t="shared" si="3"/>
        <v>1E-3</v>
      </c>
      <c r="T19" s="2">
        <f t="shared" si="3"/>
        <v>0</v>
      </c>
      <c r="U19" s="18"/>
      <c r="V19" s="50">
        <f>SUM(M19:T19)</f>
        <v>0.36300000000000004</v>
      </c>
    </row>
    <row r="20" spans="1:23" hidden="1" x14ac:dyDescent="0.25"/>
    <row r="21" spans="1:23" hidden="1" x14ac:dyDescent="0.25">
      <c r="A21" s="10" t="s">
        <v>62</v>
      </c>
    </row>
    <row r="22" spans="1:23" ht="15.75" hidden="1" thickBot="1" x14ac:dyDescent="0.3">
      <c r="A22" s="51" t="s">
        <v>40</v>
      </c>
      <c r="B22" s="52" t="s">
        <v>41</v>
      </c>
      <c r="C22" s="53" t="s">
        <v>42</v>
      </c>
      <c r="D22" s="53" t="s">
        <v>43</v>
      </c>
      <c r="E22" s="53" t="s">
        <v>44</v>
      </c>
      <c r="F22" s="53" t="s">
        <v>45</v>
      </c>
      <c r="G22" s="53" t="s">
        <v>46</v>
      </c>
      <c r="H22" s="54" t="s">
        <v>47</v>
      </c>
    </row>
    <row r="23" spans="1:23" hidden="1" x14ac:dyDescent="0.25">
      <c r="A23" s="55" t="s">
        <v>9</v>
      </c>
      <c r="B23" s="56">
        <v>184</v>
      </c>
      <c r="C23" s="57">
        <v>400</v>
      </c>
      <c r="D23" s="57">
        <v>9</v>
      </c>
      <c r="E23" s="57"/>
      <c r="F23" s="57">
        <v>0</v>
      </c>
      <c r="G23" s="57"/>
      <c r="H23" s="58"/>
    </row>
    <row r="24" spans="1:23" hidden="1" x14ac:dyDescent="0.25">
      <c r="A24" s="59" t="s">
        <v>10</v>
      </c>
      <c r="B24" s="60">
        <v>24.2</v>
      </c>
      <c r="C24" s="61">
        <v>11.7</v>
      </c>
      <c r="D24" s="61"/>
      <c r="E24" s="61">
        <v>4.2</v>
      </c>
      <c r="F24" s="61"/>
      <c r="G24" s="61"/>
      <c r="H24" s="62"/>
    </row>
    <row r="25" spans="1:23" hidden="1" x14ac:dyDescent="0.25">
      <c r="A25" s="59" t="s">
        <v>6</v>
      </c>
      <c r="B25" s="60">
        <v>10</v>
      </c>
      <c r="C25" s="61"/>
      <c r="D25" s="61"/>
      <c r="E25" s="61"/>
      <c r="F25" s="61"/>
      <c r="G25" s="61"/>
      <c r="H25" s="62"/>
    </row>
    <row r="26" spans="1:23" hidden="1" x14ac:dyDescent="0.25">
      <c r="A26" s="59" t="s">
        <v>11</v>
      </c>
      <c r="B26" s="60">
        <v>4.8</v>
      </c>
      <c r="C26" s="61">
        <v>1.5</v>
      </c>
      <c r="D26" s="61">
        <v>3</v>
      </c>
      <c r="E26" s="61"/>
      <c r="F26" s="61"/>
      <c r="G26" s="61"/>
      <c r="H26" s="62"/>
    </row>
    <row r="27" spans="1:23" hidden="1" x14ac:dyDescent="0.25">
      <c r="A27" s="59" t="s">
        <v>7</v>
      </c>
      <c r="B27" s="60">
        <v>0.5</v>
      </c>
      <c r="C27" s="61">
        <f>284+318+238+1.68</f>
        <v>841.68</v>
      </c>
      <c r="D27" s="61">
        <v>1.68</v>
      </c>
      <c r="E27" s="61"/>
      <c r="F27" s="61">
        <f>1.92+0.92</f>
        <v>2.84</v>
      </c>
      <c r="G27" s="61"/>
      <c r="H27" s="62"/>
    </row>
    <row r="28" spans="1:23" hidden="1" x14ac:dyDescent="0.25">
      <c r="A28" s="59" t="s">
        <v>8</v>
      </c>
      <c r="B28" s="60">
        <v>120</v>
      </c>
      <c r="C28" s="61"/>
      <c r="D28" s="61"/>
      <c r="E28" s="61"/>
      <c r="F28" s="61"/>
      <c r="G28" s="61"/>
      <c r="H28" s="62"/>
    </row>
    <row r="29" spans="1:23" hidden="1" x14ac:dyDescent="0.25">
      <c r="A29" s="59" t="s">
        <v>13</v>
      </c>
      <c r="B29" s="60">
        <v>20</v>
      </c>
      <c r="C29" s="61">
        <v>40</v>
      </c>
      <c r="D29" s="61"/>
      <c r="E29" s="61"/>
      <c r="F29" s="61">
        <v>25</v>
      </c>
      <c r="G29" s="61"/>
      <c r="H29" s="62"/>
    </row>
    <row r="30" spans="1:23" hidden="1" x14ac:dyDescent="0.25">
      <c r="A30" s="59"/>
      <c r="B30" s="60"/>
      <c r="C30" s="61"/>
      <c r="D30" s="61"/>
      <c r="E30" s="61"/>
      <c r="F30" s="61"/>
      <c r="G30" s="61"/>
      <c r="H30" s="62"/>
    </row>
    <row r="31" spans="1:23" hidden="1" x14ac:dyDescent="0.25">
      <c r="A31" s="59"/>
      <c r="B31" s="60"/>
      <c r="C31" s="61"/>
      <c r="D31" s="61"/>
      <c r="E31" s="61"/>
      <c r="F31" s="61"/>
      <c r="G31" s="61"/>
      <c r="H31" s="62"/>
    </row>
    <row r="32" spans="1:23" hidden="1" x14ac:dyDescent="0.25">
      <c r="A32" s="59"/>
      <c r="B32" s="60"/>
      <c r="C32" s="61"/>
      <c r="D32" s="61"/>
      <c r="E32" s="61"/>
      <c r="F32" s="61"/>
      <c r="G32" s="61"/>
      <c r="H32" s="62"/>
    </row>
    <row r="33" spans="1:23" hidden="1" x14ac:dyDescent="0.25">
      <c r="A33" s="59"/>
      <c r="B33" s="60"/>
      <c r="C33" s="61"/>
      <c r="D33" s="61"/>
      <c r="E33" s="61"/>
      <c r="F33" s="61"/>
      <c r="G33" s="61"/>
      <c r="H33" s="62"/>
    </row>
    <row r="34" spans="1:23" hidden="1" x14ac:dyDescent="0.25">
      <c r="A34" s="59" t="s">
        <v>57</v>
      </c>
      <c r="B34" s="60"/>
      <c r="C34" s="61">
        <v>20</v>
      </c>
      <c r="D34" s="61"/>
      <c r="E34" s="61"/>
      <c r="F34" s="61"/>
      <c r="G34" s="61"/>
      <c r="H34" s="63">
        <v>3</v>
      </c>
    </row>
    <row r="35" spans="1:23" hidden="1" x14ac:dyDescent="0.25">
      <c r="A35" s="59" t="s">
        <v>15</v>
      </c>
      <c r="B35" s="60">
        <v>44.5</v>
      </c>
      <c r="C35" s="61">
        <v>1.9</v>
      </c>
      <c r="D35" s="61"/>
      <c r="E35" s="61"/>
      <c r="F35" s="61"/>
      <c r="G35" s="61"/>
      <c r="H35" s="62"/>
    </row>
    <row r="36" spans="1:23" hidden="1" x14ac:dyDescent="0.25">
      <c r="A36" s="64" t="s">
        <v>59</v>
      </c>
      <c r="B36" s="65">
        <v>1960</v>
      </c>
      <c r="C36" s="61">
        <v>1530</v>
      </c>
      <c r="D36" s="66">
        <v>1908</v>
      </c>
      <c r="E36" s="66">
        <v>4728</v>
      </c>
      <c r="F36" s="66">
        <v>2255</v>
      </c>
      <c r="G36" s="66">
        <v>2262</v>
      </c>
      <c r="H36" s="67">
        <v>79</v>
      </c>
    </row>
    <row r="37" spans="1:23" ht="15.75" hidden="1" thickBot="1" x14ac:dyDescent="0.3">
      <c r="A37" s="68" t="s">
        <v>60</v>
      </c>
      <c r="B37" s="69">
        <f>(SUM(B23:B35)*B36/1000)</f>
        <v>799.68</v>
      </c>
      <c r="C37" s="70">
        <f>(SUM(C23:C35)*C36/1000)</f>
        <v>2014.6733999999999</v>
      </c>
      <c r="D37" s="70">
        <f t="shared" ref="D37:H37" si="4">(SUM(D23:D35)*D36/1000)</f>
        <v>26.10144</v>
      </c>
      <c r="E37" s="70">
        <f t="shared" si="4"/>
        <v>19.857600000000001</v>
      </c>
      <c r="F37" s="70">
        <f t="shared" si="4"/>
        <v>62.779199999999996</v>
      </c>
      <c r="G37" s="70">
        <f t="shared" si="4"/>
        <v>0</v>
      </c>
      <c r="H37" s="71">
        <f t="shared" si="4"/>
        <v>0.23699999999999999</v>
      </c>
      <c r="J37" t="s">
        <v>61</v>
      </c>
      <c r="K37" s="50">
        <f>SUM(B37:H37)</f>
        <v>2923.3286399999997</v>
      </c>
    </row>
    <row r="38" spans="1:23" hidden="1" x14ac:dyDescent="0.25"/>
    <row r="39" spans="1:23" hidden="1" x14ac:dyDescent="0.25"/>
    <row r="40" spans="1:23" hidden="1" x14ac:dyDescent="0.25">
      <c r="A40" s="10" t="s">
        <v>63</v>
      </c>
      <c r="L40" s="35" t="s">
        <v>39</v>
      </c>
    </row>
    <row r="41" spans="1:23" ht="15.75" hidden="1" thickBot="1" x14ac:dyDescent="0.3">
      <c r="A41" s="36" t="s">
        <v>40</v>
      </c>
      <c r="B41" s="37" t="s">
        <v>41</v>
      </c>
      <c r="C41" s="37" t="s">
        <v>42</v>
      </c>
      <c r="D41" s="37" t="s">
        <v>43</v>
      </c>
      <c r="E41" s="37" t="s">
        <v>44</v>
      </c>
      <c r="F41" s="37" t="s">
        <v>45</v>
      </c>
      <c r="G41" s="37" t="s">
        <v>46</v>
      </c>
      <c r="H41" s="37" t="s">
        <v>47</v>
      </c>
      <c r="I41" s="38" t="s">
        <v>48</v>
      </c>
      <c r="L41" s="39" t="s">
        <v>40</v>
      </c>
      <c r="M41" s="39" t="s">
        <v>49</v>
      </c>
      <c r="N41" s="39" t="s">
        <v>50</v>
      </c>
      <c r="O41" s="39" t="s">
        <v>51</v>
      </c>
      <c r="P41" s="39" t="s">
        <v>52</v>
      </c>
      <c r="Q41" s="39" t="s">
        <v>53</v>
      </c>
      <c r="R41" s="39" t="s">
        <v>54</v>
      </c>
      <c r="S41" s="39" t="s">
        <v>55</v>
      </c>
      <c r="T41" s="39" t="s">
        <v>56</v>
      </c>
      <c r="U41" s="72"/>
      <c r="V41" s="72" t="s">
        <v>18</v>
      </c>
      <c r="W41" s="41"/>
    </row>
    <row r="42" spans="1:23" hidden="1" x14ac:dyDescent="0.25">
      <c r="A42" s="42" t="s">
        <v>9</v>
      </c>
      <c r="B42" s="43">
        <v>178</v>
      </c>
      <c r="C42" s="43">
        <v>4.5</v>
      </c>
      <c r="D42" s="43">
        <v>0</v>
      </c>
      <c r="E42" s="43">
        <v>0</v>
      </c>
      <c r="F42" s="43">
        <v>2</v>
      </c>
      <c r="G42" s="43">
        <v>0</v>
      </c>
      <c r="H42" s="43">
        <v>0</v>
      </c>
      <c r="I42" s="44">
        <v>0</v>
      </c>
      <c r="L42" s="11" t="s">
        <v>9</v>
      </c>
      <c r="M42" s="73">
        <v>4</v>
      </c>
      <c r="N42" s="73">
        <v>10</v>
      </c>
      <c r="O42" s="73">
        <v>0</v>
      </c>
      <c r="P42" s="73">
        <v>0</v>
      </c>
      <c r="Q42" s="73">
        <v>0</v>
      </c>
      <c r="R42" s="73">
        <v>0</v>
      </c>
      <c r="S42" s="73">
        <v>0</v>
      </c>
      <c r="T42" s="73">
        <v>0</v>
      </c>
      <c r="U42" s="74"/>
    </row>
    <row r="43" spans="1:23" hidden="1" x14ac:dyDescent="0.25">
      <c r="A43" s="45" t="s">
        <v>10</v>
      </c>
      <c r="B43" s="2">
        <v>12</v>
      </c>
      <c r="C43" s="2">
        <v>0</v>
      </c>
      <c r="D43" s="2">
        <v>0</v>
      </c>
      <c r="E43" s="2">
        <v>3</v>
      </c>
      <c r="F43" s="2">
        <v>0</v>
      </c>
      <c r="G43" s="2">
        <v>0</v>
      </c>
      <c r="H43" s="2">
        <v>0</v>
      </c>
      <c r="I43" s="46">
        <v>0</v>
      </c>
      <c r="L43" s="11" t="s">
        <v>10</v>
      </c>
      <c r="M43" s="75">
        <v>0</v>
      </c>
      <c r="N43" s="75">
        <v>9</v>
      </c>
      <c r="O43" s="75">
        <v>0</v>
      </c>
      <c r="P43" s="75">
        <v>0</v>
      </c>
      <c r="Q43" s="75">
        <v>0</v>
      </c>
      <c r="R43" s="75">
        <v>0</v>
      </c>
      <c r="S43" s="75">
        <v>0</v>
      </c>
      <c r="T43" s="75">
        <v>0</v>
      </c>
      <c r="U43" s="76"/>
    </row>
    <row r="44" spans="1:23" hidden="1" x14ac:dyDescent="0.25">
      <c r="A44" s="45" t="s">
        <v>6</v>
      </c>
      <c r="B44" s="2">
        <v>9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46">
        <v>0</v>
      </c>
      <c r="L44" s="11" t="s">
        <v>6</v>
      </c>
      <c r="M44" s="75">
        <v>0</v>
      </c>
      <c r="N44" s="75">
        <v>30</v>
      </c>
      <c r="O44" s="75">
        <v>0</v>
      </c>
      <c r="P44" s="75">
        <v>0</v>
      </c>
      <c r="Q44" s="75">
        <v>0</v>
      </c>
      <c r="R44" s="75">
        <v>0</v>
      </c>
      <c r="S44" s="75">
        <v>0</v>
      </c>
      <c r="T44" s="75">
        <v>0</v>
      </c>
      <c r="U44" s="76"/>
    </row>
    <row r="45" spans="1:23" hidden="1" x14ac:dyDescent="0.25">
      <c r="A45" s="45" t="s">
        <v>11</v>
      </c>
      <c r="B45" s="2">
        <v>0</v>
      </c>
      <c r="C45" s="2">
        <v>80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46">
        <v>0</v>
      </c>
      <c r="L45" s="11" t="s">
        <v>11</v>
      </c>
      <c r="M45" s="73" t="s">
        <v>64</v>
      </c>
      <c r="N45" s="73">
        <v>4</v>
      </c>
      <c r="O45" s="73" t="s">
        <v>65</v>
      </c>
      <c r="P45" s="73">
        <v>0</v>
      </c>
      <c r="Q45" s="73">
        <v>0</v>
      </c>
      <c r="R45" s="73">
        <v>2</v>
      </c>
      <c r="S45" s="73">
        <v>0</v>
      </c>
      <c r="T45" s="73">
        <v>0</v>
      </c>
      <c r="U45" s="74"/>
    </row>
    <row r="46" spans="1:23" hidden="1" x14ac:dyDescent="0.25">
      <c r="A46" s="45" t="s">
        <v>7</v>
      </c>
      <c r="B46" s="2">
        <f>158+55</f>
        <v>213</v>
      </c>
      <c r="C46" s="2">
        <v>81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46">
        <v>0</v>
      </c>
      <c r="L46" s="11" t="s">
        <v>7</v>
      </c>
      <c r="M46" s="73">
        <v>12</v>
      </c>
      <c r="N46" s="73">
        <v>144</v>
      </c>
      <c r="O46" s="73" t="s">
        <v>66</v>
      </c>
      <c r="P46" s="73">
        <v>0</v>
      </c>
      <c r="Q46" s="73">
        <v>0</v>
      </c>
      <c r="R46" s="73">
        <v>0</v>
      </c>
      <c r="S46" s="73">
        <v>5</v>
      </c>
      <c r="T46" s="73">
        <v>0</v>
      </c>
      <c r="U46" s="74"/>
    </row>
    <row r="47" spans="1:23" hidden="1" x14ac:dyDescent="0.25">
      <c r="A47" s="45" t="s">
        <v>8</v>
      </c>
      <c r="B47" s="2">
        <v>122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46">
        <v>0</v>
      </c>
      <c r="L47" s="11" t="s">
        <v>8</v>
      </c>
      <c r="M47" s="75">
        <v>0</v>
      </c>
      <c r="N47" s="75">
        <v>64</v>
      </c>
      <c r="O47" s="75">
        <v>13</v>
      </c>
      <c r="P47" s="75">
        <v>0</v>
      </c>
      <c r="Q47" s="75">
        <v>0</v>
      </c>
      <c r="R47" s="75">
        <v>0</v>
      </c>
      <c r="S47" s="75">
        <v>0</v>
      </c>
      <c r="T47" s="75">
        <v>0</v>
      </c>
      <c r="U47" s="76"/>
    </row>
    <row r="48" spans="1:23" hidden="1" x14ac:dyDescent="0.25">
      <c r="A48" s="45" t="s">
        <v>13</v>
      </c>
      <c r="B48" s="2">
        <v>22</v>
      </c>
      <c r="C48" s="2">
        <v>0</v>
      </c>
      <c r="D48" s="2">
        <v>9</v>
      </c>
      <c r="E48" s="2">
        <v>0</v>
      </c>
      <c r="F48" s="2">
        <v>38</v>
      </c>
      <c r="G48" s="2">
        <v>0</v>
      </c>
      <c r="H48" s="2">
        <v>0</v>
      </c>
      <c r="I48" s="46">
        <v>0</v>
      </c>
      <c r="L48" s="11" t="s">
        <v>13</v>
      </c>
      <c r="M48" s="73" t="s">
        <v>67</v>
      </c>
      <c r="N48" s="73" t="s">
        <v>68</v>
      </c>
      <c r="O48" s="73">
        <v>4</v>
      </c>
      <c r="P48" s="73">
        <v>1</v>
      </c>
      <c r="Q48" s="73">
        <v>0</v>
      </c>
      <c r="R48" s="73">
        <v>0</v>
      </c>
      <c r="S48" s="73">
        <v>0</v>
      </c>
      <c r="T48" s="73">
        <v>0</v>
      </c>
      <c r="U48" s="74"/>
    </row>
    <row r="49" spans="1:23" hidden="1" x14ac:dyDescent="0.25">
      <c r="A49" s="45"/>
      <c r="B49" s="2"/>
      <c r="C49" s="2"/>
      <c r="D49" s="2"/>
      <c r="E49" s="2"/>
      <c r="F49" s="2"/>
      <c r="G49" s="2"/>
      <c r="H49" s="2"/>
      <c r="I49" s="46"/>
      <c r="L49" s="11"/>
      <c r="M49" s="2"/>
      <c r="N49" s="2"/>
      <c r="O49" s="2"/>
      <c r="P49" s="2"/>
      <c r="Q49" s="2"/>
      <c r="R49" s="2"/>
      <c r="S49" s="2"/>
      <c r="T49" s="2"/>
      <c r="U49" s="18"/>
    </row>
    <row r="50" spans="1:23" hidden="1" x14ac:dyDescent="0.25">
      <c r="A50" s="45"/>
      <c r="B50" s="2"/>
      <c r="C50" s="2"/>
      <c r="D50" s="2"/>
      <c r="E50" s="2"/>
      <c r="F50" s="2"/>
      <c r="G50" s="2"/>
      <c r="H50" s="2"/>
      <c r="I50" s="46"/>
      <c r="L50" s="11"/>
      <c r="M50" s="2"/>
      <c r="N50" s="2"/>
      <c r="O50" s="2"/>
      <c r="P50" s="2"/>
      <c r="Q50" s="2"/>
      <c r="R50" s="2"/>
      <c r="S50" s="2"/>
      <c r="T50" s="2"/>
      <c r="U50" s="18"/>
    </row>
    <row r="51" spans="1:23" hidden="1" x14ac:dyDescent="0.25">
      <c r="A51" s="45"/>
      <c r="B51" s="2"/>
      <c r="C51" s="2"/>
      <c r="D51" s="2"/>
      <c r="E51" s="2"/>
      <c r="F51" s="2"/>
      <c r="G51" s="2"/>
      <c r="H51" s="2"/>
      <c r="I51" s="46"/>
      <c r="L51" s="11"/>
      <c r="M51" s="2"/>
      <c r="N51" s="2"/>
      <c r="O51" s="2"/>
      <c r="P51" s="2"/>
      <c r="Q51" s="2"/>
      <c r="R51" s="2"/>
      <c r="S51" s="2"/>
      <c r="T51" s="2"/>
      <c r="U51" s="18"/>
    </row>
    <row r="52" spans="1:23" hidden="1" x14ac:dyDescent="0.25">
      <c r="A52" s="45" t="s">
        <v>69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46">
        <v>0</v>
      </c>
      <c r="L52" s="11"/>
      <c r="M52" s="2"/>
      <c r="N52" s="2"/>
      <c r="O52" s="2"/>
      <c r="P52" s="2"/>
      <c r="Q52" s="2"/>
      <c r="R52" s="2"/>
      <c r="S52" s="2"/>
      <c r="T52" s="2"/>
      <c r="U52" s="18"/>
    </row>
    <row r="53" spans="1:23" hidden="1" x14ac:dyDescent="0.25">
      <c r="A53" s="45" t="s">
        <v>57</v>
      </c>
      <c r="B53" s="2">
        <v>30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46">
        <v>0</v>
      </c>
      <c r="L53" s="11" t="s">
        <v>57</v>
      </c>
      <c r="M53" s="73" t="s">
        <v>70</v>
      </c>
      <c r="N53" s="73">
        <v>22</v>
      </c>
      <c r="O53" s="73">
        <v>0</v>
      </c>
      <c r="P53" s="73">
        <v>0</v>
      </c>
      <c r="Q53" s="73">
        <v>0</v>
      </c>
      <c r="R53" s="73">
        <v>3</v>
      </c>
      <c r="S53" s="73">
        <v>0</v>
      </c>
      <c r="T53" s="73">
        <v>0</v>
      </c>
      <c r="U53" s="74"/>
    </row>
    <row r="54" spans="1:23" hidden="1" x14ac:dyDescent="0.25">
      <c r="A54" s="45" t="s">
        <v>15</v>
      </c>
      <c r="B54" s="2">
        <v>0</v>
      </c>
      <c r="C54" s="2">
        <v>620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46">
        <v>0</v>
      </c>
      <c r="L54" s="11" t="s">
        <v>69</v>
      </c>
      <c r="M54" s="75">
        <v>0</v>
      </c>
      <c r="N54" s="75">
        <v>0</v>
      </c>
      <c r="O54" s="75">
        <v>0</v>
      </c>
      <c r="P54" s="75">
        <v>0</v>
      </c>
      <c r="Q54" s="75">
        <v>0</v>
      </c>
      <c r="R54" s="75">
        <v>0</v>
      </c>
      <c r="S54" s="75">
        <v>0</v>
      </c>
      <c r="T54" s="75">
        <v>0</v>
      </c>
      <c r="U54" s="76"/>
    </row>
    <row r="55" spans="1:23" ht="30" hidden="1" x14ac:dyDescent="0.25">
      <c r="A55" s="47" t="s">
        <v>59</v>
      </c>
      <c r="B55" s="2">
        <v>1960</v>
      </c>
      <c r="C55" s="2">
        <v>1530</v>
      </c>
      <c r="D55" s="2">
        <v>1908</v>
      </c>
      <c r="E55" s="2">
        <v>4728</v>
      </c>
      <c r="F55" s="2">
        <v>2255</v>
      </c>
      <c r="G55" s="2">
        <v>2262</v>
      </c>
      <c r="H55" s="2">
        <v>79</v>
      </c>
      <c r="I55" s="46">
        <v>771</v>
      </c>
      <c r="L55" s="11" t="s">
        <v>15</v>
      </c>
      <c r="M55" s="75">
        <v>0</v>
      </c>
      <c r="N55" s="75">
        <v>2</v>
      </c>
      <c r="O55" s="75">
        <v>0</v>
      </c>
      <c r="P55" s="75">
        <v>0</v>
      </c>
      <c r="Q55" s="75">
        <v>0</v>
      </c>
      <c r="R55" s="75">
        <v>0</v>
      </c>
      <c r="S55" s="75">
        <v>0</v>
      </c>
      <c r="T55" s="75">
        <v>0</v>
      </c>
      <c r="U55" s="76"/>
    </row>
    <row r="56" spans="1:23" ht="15.75" hidden="1" thickBot="1" x14ac:dyDescent="0.3">
      <c r="A56" s="48" t="s">
        <v>60</v>
      </c>
      <c r="B56" s="49">
        <f>(SUM(B42:B54)*B55/1000)</f>
        <v>1148.56</v>
      </c>
      <c r="C56" s="49">
        <f t="shared" ref="C56:I56" si="5">(SUM(C42:C54)*C55/1000)</f>
        <v>1201.8150000000001</v>
      </c>
      <c r="D56" s="49">
        <f t="shared" si="5"/>
        <v>17.172000000000001</v>
      </c>
      <c r="E56" s="49">
        <f t="shared" si="5"/>
        <v>14.183999999999999</v>
      </c>
      <c r="F56" s="49">
        <f t="shared" si="5"/>
        <v>90.2</v>
      </c>
      <c r="G56" s="49">
        <f t="shared" si="5"/>
        <v>0</v>
      </c>
      <c r="H56" s="49">
        <f t="shared" si="5"/>
        <v>0</v>
      </c>
      <c r="I56" s="49">
        <f t="shared" si="5"/>
        <v>0</v>
      </c>
      <c r="J56" t="s">
        <v>61</v>
      </c>
      <c r="K56" s="50">
        <f>SUM(B56:I56)</f>
        <v>2471.931</v>
      </c>
      <c r="L56" s="11" t="s">
        <v>18</v>
      </c>
      <c r="M56" s="2">
        <f>SUM(M42:M55)</f>
        <v>16</v>
      </c>
      <c r="N56" s="2">
        <f t="shared" ref="N56:T56" si="6">SUM(N42:N55)</f>
        <v>285</v>
      </c>
      <c r="O56" s="2">
        <f t="shared" si="6"/>
        <v>17</v>
      </c>
      <c r="P56" s="2">
        <f>SUM(P42:P55)</f>
        <v>1</v>
      </c>
      <c r="Q56" s="2">
        <f t="shared" si="6"/>
        <v>0</v>
      </c>
      <c r="R56" s="2">
        <f t="shared" si="6"/>
        <v>5</v>
      </c>
      <c r="S56" s="2">
        <f t="shared" si="6"/>
        <v>5</v>
      </c>
      <c r="T56" s="2">
        <f t="shared" si="6"/>
        <v>0</v>
      </c>
      <c r="U56" s="18"/>
    </row>
    <row r="58" spans="1:23" ht="15.75" thickBot="1" x14ac:dyDescent="0.3">
      <c r="A58" s="10" t="s">
        <v>19</v>
      </c>
      <c r="L58" s="35" t="s">
        <v>39</v>
      </c>
    </row>
    <row r="59" spans="1:23" ht="15.75" thickBot="1" x14ac:dyDescent="0.3">
      <c r="A59" s="36" t="s">
        <v>40</v>
      </c>
      <c r="B59" s="37" t="s">
        <v>41</v>
      </c>
      <c r="C59" s="37" t="s">
        <v>42</v>
      </c>
      <c r="D59" s="37" t="s">
        <v>43</v>
      </c>
      <c r="E59" s="37" t="s">
        <v>44</v>
      </c>
      <c r="F59" s="37" t="s">
        <v>45</v>
      </c>
      <c r="G59" s="37" t="s">
        <v>46</v>
      </c>
      <c r="H59" s="37" t="s">
        <v>47</v>
      </c>
      <c r="I59" s="38" t="s">
        <v>48</v>
      </c>
      <c r="L59" s="39" t="s">
        <v>40</v>
      </c>
      <c r="M59" s="39" t="s">
        <v>49</v>
      </c>
      <c r="N59" s="39" t="s">
        <v>50</v>
      </c>
      <c r="O59" s="39" t="s">
        <v>51</v>
      </c>
      <c r="P59" s="39" t="s">
        <v>52</v>
      </c>
      <c r="Q59" s="39" t="s">
        <v>53</v>
      </c>
      <c r="R59" s="39" t="s">
        <v>54</v>
      </c>
      <c r="S59" s="39" t="s">
        <v>55</v>
      </c>
      <c r="T59" s="39" t="s">
        <v>56</v>
      </c>
      <c r="U59" s="72" t="s">
        <v>71</v>
      </c>
      <c r="V59" s="72" t="s">
        <v>18</v>
      </c>
      <c r="W59" s="41"/>
    </row>
    <row r="60" spans="1:23" x14ac:dyDescent="0.25">
      <c r="A60" s="42" t="s">
        <v>9</v>
      </c>
      <c r="B60" s="43">
        <v>120</v>
      </c>
      <c r="C60" s="43">
        <v>469</v>
      </c>
      <c r="D60" s="43">
        <v>0</v>
      </c>
      <c r="E60" s="43">
        <v>0</v>
      </c>
      <c r="F60" s="43">
        <v>12</v>
      </c>
      <c r="G60" s="43">
        <v>0</v>
      </c>
      <c r="H60" s="43">
        <v>0</v>
      </c>
      <c r="I60" s="44">
        <v>0</v>
      </c>
      <c r="L60" s="11" t="s">
        <v>9</v>
      </c>
      <c r="M60" s="73">
        <v>7</v>
      </c>
      <c r="N60" s="73">
        <v>9</v>
      </c>
      <c r="O60" s="73">
        <v>0</v>
      </c>
      <c r="P60" s="73">
        <v>0</v>
      </c>
      <c r="Q60" s="73">
        <v>0</v>
      </c>
      <c r="R60" s="73">
        <v>0</v>
      </c>
      <c r="S60" s="73">
        <v>0</v>
      </c>
      <c r="T60" s="73">
        <v>0</v>
      </c>
      <c r="U60" s="73">
        <v>0</v>
      </c>
    </row>
    <row r="61" spans="1:23" x14ac:dyDescent="0.25">
      <c r="A61" s="45" t="s">
        <v>10</v>
      </c>
      <c r="B61" s="2">
        <v>21.5</v>
      </c>
      <c r="C61" s="2">
        <v>0</v>
      </c>
      <c r="D61" s="2">
        <v>6</v>
      </c>
      <c r="E61" s="2">
        <v>6</v>
      </c>
      <c r="F61" s="2">
        <v>0</v>
      </c>
      <c r="G61" s="2">
        <v>0</v>
      </c>
      <c r="H61" s="2">
        <v>0</v>
      </c>
      <c r="I61" s="46">
        <v>0</v>
      </c>
      <c r="L61" s="11" t="s">
        <v>10</v>
      </c>
      <c r="M61" s="75" t="s">
        <v>66</v>
      </c>
      <c r="N61" s="77">
        <v>9</v>
      </c>
      <c r="O61" s="75" t="s">
        <v>66</v>
      </c>
      <c r="P61" s="75" t="s">
        <v>65</v>
      </c>
      <c r="Q61" s="75" t="s">
        <v>65</v>
      </c>
      <c r="R61" s="75" t="s">
        <v>65</v>
      </c>
      <c r="S61" s="75" t="s">
        <v>65</v>
      </c>
      <c r="T61" s="75" t="s">
        <v>66</v>
      </c>
      <c r="U61" s="75">
        <v>0</v>
      </c>
    </row>
    <row r="62" spans="1:23" x14ac:dyDescent="0.25">
      <c r="A62" s="45" t="s">
        <v>6</v>
      </c>
      <c r="B62" s="2">
        <v>0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46">
        <v>5</v>
      </c>
      <c r="L62" s="11" t="s">
        <v>6</v>
      </c>
      <c r="M62" s="75">
        <v>0</v>
      </c>
      <c r="N62" s="75">
        <v>22</v>
      </c>
      <c r="O62" s="75">
        <v>0</v>
      </c>
      <c r="P62" s="75">
        <v>0</v>
      </c>
      <c r="Q62" s="75">
        <v>0</v>
      </c>
      <c r="R62" s="75">
        <v>0</v>
      </c>
      <c r="S62" s="75">
        <v>0</v>
      </c>
      <c r="T62" s="75">
        <v>0</v>
      </c>
      <c r="U62" s="75">
        <v>0</v>
      </c>
    </row>
    <row r="63" spans="1:23" x14ac:dyDescent="0.25">
      <c r="A63" s="45" t="s">
        <v>11</v>
      </c>
      <c r="B63" s="2">
        <v>4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46">
        <v>0</v>
      </c>
      <c r="L63" s="11" t="s">
        <v>11</v>
      </c>
      <c r="M63" s="73">
        <v>0</v>
      </c>
      <c r="N63" s="73">
        <v>0</v>
      </c>
      <c r="O63" s="73">
        <v>0</v>
      </c>
      <c r="P63" s="73">
        <v>0</v>
      </c>
      <c r="Q63" s="73">
        <v>0</v>
      </c>
      <c r="R63" s="73">
        <v>0</v>
      </c>
      <c r="S63" s="73">
        <v>0</v>
      </c>
      <c r="T63" s="73">
        <v>0</v>
      </c>
      <c r="U63" s="73">
        <v>0</v>
      </c>
    </row>
    <row r="64" spans="1:23" x14ac:dyDescent="0.25">
      <c r="A64" s="45" t="s">
        <v>7</v>
      </c>
      <c r="B64" s="2">
        <v>524</v>
      </c>
      <c r="C64" s="2">
        <v>549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46">
        <v>0</v>
      </c>
      <c r="L64" s="11" t="s">
        <v>7</v>
      </c>
      <c r="M64" s="73">
        <v>1</v>
      </c>
      <c r="N64" s="73">
        <v>51</v>
      </c>
      <c r="O64" s="73">
        <v>0</v>
      </c>
      <c r="P64" s="73">
        <v>0</v>
      </c>
      <c r="Q64" s="73">
        <v>0</v>
      </c>
      <c r="R64" s="73">
        <v>0</v>
      </c>
      <c r="S64" s="73">
        <v>5</v>
      </c>
      <c r="T64" s="73">
        <v>0</v>
      </c>
      <c r="U64" s="73">
        <v>0</v>
      </c>
    </row>
    <row r="65" spans="1:22" x14ac:dyDescent="0.25">
      <c r="A65" s="45" t="s">
        <v>8</v>
      </c>
      <c r="B65" s="78">
        <v>122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46">
        <v>0</v>
      </c>
      <c r="L65" s="11" t="s">
        <v>8</v>
      </c>
      <c r="M65" s="75" t="s">
        <v>66</v>
      </c>
      <c r="N65" s="75" t="s">
        <v>72</v>
      </c>
      <c r="O65" s="75" t="s">
        <v>73</v>
      </c>
      <c r="P65" s="75" t="s">
        <v>66</v>
      </c>
      <c r="Q65" s="75" t="s">
        <v>65</v>
      </c>
      <c r="R65" s="75" t="s">
        <v>65</v>
      </c>
      <c r="S65" s="75" t="s">
        <v>66</v>
      </c>
      <c r="T65" s="75" t="s">
        <v>65</v>
      </c>
      <c r="U65" s="75">
        <v>0</v>
      </c>
    </row>
    <row r="66" spans="1:22" x14ac:dyDescent="0.25">
      <c r="A66" s="45" t="s">
        <v>13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46">
        <v>0</v>
      </c>
      <c r="L66" s="11" t="s">
        <v>13</v>
      </c>
      <c r="M66" s="73">
        <v>2</v>
      </c>
      <c r="N66" s="73">
        <v>1</v>
      </c>
      <c r="O66" s="73">
        <v>11</v>
      </c>
      <c r="P66" s="73">
        <v>0</v>
      </c>
      <c r="Q66" s="73">
        <v>0</v>
      </c>
      <c r="R66" s="73">
        <v>0</v>
      </c>
      <c r="S66" s="73">
        <v>0</v>
      </c>
      <c r="T66" s="73">
        <v>0</v>
      </c>
      <c r="U66" s="73">
        <v>0</v>
      </c>
    </row>
    <row r="67" spans="1:22" x14ac:dyDescent="0.25">
      <c r="A67" s="45" t="s">
        <v>12</v>
      </c>
      <c r="B67" s="2">
        <v>0</v>
      </c>
      <c r="C67" s="2">
        <v>0</v>
      </c>
      <c r="D67" s="2">
        <v>0</v>
      </c>
      <c r="E67" s="2">
        <v>0</v>
      </c>
      <c r="F67" s="2">
        <v>100</v>
      </c>
      <c r="G67" s="2">
        <v>0</v>
      </c>
      <c r="H67" s="2">
        <v>0</v>
      </c>
      <c r="I67" s="46">
        <v>0</v>
      </c>
      <c r="L67" s="11" t="s">
        <v>12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18">
        <v>0</v>
      </c>
    </row>
    <row r="68" spans="1:22" x14ac:dyDescent="0.25">
      <c r="A68" s="45"/>
      <c r="B68" s="2"/>
      <c r="C68" s="2"/>
      <c r="D68" s="2"/>
      <c r="E68" s="2"/>
      <c r="F68" s="2"/>
      <c r="G68" s="2"/>
      <c r="H68" s="2"/>
      <c r="I68" s="46"/>
      <c r="L68" s="11"/>
      <c r="M68" s="2"/>
      <c r="N68" s="2"/>
      <c r="O68" s="2"/>
      <c r="P68" s="2"/>
      <c r="Q68" s="2"/>
      <c r="R68" s="2"/>
      <c r="S68" s="2"/>
      <c r="T68" s="2"/>
      <c r="U68" s="18"/>
    </row>
    <row r="69" spans="1:22" x14ac:dyDescent="0.25">
      <c r="A69" s="45"/>
      <c r="B69" s="2"/>
      <c r="C69" s="2"/>
      <c r="D69" s="2"/>
      <c r="E69" s="2"/>
      <c r="F69" s="2"/>
      <c r="G69" s="2"/>
      <c r="H69" s="2"/>
      <c r="I69" s="46"/>
      <c r="L69" s="11"/>
      <c r="M69" s="2"/>
      <c r="N69" s="2"/>
      <c r="O69" s="2"/>
      <c r="P69" s="2"/>
      <c r="Q69" s="2"/>
      <c r="R69" s="2"/>
      <c r="S69" s="2"/>
      <c r="T69" s="2"/>
      <c r="U69" s="18"/>
    </row>
    <row r="70" spans="1:22" x14ac:dyDescent="0.25">
      <c r="A70" s="45" t="s">
        <v>69</v>
      </c>
      <c r="B70" s="2">
        <v>71</v>
      </c>
      <c r="C70" s="2">
        <v>315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46">
        <v>0</v>
      </c>
      <c r="L70" s="11"/>
      <c r="M70" s="2"/>
      <c r="N70" s="2"/>
      <c r="O70" s="2"/>
      <c r="P70" s="2"/>
      <c r="Q70" s="2"/>
      <c r="R70" s="2"/>
      <c r="S70" s="2"/>
      <c r="T70" s="2"/>
      <c r="U70" s="18"/>
    </row>
    <row r="71" spans="1:22" x14ac:dyDescent="0.25">
      <c r="A71" s="45" t="s">
        <v>57</v>
      </c>
      <c r="B71" s="2">
        <v>26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46">
        <v>0</v>
      </c>
      <c r="L71" s="11" t="s">
        <v>57</v>
      </c>
      <c r="M71" s="73">
        <v>0</v>
      </c>
      <c r="N71" s="73">
        <v>2</v>
      </c>
      <c r="O71" s="73">
        <v>0</v>
      </c>
      <c r="P71" s="73">
        <v>0</v>
      </c>
      <c r="Q71" s="73">
        <v>0</v>
      </c>
      <c r="R71" s="73">
        <v>0</v>
      </c>
      <c r="S71" s="73">
        <v>0</v>
      </c>
      <c r="T71" s="73">
        <v>0</v>
      </c>
      <c r="U71" s="73">
        <v>0</v>
      </c>
    </row>
    <row r="72" spans="1:22" x14ac:dyDescent="0.25">
      <c r="A72" s="45" t="s">
        <v>15</v>
      </c>
      <c r="B72" s="2">
        <v>0</v>
      </c>
      <c r="C72" s="2">
        <v>780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46">
        <v>0</v>
      </c>
      <c r="L72" s="11" t="s">
        <v>69</v>
      </c>
      <c r="M72" s="75">
        <v>13</v>
      </c>
      <c r="N72" s="75">
        <v>34</v>
      </c>
      <c r="O72" s="75">
        <v>0</v>
      </c>
      <c r="P72" s="75">
        <v>0</v>
      </c>
      <c r="Q72" s="75">
        <v>0</v>
      </c>
      <c r="R72" s="75">
        <v>18</v>
      </c>
      <c r="S72" s="75">
        <v>0</v>
      </c>
      <c r="T72" s="75">
        <v>0</v>
      </c>
      <c r="U72" s="75">
        <v>0</v>
      </c>
    </row>
    <row r="74" spans="1:22" ht="15.75" thickBot="1" x14ac:dyDescent="0.3">
      <c r="A74" s="10" t="s">
        <v>2</v>
      </c>
      <c r="L74" s="35" t="s">
        <v>39</v>
      </c>
    </row>
    <row r="75" spans="1:22" ht="15.75" thickBot="1" x14ac:dyDescent="0.3">
      <c r="A75" s="36" t="s">
        <v>40</v>
      </c>
      <c r="B75" s="37" t="s">
        <v>41</v>
      </c>
      <c r="C75" s="37" t="s">
        <v>42</v>
      </c>
      <c r="D75" s="37" t="s">
        <v>43</v>
      </c>
      <c r="E75" s="37" t="s">
        <v>44</v>
      </c>
      <c r="F75" s="37" t="s">
        <v>45</v>
      </c>
      <c r="G75" s="37" t="s">
        <v>46</v>
      </c>
      <c r="H75" s="37" t="s">
        <v>74</v>
      </c>
      <c r="I75" s="38" t="s">
        <v>48</v>
      </c>
      <c r="L75" s="39" t="s">
        <v>40</v>
      </c>
      <c r="M75" s="39" t="s">
        <v>49</v>
      </c>
      <c r="N75" s="39" t="s">
        <v>50</v>
      </c>
      <c r="O75" s="39" t="s">
        <v>51</v>
      </c>
      <c r="P75" s="39" t="s">
        <v>52</v>
      </c>
      <c r="Q75" s="39" t="s">
        <v>53</v>
      </c>
      <c r="R75" s="39" t="s">
        <v>54</v>
      </c>
      <c r="S75" s="39" t="s">
        <v>55</v>
      </c>
      <c r="T75" s="39" t="s">
        <v>56</v>
      </c>
      <c r="U75" s="72" t="s">
        <v>71</v>
      </c>
      <c r="V75" s="72" t="s">
        <v>18</v>
      </c>
    </row>
    <row r="76" spans="1:22" x14ac:dyDescent="0.25">
      <c r="A76" s="42" t="s">
        <v>9</v>
      </c>
      <c r="B76" s="43">
        <v>302.5</v>
      </c>
      <c r="C76" s="43">
        <v>270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4">
        <v>0</v>
      </c>
      <c r="L76" s="11" t="s">
        <v>9</v>
      </c>
      <c r="M76" s="73">
        <v>8</v>
      </c>
      <c r="N76" s="73">
        <v>14</v>
      </c>
      <c r="O76" s="73">
        <v>0</v>
      </c>
      <c r="P76" s="73">
        <v>0</v>
      </c>
      <c r="Q76" s="73">
        <v>0</v>
      </c>
      <c r="R76" s="73">
        <v>0</v>
      </c>
      <c r="S76" s="73">
        <v>0</v>
      </c>
      <c r="T76" s="73">
        <v>0</v>
      </c>
      <c r="U76" s="73">
        <v>0</v>
      </c>
    </row>
    <row r="77" spans="1:22" x14ac:dyDescent="0.25">
      <c r="A77" s="45" t="s">
        <v>10</v>
      </c>
      <c r="B77" s="2">
        <v>14</v>
      </c>
      <c r="C77" s="2">
        <v>1</v>
      </c>
      <c r="D77" s="2">
        <v>5</v>
      </c>
      <c r="E77" s="2">
        <v>2</v>
      </c>
      <c r="F77" s="2">
        <v>0</v>
      </c>
      <c r="G77" s="2">
        <v>0</v>
      </c>
      <c r="H77" s="2">
        <v>0</v>
      </c>
      <c r="I77" s="46">
        <v>0</v>
      </c>
      <c r="L77" s="11" t="s">
        <v>10</v>
      </c>
      <c r="M77" s="75">
        <v>0</v>
      </c>
      <c r="N77" s="75">
        <v>23</v>
      </c>
      <c r="O77" s="75">
        <v>0</v>
      </c>
      <c r="P77" s="75">
        <v>0</v>
      </c>
      <c r="Q77" s="75">
        <v>0</v>
      </c>
      <c r="R77" s="75">
        <v>0</v>
      </c>
      <c r="S77" s="75">
        <v>0</v>
      </c>
      <c r="T77" s="75">
        <v>0</v>
      </c>
      <c r="U77" s="75">
        <v>0</v>
      </c>
    </row>
    <row r="78" spans="1:22" x14ac:dyDescent="0.25">
      <c r="A78" s="45" t="s">
        <v>6</v>
      </c>
      <c r="B78" s="2">
        <v>24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46">
        <v>6</v>
      </c>
      <c r="L78" s="11" t="s">
        <v>6</v>
      </c>
      <c r="M78" s="75">
        <v>0</v>
      </c>
      <c r="N78" s="75">
        <v>8</v>
      </c>
      <c r="O78" s="75">
        <v>0</v>
      </c>
      <c r="P78" s="75">
        <v>0</v>
      </c>
      <c r="Q78" s="75">
        <v>0</v>
      </c>
      <c r="R78" s="75">
        <v>0</v>
      </c>
      <c r="S78" s="75">
        <v>0</v>
      </c>
      <c r="T78" s="75">
        <v>0</v>
      </c>
      <c r="U78" s="75">
        <v>0</v>
      </c>
    </row>
    <row r="79" spans="1:22" x14ac:dyDescent="0.25">
      <c r="A79" s="45" t="s">
        <v>11</v>
      </c>
      <c r="B79" s="2">
        <v>0</v>
      </c>
      <c r="C79" s="2">
        <v>930</v>
      </c>
      <c r="D79" s="2">
        <v>0</v>
      </c>
      <c r="E79" s="2">
        <v>0</v>
      </c>
      <c r="F79" s="2">
        <v>10</v>
      </c>
      <c r="G79" s="2">
        <v>0</v>
      </c>
      <c r="H79" s="2">
        <v>0</v>
      </c>
      <c r="I79" s="46">
        <v>0</v>
      </c>
      <c r="L79" s="11" t="s">
        <v>11</v>
      </c>
      <c r="M79" s="73">
        <v>0</v>
      </c>
      <c r="N79" s="73">
        <v>1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</row>
    <row r="80" spans="1:22" x14ac:dyDescent="0.25">
      <c r="A80" s="45" t="s">
        <v>7</v>
      </c>
      <c r="B80" s="2">
        <v>117</v>
      </c>
      <c r="C80" s="2">
        <v>133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46">
        <v>4</v>
      </c>
      <c r="L80" s="11" t="s">
        <v>7</v>
      </c>
      <c r="M80" s="73">
        <v>9</v>
      </c>
      <c r="N80" s="73">
        <v>38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s="73">
        <v>0</v>
      </c>
      <c r="U80" s="73">
        <v>0</v>
      </c>
    </row>
    <row r="81" spans="1:21" x14ac:dyDescent="0.25">
      <c r="A81" s="45" t="s">
        <v>8</v>
      </c>
      <c r="B81" s="79">
        <v>122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46">
        <v>0</v>
      </c>
      <c r="L81" s="11" t="s">
        <v>8</v>
      </c>
      <c r="M81" s="75">
        <v>0</v>
      </c>
      <c r="N81" s="75">
        <v>19</v>
      </c>
      <c r="O81" s="73">
        <v>0</v>
      </c>
      <c r="P81" s="73">
        <v>0</v>
      </c>
      <c r="Q81" s="73">
        <v>0</v>
      </c>
      <c r="R81" s="75">
        <v>2</v>
      </c>
      <c r="S81" s="73">
        <v>0</v>
      </c>
      <c r="T81" s="73">
        <v>0</v>
      </c>
      <c r="U81" s="73">
        <v>0</v>
      </c>
    </row>
    <row r="82" spans="1:21" x14ac:dyDescent="0.25">
      <c r="A82" s="45" t="s">
        <v>13</v>
      </c>
      <c r="B82" s="2">
        <v>0</v>
      </c>
      <c r="C82" s="2">
        <v>248</v>
      </c>
      <c r="D82" s="2">
        <v>0</v>
      </c>
      <c r="E82" s="2">
        <v>0</v>
      </c>
      <c r="F82" s="2">
        <v>62</v>
      </c>
      <c r="G82" s="2">
        <v>0</v>
      </c>
      <c r="H82" s="2">
        <v>0</v>
      </c>
      <c r="I82" s="46">
        <v>0</v>
      </c>
      <c r="L82" s="11" t="s">
        <v>13</v>
      </c>
      <c r="M82" s="73">
        <v>12</v>
      </c>
      <c r="N82" s="73">
        <v>2</v>
      </c>
      <c r="O82" s="73">
        <v>7</v>
      </c>
      <c r="P82" s="73">
        <v>0</v>
      </c>
      <c r="Q82" s="73">
        <v>0</v>
      </c>
      <c r="R82" s="73">
        <v>0</v>
      </c>
      <c r="S82" s="73">
        <v>0</v>
      </c>
      <c r="T82" s="73">
        <v>0</v>
      </c>
      <c r="U82" s="73">
        <v>0</v>
      </c>
    </row>
    <row r="83" spans="1:21" x14ac:dyDescent="0.25">
      <c r="A83" s="45" t="s">
        <v>12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46">
        <v>0</v>
      </c>
      <c r="L83" s="11" t="s">
        <v>12</v>
      </c>
      <c r="M83" s="2">
        <v>0</v>
      </c>
      <c r="N83" s="2">
        <v>25</v>
      </c>
      <c r="O83" s="2">
        <v>4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</row>
    <row r="84" spans="1:21" x14ac:dyDescent="0.25">
      <c r="A84" s="45"/>
      <c r="B84" s="2"/>
      <c r="C84" s="2"/>
      <c r="D84" s="2"/>
      <c r="E84" s="2"/>
      <c r="F84" s="2"/>
      <c r="G84" s="2"/>
      <c r="H84" s="2"/>
      <c r="I84" s="46"/>
      <c r="L84" s="11"/>
      <c r="M84" s="2"/>
      <c r="N84" s="2"/>
      <c r="O84" s="2"/>
      <c r="P84" s="2"/>
      <c r="Q84" s="2"/>
      <c r="R84" s="2"/>
      <c r="S84" s="2"/>
      <c r="T84" s="2"/>
      <c r="U84" s="18"/>
    </row>
    <row r="85" spans="1:21" x14ac:dyDescent="0.25">
      <c r="A85" s="45"/>
      <c r="B85" s="2"/>
      <c r="C85" s="2"/>
      <c r="D85" s="2"/>
      <c r="E85" s="2"/>
      <c r="F85" s="2"/>
      <c r="G85" s="2"/>
      <c r="H85" s="2"/>
      <c r="I85" s="46"/>
      <c r="L85" s="11"/>
      <c r="M85" s="2"/>
      <c r="N85" s="2"/>
      <c r="O85" s="2"/>
      <c r="P85" s="2"/>
      <c r="Q85" s="2"/>
      <c r="R85" s="2"/>
      <c r="S85" s="2"/>
      <c r="T85" s="2"/>
      <c r="U85" s="18"/>
    </row>
    <row r="86" spans="1:21" x14ac:dyDescent="0.25">
      <c r="A86" s="45" t="s">
        <v>69</v>
      </c>
      <c r="B86" s="2">
        <v>61</v>
      </c>
      <c r="C86" s="2">
        <v>0</v>
      </c>
      <c r="D86" s="2">
        <v>0</v>
      </c>
      <c r="E86" s="2">
        <v>4</v>
      </c>
      <c r="F86" s="2">
        <v>0</v>
      </c>
      <c r="G86" s="2">
        <v>0</v>
      </c>
      <c r="H86" s="2">
        <v>0</v>
      </c>
      <c r="I86" s="46">
        <v>16</v>
      </c>
      <c r="L86" s="11"/>
      <c r="M86" s="2"/>
      <c r="N86" s="2"/>
      <c r="O86" s="2"/>
      <c r="P86" s="2"/>
      <c r="Q86" s="2"/>
      <c r="R86" s="2"/>
      <c r="S86" s="2"/>
      <c r="T86" s="2"/>
      <c r="U86" s="18"/>
    </row>
    <row r="87" spans="1:21" x14ac:dyDescent="0.25">
      <c r="A87" s="45" t="s">
        <v>57</v>
      </c>
      <c r="B87" s="2">
        <v>36.5</v>
      </c>
      <c r="C87" s="2">
        <v>0</v>
      </c>
      <c r="D87" s="2">
        <v>0</v>
      </c>
      <c r="E87" s="2">
        <v>0</v>
      </c>
      <c r="F87" s="2">
        <v>10</v>
      </c>
      <c r="G87" s="2">
        <v>12</v>
      </c>
      <c r="H87" s="2">
        <v>0</v>
      </c>
      <c r="I87" s="46">
        <v>0</v>
      </c>
      <c r="L87" s="11" t="s">
        <v>57</v>
      </c>
      <c r="M87" s="73">
        <v>0</v>
      </c>
      <c r="N87" s="73">
        <v>0</v>
      </c>
      <c r="O87" s="73">
        <v>0</v>
      </c>
      <c r="P87" s="73">
        <v>0</v>
      </c>
      <c r="Q87" s="73">
        <v>0</v>
      </c>
      <c r="R87" s="73">
        <v>0</v>
      </c>
      <c r="S87" s="73">
        <v>0</v>
      </c>
      <c r="T87" s="73">
        <v>0</v>
      </c>
      <c r="U87" s="73">
        <v>0</v>
      </c>
    </row>
    <row r="88" spans="1:21" x14ac:dyDescent="0.25">
      <c r="A88" s="45" t="s">
        <v>15</v>
      </c>
      <c r="B88" s="2">
        <v>2.7</v>
      </c>
      <c r="C88" s="2">
        <v>1422.67</v>
      </c>
      <c r="D88" s="2">
        <v>0</v>
      </c>
      <c r="E88" s="2">
        <v>2</v>
      </c>
      <c r="F88" s="2">
        <v>10</v>
      </c>
      <c r="G88" s="2">
        <v>0</v>
      </c>
      <c r="H88" s="2">
        <v>16.14</v>
      </c>
      <c r="I88" s="46">
        <v>0</v>
      </c>
      <c r="L88" s="11" t="s">
        <v>69</v>
      </c>
      <c r="M88" s="75">
        <v>0</v>
      </c>
      <c r="N88" s="75">
        <v>9</v>
      </c>
      <c r="O88" s="75">
        <v>0</v>
      </c>
      <c r="P88" s="75">
        <v>0</v>
      </c>
      <c r="Q88" s="75">
        <v>0</v>
      </c>
      <c r="R88" s="75">
        <v>0</v>
      </c>
      <c r="S88" s="75">
        <v>0</v>
      </c>
      <c r="T88" s="75">
        <v>0</v>
      </c>
      <c r="U88" s="75">
        <v>0</v>
      </c>
    </row>
    <row r="89" spans="1:21" x14ac:dyDescent="0.25">
      <c r="A89" s="47"/>
      <c r="B89" s="80"/>
      <c r="C89" s="80"/>
      <c r="D89" s="81"/>
      <c r="E89" s="81"/>
      <c r="F89" s="81"/>
      <c r="G89" s="80"/>
      <c r="H89" s="80"/>
      <c r="I89" s="82"/>
      <c r="L89" s="11" t="s">
        <v>15</v>
      </c>
      <c r="M89" s="114">
        <v>0</v>
      </c>
      <c r="N89" s="114">
        <v>1</v>
      </c>
      <c r="O89" s="114">
        <v>0</v>
      </c>
      <c r="P89" s="114">
        <v>0</v>
      </c>
      <c r="Q89" s="114">
        <v>0</v>
      </c>
      <c r="R89" s="114">
        <v>0</v>
      </c>
      <c r="S89" s="114">
        <v>0</v>
      </c>
      <c r="T89" s="114">
        <v>0</v>
      </c>
      <c r="U89" s="114">
        <v>0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29B82-6869-4BFB-A54B-E7D8616564BA}">
  <sheetPr>
    <tabColor theme="9"/>
  </sheetPr>
  <dimension ref="A2:P55"/>
  <sheetViews>
    <sheetView tabSelected="1" topLeftCell="A31" zoomScale="54" zoomScaleNormal="90" workbookViewId="0">
      <selection activeCell="A54" sqref="A54:XFD56"/>
    </sheetView>
  </sheetViews>
  <sheetFormatPr defaultRowHeight="15" x14ac:dyDescent="0.25"/>
  <cols>
    <col min="1" max="1" width="30.42578125" customWidth="1"/>
    <col min="2" max="2" width="40.42578125" bestFit="1" customWidth="1"/>
    <col min="3" max="3" width="13.42578125" bestFit="1" customWidth="1"/>
    <col min="4" max="4" width="13.42578125" customWidth="1"/>
    <col min="5" max="5" width="11.85546875" bestFit="1" customWidth="1"/>
    <col min="6" max="6" width="20.42578125" bestFit="1" customWidth="1"/>
    <col min="7" max="7" width="12" bestFit="1" customWidth="1"/>
    <col min="8" max="8" width="11.7109375" customWidth="1"/>
    <col min="11" max="11" width="11.28515625" bestFit="1" customWidth="1"/>
    <col min="13" max="13" width="16.85546875" customWidth="1"/>
    <col min="14" max="14" width="22.28515625" customWidth="1"/>
    <col min="15" max="15" width="23" customWidth="1"/>
    <col min="16" max="16" width="11.5703125" bestFit="1" customWidth="1"/>
    <col min="18" max="18" width="14.28515625" customWidth="1"/>
  </cols>
  <sheetData>
    <row r="2" spans="1:12" x14ac:dyDescent="0.25">
      <c r="A2" s="83" t="s">
        <v>75</v>
      </c>
      <c r="B2" s="18"/>
      <c r="C2" s="18"/>
      <c r="D2" s="18"/>
      <c r="E2" s="18"/>
      <c r="F2" s="18"/>
    </row>
    <row r="3" spans="1:12" ht="15.75" x14ac:dyDescent="0.25">
      <c r="B3" s="158" t="s">
        <v>30</v>
      </c>
      <c r="C3" s="158"/>
      <c r="D3" s="84"/>
      <c r="E3" s="158" t="s">
        <v>31</v>
      </c>
      <c r="F3" s="158"/>
    </row>
    <row r="4" spans="1:12" x14ac:dyDescent="0.25">
      <c r="A4" s="21" t="s">
        <v>76</v>
      </c>
      <c r="B4" s="21" t="s">
        <v>77</v>
      </c>
      <c r="C4" s="21" t="s">
        <v>78</v>
      </c>
      <c r="D4" s="21"/>
      <c r="E4" s="85" t="s">
        <v>77</v>
      </c>
      <c r="F4" s="85" t="s">
        <v>78</v>
      </c>
    </row>
    <row r="5" spans="1:12" x14ac:dyDescent="0.25">
      <c r="A5" s="86" t="s">
        <v>6</v>
      </c>
      <c r="B5" s="87">
        <v>10910892</v>
      </c>
      <c r="C5" s="21"/>
      <c r="D5" s="21"/>
      <c r="E5" s="88">
        <v>9835027</v>
      </c>
      <c r="F5" s="85"/>
      <c r="G5" s="89"/>
      <c r="H5" s="19">
        <f>B5*0.79/1000</f>
        <v>8619.6046800000004</v>
      </c>
    </row>
    <row r="6" spans="1:12" x14ac:dyDescent="0.25">
      <c r="A6" s="86" t="s">
        <v>79</v>
      </c>
      <c r="B6" s="87">
        <v>26671050</v>
      </c>
      <c r="C6" s="21"/>
      <c r="D6" s="21"/>
      <c r="E6" s="88">
        <v>29022210</v>
      </c>
      <c r="F6" s="85"/>
      <c r="G6" s="89"/>
      <c r="H6" s="19">
        <f t="shared" ref="H6:H20" si="0">B6*0.79/1000</f>
        <v>21070.129499999999</v>
      </c>
    </row>
    <row r="7" spans="1:12" x14ac:dyDescent="0.25">
      <c r="A7" s="86" t="s">
        <v>80</v>
      </c>
      <c r="B7" s="87">
        <v>6095370</v>
      </c>
      <c r="C7" s="21"/>
      <c r="D7" s="21"/>
      <c r="E7" s="88">
        <v>5958670</v>
      </c>
      <c r="F7" s="85"/>
      <c r="G7" s="89"/>
      <c r="H7" s="19">
        <f t="shared" si="0"/>
        <v>4815.3423000000003</v>
      </c>
    </row>
    <row r="8" spans="1:12" x14ac:dyDescent="0.25">
      <c r="A8" s="90" t="s">
        <v>8</v>
      </c>
      <c r="B8" s="87">
        <v>21044790</v>
      </c>
      <c r="C8" s="21"/>
      <c r="D8" s="21"/>
      <c r="E8" s="88">
        <v>20713356</v>
      </c>
      <c r="F8" s="85"/>
      <c r="G8" s="89"/>
      <c r="H8" s="19">
        <f t="shared" si="0"/>
        <v>16625.384100000003</v>
      </c>
      <c r="K8">
        <v>9.31</v>
      </c>
      <c r="L8">
        <v>9.59</v>
      </c>
    </row>
    <row r="9" spans="1:12" x14ac:dyDescent="0.25">
      <c r="A9" s="86" t="s">
        <v>9</v>
      </c>
      <c r="B9" s="87">
        <v>3993830</v>
      </c>
      <c r="C9" s="21"/>
      <c r="D9" s="21"/>
      <c r="E9" s="88">
        <v>4486828</v>
      </c>
      <c r="F9" s="85"/>
      <c r="G9" s="89"/>
      <c r="H9" s="19">
        <f t="shared" si="0"/>
        <v>3155.1257000000001</v>
      </c>
      <c r="L9" s="91">
        <f>(K8-L8)/L8</f>
        <v>-2.9197080291970736E-2</v>
      </c>
    </row>
    <row r="10" spans="1:12" x14ac:dyDescent="0.25">
      <c r="A10" s="86" t="s">
        <v>10</v>
      </c>
      <c r="B10" s="87">
        <v>2014380</v>
      </c>
      <c r="C10" s="21"/>
      <c r="D10" s="21"/>
      <c r="E10" s="88">
        <v>2193460</v>
      </c>
      <c r="F10" s="85"/>
      <c r="G10" s="89"/>
      <c r="H10" s="19">
        <f t="shared" si="0"/>
        <v>1591.3602000000001</v>
      </c>
    </row>
    <row r="11" spans="1:12" x14ac:dyDescent="0.25">
      <c r="A11" s="86" t="s">
        <v>11</v>
      </c>
      <c r="B11" s="87">
        <v>2536370</v>
      </c>
      <c r="C11" s="87"/>
      <c r="D11" s="87"/>
      <c r="E11" s="85">
        <v>2462690</v>
      </c>
      <c r="F11" s="85"/>
      <c r="H11" s="19">
        <f t="shared" si="0"/>
        <v>2003.7323000000001</v>
      </c>
      <c r="K11" s="66" t="s">
        <v>81</v>
      </c>
      <c r="L11" s="66" t="s">
        <v>82</v>
      </c>
    </row>
    <row r="12" spans="1:12" x14ac:dyDescent="0.25">
      <c r="A12" s="86"/>
      <c r="B12" s="87"/>
      <c r="C12" s="21"/>
      <c r="D12" s="21"/>
      <c r="E12" s="88"/>
      <c r="F12" s="85"/>
      <c r="G12" s="89"/>
      <c r="H12" s="19"/>
      <c r="K12" s="66">
        <f>C12</f>
        <v>0</v>
      </c>
      <c r="L12" s="66">
        <v>0</v>
      </c>
    </row>
    <row r="13" spans="1:12" x14ac:dyDescent="0.25">
      <c r="A13" s="86" t="s">
        <v>13</v>
      </c>
      <c r="B13" s="87">
        <v>7608723</v>
      </c>
      <c r="C13" s="21"/>
      <c r="D13" s="21"/>
      <c r="E13" s="88">
        <v>6363429</v>
      </c>
      <c r="F13" s="85"/>
      <c r="H13" s="19">
        <f t="shared" si="0"/>
        <v>6010.8911699999999</v>
      </c>
      <c r="K13" s="66"/>
      <c r="L13" s="66"/>
    </row>
    <row r="14" spans="1:12" x14ac:dyDescent="0.25">
      <c r="A14" s="86"/>
      <c r="B14" s="87"/>
      <c r="C14" s="21"/>
      <c r="D14" s="21"/>
      <c r="E14" s="88"/>
      <c r="F14" s="85"/>
      <c r="G14" s="89"/>
      <c r="H14" s="19"/>
      <c r="K14" s="66"/>
      <c r="L14" s="66"/>
    </row>
    <row r="15" spans="1:12" x14ac:dyDescent="0.25">
      <c r="A15" s="86"/>
      <c r="B15" s="87"/>
      <c r="C15" s="21"/>
      <c r="D15" s="21"/>
      <c r="E15" s="88"/>
      <c r="F15" s="85"/>
      <c r="G15" s="89"/>
      <c r="H15" s="19"/>
      <c r="K15" s="66"/>
      <c r="L15" s="66"/>
    </row>
    <row r="16" spans="1:12" x14ac:dyDescent="0.25">
      <c r="A16" s="86"/>
      <c r="B16" s="87"/>
      <c r="C16" s="21"/>
      <c r="D16" s="21"/>
      <c r="E16" s="88"/>
      <c r="F16" s="85"/>
      <c r="G16" s="89"/>
      <c r="H16" s="19"/>
      <c r="K16" s="66">
        <v>0</v>
      </c>
      <c r="L16" s="66">
        <f>C16</f>
        <v>0</v>
      </c>
    </row>
    <row r="17" spans="1:13" x14ac:dyDescent="0.25">
      <c r="A17" s="86" t="s">
        <v>14</v>
      </c>
      <c r="B17" s="87">
        <v>1503870</v>
      </c>
      <c r="C17" s="21">
        <v>3159991</v>
      </c>
      <c r="D17" s="92">
        <f>C17/(B17+C17)</f>
        <v>0.67754828027679215</v>
      </c>
      <c r="E17" s="88">
        <v>1034165</v>
      </c>
      <c r="F17" s="85">
        <v>3380933</v>
      </c>
      <c r="G17" s="92">
        <f>F17/(E17+F17)</f>
        <v>0.76576624120234704</v>
      </c>
      <c r="H17" s="19">
        <f t="shared" si="0"/>
        <v>1188.0572999999999</v>
      </c>
      <c r="K17" s="66">
        <v>3083402</v>
      </c>
      <c r="L17" s="66">
        <v>76589</v>
      </c>
    </row>
    <row r="18" spans="1:13" x14ac:dyDescent="0.25">
      <c r="A18" s="90" t="s">
        <v>15</v>
      </c>
      <c r="B18" s="87">
        <v>725935</v>
      </c>
      <c r="C18" s="21"/>
      <c r="D18" s="21"/>
      <c r="E18" s="88">
        <v>723149</v>
      </c>
      <c r="F18" s="85"/>
      <c r="H18" s="19">
        <f t="shared" si="0"/>
        <v>573.48865000000001</v>
      </c>
      <c r="K18" s="66"/>
      <c r="L18" s="66"/>
    </row>
    <row r="19" spans="1:13" x14ac:dyDescent="0.25">
      <c r="A19" s="90" t="s">
        <v>16</v>
      </c>
      <c r="B19" s="87">
        <v>1348094</v>
      </c>
      <c r="C19" s="21">
        <v>2641346</v>
      </c>
      <c r="D19" s="92">
        <f>C19/(B19+C19)</f>
        <v>0.66208440282345393</v>
      </c>
      <c r="E19" s="88">
        <v>1109229</v>
      </c>
      <c r="F19" s="85">
        <v>2198161</v>
      </c>
      <c r="G19" s="92">
        <f>F19/(E19+F19)</f>
        <v>0.66462104559788837</v>
      </c>
      <c r="H19" s="19">
        <f t="shared" si="0"/>
        <v>1064.9942599999999</v>
      </c>
      <c r="K19" s="66">
        <f>C19</f>
        <v>2641346</v>
      </c>
      <c r="L19" s="66"/>
    </row>
    <row r="20" spans="1:13" x14ac:dyDescent="0.25">
      <c r="A20" s="90" t="s">
        <v>17</v>
      </c>
      <c r="B20" s="26">
        <v>26224</v>
      </c>
      <c r="C20" s="21"/>
      <c r="D20" s="21"/>
      <c r="E20" s="88">
        <v>293908</v>
      </c>
      <c r="F20" s="85"/>
      <c r="H20" s="19">
        <f t="shared" si="0"/>
        <v>20.71696</v>
      </c>
      <c r="K20" s="66">
        <f>SUM(K12:K19)</f>
        <v>5724748</v>
      </c>
      <c r="L20" s="66">
        <f>SUM(L12:L19)</f>
        <v>76589</v>
      </c>
      <c r="M20">
        <f>L20*0.00079</f>
        <v>60.505310000000001</v>
      </c>
    </row>
    <row r="21" spans="1:13" x14ac:dyDescent="0.25">
      <c r="A21" s="90" t="s">
        <v>18</v>
      </c>
      <c r="B21" s="21">
        <f>SUM(B5:B20)</f>
        <v>84479528</v>
      </c>
      <c r="C21" s="21">
        <f>SUM(C5:C20)</f>
        <v>5801337</v>
      </c>
      <c r="D21" s="21"/>
      <c r="E21" s="85">
        <f>SUM(E5:E20)</f>
        <v>84196121</v>
      </c>
      <c r="F21" s="85">
        <f>SUM(F5:F20)</f>
        <v>5579094</v>
      </c>
      <c r="H21" s="92">
        <f>(C21-F21)/F21</f>
        <v>3.9834962450892561E-2</v>
      </c>
      <c r="K21" s="66">
        <f>K20/1000000</f>
        <v>5.7247479999999999</v>
      </c>
      <c r="L21" s="66">
        <f>L20/1000000</f>
        <v>7.6589000000000004E-2</v>
      </c>
      <c r="M21">
        <f>K21+L21</f>
        <v>5.8013370000000002</v>
      </c>
    </row>
    <row r="22" spans="1:13" x14ac:dyDescent="0.25">
      <c r="A22" s="90" t="s">
        <v>83</v>
      </c>
      <c r="B22" s="21">
        <f>0.0036*B21</f>
        <v>304126.30079999997</v>
      </c>
      <c r="C22" s="93">
        <f>0.0036*C21</f>
        <v>20884.813200000001</v>
      </c>
      <c r="D22" s="93"/>
      <c r="E22" s="85">
        <f>0.0036*E21</f>
        <v>303106.0356</v>
      </c>
      <c r="F22" s="85">
        <f>0.0036*F21</f>
        <v>20084.738399999998</v>
      </c>
      <c r="H22" s="92">
        <f>(C22-F22)/F22</f>
        <v>3.9834962450892672E-2</v>
      </c>
    </row>
    <row r="23" spans="1:13" ht="15.75" x14ac:dyDescent="0.25">
      <c r="A23" s="90" t="s">
        <v>84</v>
      </c>
      <c r="B23" s="94">
        <f>(0.79/1000)*B21</f>
        <v>66738.827120000002</v>
      </c>
      <c r="C23" s="21"/>
      <c r="D23" s="21"/>
      <c r="E23" s="94">
        <f>E21*0.00079</f>
        <v>66514.935590000008</v>
      </c>
      <c r="F23" s="95"/>
      <c r="H23" s="19">
        <f>SUM(H5:H20)</f>
        <v>66738.827120000031</v>
      </c>
    </row>
    <row r="25" spans="1:13" x14ac:dyDescent="0.25">
      <c r="B25" s="96">
        <f>C21/(B21+C21)</f>
        <v>6.425876624022156E-2</v>
      </c>
    </row>
    <row r="26" spans="1:13" x14ac:dyDescent="0.25">
      <c r="A26" s="97" t="s">
        <v>85</v>
      </c>
      <c r="B26">
        <f>C22</f>
        <v>20884.813200000001</v>
      </c>
      <c r="C26">
        <f>SUM(B21:C21)/1000000</f>
        <v>90.280865000000006</v>
      </c>
      <c r="H26" s="91">
        <f>(C21-F21)/F21</f>
        <v>3.9834962450892561E-2</v>
      </c>
    </row>
    <row r="27" spans="1:13" x14ac:dyDescent="0.25">
      <c r="A27" s="97" t="s">
        <v>86</v>
      </c>
      <c r="B27">
        <f>F22</f>
        <v>20084.738399999998</v>
      </c>
    </row>
    <row r="29" spans="1:13" x14ac:dyDescent="0.25">
      <c r="A29" t="s">
        <v>87</v>
      </c>
      <c r="B29">
        <f>B22</f>
        <v>304126.30079999997</v>
      </c>
    </row>
    <row r="30" spans="1:13" x14ac:dyDescent="0.25">
      <c r="A30" t="s">
        <v>88</v>
      </c>
      <c r="B30">
        <f>E22</f>
        <v>303106.0356</v>
      </c>
    </row>
    <row r="35" spans="1:15" x14ac:dyDescent="0.25">
      <c r="A35" s="83" t="s">
        <v>75</v>
      </c>
      <c r="B35" s="18"/>
      <c r="C35" s="18"/>
      <c r="D35" s="18"/>
      <c r="F35" s="83" t="s">
        <v>75</v>
      </c>
      <c r="G35" s="18"/>
      <c r="H35" s="18"/>
    </row>
    <row r="36" spans="1:15" ht="15.75" x14ac:dyDescent="0.25">
      <c r="B36" s="158" t="s">
        <v>29</v>
      </c>
      <c r="C36" s="158"/>
      <c r="D36" s="84"/>
      <c r="G36" s="158" t="s">
        <v>28</v>
      </c>
      <c r="H36" s="158"/>
      <c r="N36" s="158" t="s">
        <v>27</v>
      </c>
      <c r="O36" s="158"/>
    </row>
    <row r="37" spans="1:15" x14ac:dyDescent="0.25">
      <c r="A37" s="21" t="s">
        <v>76</v>
      </c>
      <c r="B37" s="21" t="s">
        <v>77</v>
      </c>
      <c r="C37" s="21" t="s">
        <v>78</v>
      </c>
      <c r="D37" s="98"/>
      <c r="F37" s="21" t="s">
        <v>76</v>
      </c>
      <c r="G37" s="21" t="s">
        <v>77</v>
      </c>
      <c r="H37" s="21" t="s">
        <v>78</v>
      </c>
      <c r="M37" s="21" t="s">
        <v>76</v>
      </c>
      <c r="N37" s="21" t="s">
        <v>77</v>
      </c>
      <c r="O37" s="21" t="s">
        <v>78</v>
      </c>
    </row>
    <row r="38" spans="1:15" x14ac:dyDescent="0.25">
      <c r="A38" s="86" t="s">
        <v>6</v>
      </c>
      <c r="B38" s="87">
        <v>12607258</v>
      </c>
      <c r="C38" s="21"/>
      <c r="D38" s="98"/>
      <c r="F38" s="86" t="s">
        <v>6</v>
      </c>
      <c r="G38" s="87">
        <v>13977304</v>
      </c>
      <c r="H38" s="21"/>
      <c r="M38" s="86" t="s">
        <v>6</v>
      </c>
      <c r="N38" s="87">
        <v>16456608</v>
      </c>
      <c r="O38" s="21"/>
    </row>
    <row r="39" spans="1:15" x14ac:dyDescent="0.25">
      <c r="A39" s="86" t="s">
        <v>79</v>
      </c>
      <c r="B39" s="87">
        <v>27398430</v>
      </c>
      <c r="C39" s="21"/>
      <c r="D39" s="98"/>
      <c r="F39" s="86" t="s">
        <v>79</v>
      </c>
      <c r="G39" s="87">
        <v>29121300</v>
      </c>
      <c r="H39" s="21"/>
      <c r="M39" s="86" t="s">
        <v>79</v>
      </c>
      <c r="N39" s="87">
        <v>30656520</v>
      </c>
      <c r="O39" s="21"/>
    </row>
    <row r="40" spans="1:15" x14ac:dyDescent="0.25">
      <c r="A40" s="86" t="s">
        <v>80</v>
      </c>
      <c r="B40" s="87">
        <v>6459750</v>
      </c>
      <c r="C40" s="21"/>
      <c r="D40" s="98"/>
      <c r="F40" s="86" t="s">
        <v>80</v>
      </c>
      <c r="G40" s="87">
        <v>6914250</v>
      </c>
      <c r="H40" s="21"/>
      <c r="M40" s="86" t="s">
        <v>80</v>
      </c>
      <c r="N40" s="87">
        <v>7035660</v>
      </c>
      <c r="O40" s="21"/>
    </row>
    <row r="41" spans="1:15" x14ac:dyDescent="0.25">
      <c r="A41" s="90" t="s">
        <v>8</v>
      </c>
      <c r="B41" s="87">
        <v>21977766</v>
      </c>
      <c r="C41" s="21"/>
      <c r="D41" s="98"/>
      <c r="F41" s="90" t="s">
        <v>8</v>
      </c>
      <c r="G41" s="99">
        <v>23610826</v>
      </c>
      <c r="H41" s="21"/>
      <c r="M41" s="90" t="s">
        <v>8</v>
      </c>
      <c r="N41" s="87">
        <v>23624090</v>
      </c>
      <c r="O41" s="21"/>
    </row>
    <row r="42" spans="1:15" x14ac:dyDescent="0.25">
      <c r="A42" s="86" t="s">
        <v>9</v>
      </c>
      <c r="B42" s="87">
        <v>3973078</v>
      </c>
      <c r="C42" s="21"/>
      <c r="D42" s="98"/>
      <c r="F42" s="86" t="s">
        <v>9</v>
      </c>
      <c r="G42" s="87">
        <v>3957440</v>
      </c>
      <c r="H42" s="21"/>
      <c r="M42" s="86" t="s">
        <v>9</v>
      </c>
      <c r="N42" s="87">
        <v>4001814</v>
      </c>
      <c r="O42" s="21"/>
    </row>
    <row r="43" spans="1:15" x14ac:dyDescent="0.25">
      <c r="A43" s="86" t="s">
        <v>10</v>
      </c>
      <c r="B43" s="99">
        <v>2229650</v>
      </c>
      <c r="C43" s="21"/>
      <c r="D43" s="98"/>
      <c r="F43" s="86" t="s">
        <v>10</v>
      </c>
      <c r="G43" s="99">
        <v>2049980</v>
      </c>
      <c r="H43" s="21"/>
      <c r="M43" s="86" t="s">
        <v>10</v>
      </c>
      <c r="N43" s="87">
        <v>2113140</v>
      </c>
      <c r="O43" s="21"/>
    </row>
    <row r="44" spans="1:15" x14ac:dyDescent="0.25">
      <c r="A44" s="86" t="s">
        <v>11</v>
      </c>
      <c r="B44" s="87">
        <v>2641600</v>
      </c>
      <c r="C44" s="87"/>
      <c r="D44" s="100"/>
      <c r="F44" s="86" t="s">
        <v>11</v>
      </c>
      <c r="G44" s="87">
        <v>2596322</v>
      </c>
      <c r="H44" s="87"/>
      <c r="M44" s="86" t="s">
        <v>11</v>
      </c>
      <c r="N44" s="87">
        <v>2502237</v>
      </c>
      <c r="O44" s="87"/>
    </row>
    <row r="45" spans="1:15" x14ac:dyDescent="0.25">
      <c r="A45" s="86"/>
      <c r="B45" s="87"/>
      <c r="C45" s="21"/>
      <c r="D45" s="98"/>
      <c r="F45" s="86"/>
      <c r="G45" s="87"/>
      <c r="H45" s="21"/>
      <c r="M45" s="86"/>
      <c r="N45" s="87"/>
      <c r="O45" s="21"/>
    </row>
    <row r="46" spans="1:15" x14ac:dyDescent="0.25">
      <c r="A46" s="86" t="s">
        <v>13</v>
      </c>
      <c r="B46" s="87">
        <v>9381135</v>
      </c>
      <c r="C46" s="21"/>
      <c r="D46" s="98"/>
      <c r="F46" s="86" t="s">
        <v>13</v>
      </c>
      <c r="G46" s="87">
        <v>10183350</v>
      </c>
      <c r="H46" s="21"/>
      <c r="M46" s="86" t="s">
        <v>13</v>
      </c>
      <c r="N46" s="87">
        <v>13337195</v>
      </c>
      <c r="O46" s="21"/>
    </row>
    <row r="47" spans="1:15" x14ac:dyDescent="0.25">
      <c r="A47" s="86"/>
      <c r="B47" s="87"/>
      <c r="C47" s="21"/>
      <c r="D47" s="98"/>
      <c r="F47" s="86"/>
      <c r="G47" s="87"/>
      <c r="H47" s="21"/>
      <c r="M47" s="86"/>
      <c r="N47" s="87"/>
      <c r="O47" s="21"/>
    </row>
    <row r="48" spans="1:15" x14ac:dyDescent="0.25">
      <c r="A48" s="86"/>
      <c r="B48" s="87"/>
      <c r="C48" s="21"/>
      <c r="D48" s="98"/>
      <c r="F48" s="86"/>
      <c r="G48" s="87"/>
      <c r="H48" s="21"/>
      <c r="M48" s="86"/>
      <c r="N48" s="87"/>
      <c r="O48" s="21"/>
    </row>
    <row r="49" spans="1:16" x14ac:dyDescent="0.25">
      <c r="A49" s="86"/>
      <c r="B49" s="87"/>
      <c r="C49" s="21"/>
      <c r="D49" s="98"/>
      <c r="F49" s="86"/>
      <c r="G49" s="87"/>
      <c r="H49" s="21"/>
      <c r="M49" s="86"/>
      <c r="N49" s="87"/>
      <c r="O49" s="21"/>
      <c r="P49" t="s">
        <v>89</v>
      </c>
    </row>
    <row r="50" spans="1:16" x14ac:dyDescent="0.25">
      <c r="A50" s="86" t="s">
        <v>14</v>
      </c>
      <c r="B50" s="87">
        <v>1628589</v>
      </c>
      <c r="C50" s="21">
        <v>3486120</v>
      </c>
      <c r="D50" s="92">
        <f>C50/(B50+C50)</f>
        <v>0.68158716360989458</v>
      </c>
      <c r="F50" s="86" t="s">
        <v>14</v>
      </c>
      <c r="G50" s="87">
        <v>1873615</v>
      </c>
      <c r="H50" s="21">
        <v>2875932</v>
      </c>
      <c r="I50" s="92">
        <f>H50/(G50+H50)</f>
        <v>0.60551711563229083</v>
      </c>
      <c r="M50" s="86" t="s">
        <v>14</v>
      </c>
      <c r="N50" s="87">
        <v>1942516</v>
      </c>
      <c r="O50" s="21">
        <v>2691178</v>
      </c>
      <c r="P50" s="92">
        <f>O50/(N50+O50)</f>
        <v>0.58078457489855828</v>
      </c>
    </row>
    <row r="51" spans="1:16" x14ac:dyDescent="0.25">
      <c r="A51" s="90" t="s">
        <v>15</v>
      </c>
      <c r="B51" s="87">
        <v>724204</v>
      </c>
      <c r="C51" s="21"/>
      <c r="D51" s="98"/>
      <c r="F51" s="90" t="s">
        <v>15</v>
      </c>
      <c r="G51" s="87">
        <v>702295</v>
      </c>
      <c r="H51" s="21"/>
      <c r="M51" s="90" t="s">
        <v>15</v>
      </c>
      <c r="N51" s="87">
        <v>777287</v>
      </c>
      <c r="O51" s="21"/>
    </row>
    <row r="52" spans="1:16" x14ac:dyDescent="0.25">
      <c r="A52" s="90" t="s">
        <v>16</v>
      </c>
      <c r="B52" s="87">
        <v>2134571</v>
      </c>
      <c r="C52" s="21">
        <v>2300003</v>
      </c>
      <c r="D52" s="92">
        <f>C52/(B52+C52)</f>
        <v>0.51865252445894461</v>
      </c>
      <c r="F52" s="90" t="s">
        <v>16</v>
      </c>
      <c r="G52" s="87">
        <v>2250693</v>
      </c>
      <c r="H52" s="21">
        <v>2257616</v>
      </c>
      <c r="I52" s="92">
        <f>H52/(G52+H52)</f>
        <v>0.50076780451384317</v>
      </c>
      <c r="M52" s="90" t="s">
        <v>16</v>
      </c>
      <c r="N52" s="87">
        <v>2348003</v>
      </c>
      <c r="O52" s="21">
        <v>1920510</v>
      </c>
      <c r="P52" s="92">
        <f>O52/(N52+O52)</f>
        <v>0.44992483330846128</v>
      </c>
    </row>
    <row r="53" spans="1:16" x14ac:dyDescent="0.25">
      <c r="A53" s="90" t="s">
        <v>17</v>
      </c>
      <c r="B53" s="26">
        <v>0</v>
      </c>
      <c r="C53" s="21">
        <v>0</v>
      </c>
      <c r="D53" s="98"/>
      <c r="F53" s="90" t="s">
        <v>12</v>
      </c>
      <c r="G53" s="26">
        <v>14202</v>
      </c>
      <c r="H53" s="21"/>
      <c r="M53" s="90" t="s">
        <v>12</v>
      </c>
      <c r="N53" s="26">
        <v>512797.5</v>
      </c>
      <c r="O53" s="21"/>
    </row>
    <row r="55" spans="1:16" x14ac:dyDescent="0.25">
      <c r="B55" s="96"/>
      <c r="G55" s="96"/>
      <c r="N55" s="96"/>
    </row>
  </sheetData>
  <mergeCells count="5">
    <mergeCell ref="B3:C3"/>
    <mergeCell ref="E3:F3"/>
    <mergeCell ref="B36:C36"/>
    <mergeCell ref="G36:H36"/>
    <mergeCell ref="N36:O36"/>
  </mergeCells>
  <conditionalFormatting sqref="N38:O5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Scope 1 Consolidated</vt:lpstr>
      <vt:lpstr>Scope 1 Stationary Combustion</vt:lpstr>
      <vt:lpstr>Scope 1 Mobile Combustion</vt:lpstr>
      <vt:lpstr>Scope 1 Fugitive Emissions</vt:lpstr>
      <vt:lpstr>Electricity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Hemant Punamiya</dc:creator>
  <cp:lastModifiedBy>Hemant Punamiya</cp:lastModifiedBy>
  <dcterms:created xsi:type="dcterms:W3CDTF">2026-02-25T17:07:04Z</dcterms:created>
  <dcterms:modified xsi:type="dcterms:W3CDTF">2026-03-01T05:38:25Z</dcterms:modified>
</cp:coreProperties>
</file>